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07" codeName="{A63ED3A1-9429-3D75-F2AA-CA7E51A8F3A1}"/>
  <workbookPr codeName="ThisWorkbook" defaultThemeVersion="166925"/>
  <mc:AlternateContent xmlns:mc="http://schemas.openxmlformats.org/markup-compatibility/2006">
    <mc:Choice Requires="x15">
      <x15ac:absPath xmlns:x15ac="http://schemas.microsoft.com/office/spreadsheetml/2010/11/ac" url="/Users/andrewmansur/Documents/University/Year 1/Sem2/Digihum2144/Assignments/Assign2/"/>
    </mc:Choice>
  </mc:AlternateContent>
  <xr:revisionPtr revIDLastSave="0" documentId="13_ncr:1_{273FE1FF-3F1A-0949-B27A-98A315CB6DF9}" xr6:coauthVersionLast="47" xr6:coauthVersionMax="47" xr10:uidLastSave="{00000000-0000-0000-0000-000000000000}"/>
  <bookViews>
    <workbookView xWindow="0" yWindow="500" windowWidth="28800" windowHeight="16020" activeTab="3" xr2:uid="{4E96433C-BEF4-5D4D-BEF7-304ABA6829F1}"/>
  </bookViews>
  <sheets>
    <sheet name="rawData" sheetId="1" r:id="rId1"/>
    <sheet name="keywords" sheetId="2" r:id="rId2"/>
    <sheet name="processedData" sheetId="3" r:id="rId3"/>
    <sheet name="analysis" sheetId="4" r:id="rId4"/>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1" i="4" l="1"/>
  <c r="C19" i="4"/>
  <c r="C18" i="4"/>
  <c r="C17" i="4"/>
  <c r="C16" i="4"/>
  <c r="C15" i="4"/>
  <c r="C14" i="4"/>
  <c r="C12" i="4"/>
  <c r="C11" i="4"/>
  <c r="C10" i="4"/>
  <c r="G13" i="4"/>
  <c r="G12" i="4"/>
  <c r="G11" i="4"/>
  <c r="G10" i="4"/>
  <c r="G6" i="4"/>
  <c r="G5" i="4"/>
  <c r="G4" i="4"/>
  <c r="G3" i="4"/>
  <c r="C6" i="4"/>
  <c r="C5" i="4"/>
  <c r="C4" i="4"/>
  <c r="C3" i="4"/>
  <c r="I29" i="3" a="1"/>
  <c r="I31" i="3" a="1"/>
  <c r="I33" i="3" a="1"/>
  <c r="I35" i="3" a="1"/>
  <c r="I37" i="3" a="1"/>
  <c r="I39" i="3" a="1"/>
  <c r="I41" i="3" a="1"/>
  <c r="I43" i="3" a="1"/>
  <c r="I45" i="3" a="1"/>
  <c r="I47" i="3" a="1"/>
  <c r="I49" i="3" a="1"/>
  <c r="I51" i="3" a="1"/>
  <c r="I53" i="3" a="1"/>
  <c r="I55" i="3" a="1"/>
  <c r="I57" i="3" a="1"/>
  <c r="I59" i="3" a="1"/>
  <c r="I61" i="3" a="1"/>
  <c r="I63" i="3" a="1"/>
  <c r="I65" i="3" a="1"/>
  <c r="I67" i="3" a="1"/>
  <c r="I69" i="3" a="1"/>
  <c r="I71" i="3" a="1"/>
  <c r="I73" i="3" a="1"/>
  <c r="I75" i="3" a="1"/>
  <c r="I77" i="3" a="1"/>
  <c r="I79" i="3" a="1"/>
  <c r="I81" i="3" a="1"/>
  <c r="I83" i="3" a="1"/>
  <c r="I85" i="3" a="1"/>
  <c r="I87" i="3" a="1"/>
  <c r="I89" i="3" a="1"/>
  <c r="I91" i="3" a="1"/>
  <c r="I93" i="3" a="1"/>
  <c r="I95" i="3" a="1"/>
  <c r="I97" i="3" a="1"/>
  <c r="I99" i="3" a="1"/>
  <c r="I101" i="3" a="1"/>
  <c r="I103" i="3" a="1"/>
  <c r="I105" i="3" a="1"/>
  <c r="I107" i="3" a="1"/>
  <c r="I109" i="3" a="1"/>
  <c r="I111" i="3" a="1"/>
  <c r="I113" i="3" a="1"/>
  <c r="I115" i="3" a="1"/>
  <c r="I117" i="3" a="1"/>
  <c r="I119" i="3" a="1"/>
  <c r="I121" i="3" a="1"/>
  <c r="I123" i="3" a="1"/>
  <c r="I125" i="3" a="1"/>
  <c r="I30" i="3" a="1"/>
  <c r="I32" i="3" a="1"/>
  <c r="I34" i="3" a="1"/>
  <c r="I36" i="3" a="1"/>
  <c r="I38" i="3" a="1"/>
  <c r="I40" i="3" a="1"/>
  <c r="I42" i="3" a="1"/>
  <c r="I44" i="3" a="1"/>
  <c r="I46" i="3" a="1"/>
  <c r="I48" i="3" a="1"/>
  <c r="I50" i="3" a="1"/>
  <c r="I52" i="3" a="1"/>
  <c r="I54" i="3" a="1"/>
  <c r="I56" i="3" a="1"/>
  <c r="I58" i="3" a="1"/>
  <c r="I60" i="3" a="1"/>
  <c r="I62" i="3" a="1"/>
  <c r="I64" i="3" a="1"/>
  <c r="I66" i="3" a="1"/>
  <c r="I68" i="3" a="1"/>
  <c r="I70" i="3" a="1"/>
  <c r="I72" i="3" a="1"/>
  <c r="I74" i="3" a="1"/>
  <c r="I76" i="3" a="1"/>
  <c r="I78" i="3" a="1"/>
  <c r="I80" i="3" a="1"/>
  <c r="I82" i="3" a="1"/>
  <c r="I84" i="3" a="1"/>
  <c r="I86" i="3" a="1"/>
  <c r="I88" i="3" a="1"/>
  <c r="I90" i="3" a="1"/>
  <c r="I92" i="3" a="1"/>
  <c r="I94" i="3" a="1"/>
  <c r="I96" i="3" a="1"/>
  <c r="I98" i="3" a="1"/>
  <c r="I100" i="3" a="1"/>
  <c r="I102" i="3" a="1"/>
  <c r="I104" i="3" a="1"/>
  <c r="I106" i="3" a="1"/>
  <c r="I108" i="3" a="1"/>
  <c r="I110" i="3" a="1"/>
  <c r="I112" i="3" a="1"/>
  <c r="I114" i="3" a="1"/>
  <c r="I116" i="3" a="1"/>
  <c r="I118" i="3" a="1"/>
  <c r="I120" i="3" a="1"/>
  <c r="I122" i="3" a="1"/>
  <c r="I124" i="3" a="1"/>
  <c r="I126" i="3" a="1"/>
  <c r="I127" i="3" a="1"/>
  <c r="I131" i="3" a="1"/>
  <c r="I135" i="3" a="1"/>
  <c r="I139" i="3" a="1"/>
  <c r="I143" i="3" a="1"/>
  <c r="I147" i="3" a="1"/>
  <c r="I151" i="3" a="1"/>
  <c r="I155" i="3" a="1"/>
  <c r="I159" i="3" a="1"/>
  <c r="I162" i="3" a="1"/>
  <c r="I167" i="3" a="1"/>
  <c r="I170" i="3" a="1"/>
  <c r="I175" i="3" a="1"/>
  <c r="I178" i="3" a="1"/>
  <c r="I183" i="3" a="1"/>
  <c r="I186" i="3" a="1"/>
  <c r="I191" i="3" a="1"/>
  <c r="I194" i="3" a="1"/>
  <c r="I199" i="3" a="1"/>
  <c r="I201" i="3" a="1"/>
  <c r="I203" i="3" a="1"/>
  <c r="I205" i="3" a="1"/>
  <c r="I207" i="3" a="1"/>
  <c r="I209" i="3" a="1"/>
  <c r="I211" i="3" a="1"/>
  <c r="I213" i="3" a="1"/>
  <c r="I215" i="3" a="1"/>
  <c r="I217" i="3" a="1"/>
  <c r="I219" i="3" a="1"/>
  <c r="I221" i="3" a="1"/>
  <c r="I223" i="3" a="1"/>
  <c r="I225" i="3" a="1"/>
  <c r="I227" i="3" a="1"/>
  <c r="I229" i="3" a="1"/>
  <c r="I231" i="3" a="1"/>
  <c r="I233" i="3" a="1"/>
  <c r="I235" i="3" a="1"/>
  <c r="I237" i="3" a="1"/>
  <c r="I239" i="3" a="1"/>
  <c r="I241" i="3" a="1"/>
  <c r="I243" i="3" a="1"/>
  <c r="I245" i="3" a="1"/>
  <c r="I247" i="3" a="1"/>
  <c r="I249" i="3" a="1"/>
  <c r="I128" i="3" a="1"/>
  <c r="I132" i="3" a="1"/>
  <c r="I136" i="3" a="1"/>
  <c r="I140" i="3" a="1"/>
  <c r="I144" i="3" a="1"/>
  <c r="I148" i="3" a="1"/>
  <c r="I152" i="3" a="1"/>
  <c r="I156" i="3" a="1"/>
  <c r="I160" i="3" a="1"/>
  <c r="I165" i="3" a="1"/>
  <c r="I168" i="3" a="1"/>
  <c r="I173" i="3" a="1"/>
  <c r="I176" i="3" a="1"/>
  <c r="I181" i="3" a="1"/>
  <c r="I184" i="3" a="1"/>
  <c r="I189" i="3" a="1"/>
  <c r="I192" i="3" a="1"/>
  <c r="I197" i="3" a="1"/>
  <c r="I129" i="3" a="1"/>
  <c r="I133" i="3" a="1"/>
  <c r="I137" i="3" a="1"/>
  <c r="I141" i="3" a="1"/>
  <c r="I145" i="3" a="1"/>
  <c r="I149" i="3" a="1"/>
  <c r="I153" i="3" a="1"/>
  <c r="I157" i="3" a="1"/>
  <c r="I163" i="3" a="1"/>
  <c r="I166" i="3" a="1"/>
  <c r="I171" i="3" a="1"/>
  <c r="I174" i="3" a="1"/>
  <c r="I179" i="3" a="1"/>
  <c r="I182" i="3" a="1"/>
  <c r="I187" i="3" a="1"/>
  <c r="I190" i="3" a="1"/>
  <c r="I195" i="3" a="1"/>
  <c r="I198" i="3" a="1"/>
  <c r="I200" i="3" a="1"/>
  <c r="I202" i="3" a="1"/>
  <c r="I204" i="3" a="1"/>
  <c r="I206" i="3" a="1"/>
  <c r="I208" i="3" a="1"/>
  <c r="I210" i="3" a="1"/>
  <c r="I212" i="3" a="1"/>
  <c r="I214" i="3" a="1"/>
  <c r="I216" i="3" a="1"/>
  <c r="I218" i="3" a="1"/>
  <c r="I220" i="3" a="1"/>
  <c r="I222" i="3" a="1"/>
  <c r="I224" i="3" a="1"/>
  <c r="I226" i="3" a="1"/>
  <c r="I228" i="3" a="1"/>
  <c r="I230" i="3" a="1"/>
  <c r="I232" i="3" a="1"/>
  <c r="I234" i="3" a="1"/>
  <c r="I236" i="3" a="1"/>
  <c r="I238" i="3" a="1"/>
  <c r="I240" i="3" a="1"/>
  <c r="I242" i="3" a="1"/>
  <c r="I244" i="3" a="1"/>
  <c r="I246" i="3" a="1"/>
  <c r="I248" i="3" a="1"/>
  <c r="I250" i="3" a="1"/>
  <c r="I252" i="3" a="1"/>
  <c r="I254" i="3" a="1"/>
  <c r="I256" i="3" a="1"/>
  <c r="I258" i="3" a="1"/>
  <c r="I260" i="3" a="1"/>
  <c r="I262" i="3" a="1"/>
  <c r="I264" i="3" a="1"/>
  <c r="I266" i="3" a="1"/>
  <c r="I268" i="3" a="1"/>
  <c r="I270" i="3" a="1"/>
  <c r="I272" i="3" a="1"/>
  <c r="I274" i="3" a="1"/>
  <c r="I276" i="3" a="1"/>
  <c r="I278" i="3" a="1"/>
  <c r="I280" i="3" a="1"/>
  <c r="I282" i="3" a="1"/>
  <c r="I284" i="3" a="1"/>
  <c r="I286" i="3" a="1"/>
  <c r="I288" i="3" a="1"/>
  <c r="I290" i="3" a="1"/>
  <c r="I292" i="3" a="1"/>
  <c r="I294" i="3" a="1"/>
  <c r="I130" i="3" a="1"/>
  <c r="I134" i="3" a="1"/>
  <c r="I138" i="3" a="1"/>
  <c r="I142" i="3" a="1"/>
  <c r="I146" i="3" a="1"/>
  <c r="I150" i="3" a="1"/>
  <c r="I154" i="3" a="1"/>
  <c r="I158" i="3" a="1"/>
  <c r="I161" i="3" a="1"/>
  <c r="I164" i="3" a="1"/>
  <c r="I169" i="3" a="1"/>
  <c r="I172" i="3" a="1"/>
  <c r="I177" i="3" a="1"/>
  <c r="I180" i="3" a="1"/>
  <c r="I185" i="3" a="1"/>
  <c r="I188" i="3" a="1"/>
  <c r="I193" i="3" a="1"/>
  <c r="I196" i="3" a="1"/>
  <c r="I253" i="3" a="1"/>
  <c r="I257" i="3" a="1"/>
  <c r="I261" i="3" a="1"/>
  <c r="I265" i="3" a="1"/>
  <c r="I269" i="3" a="1"/>
  <c r="I273" i="3" a="1"/>
  <c r="I277" i="3" a="1"/>
  <c r="I281" i="3" a="1"/>
  <c r="I285" i="3" a="1"/>
  <c r="I289" i="3" a="1"/>
  <c r="I293" i="3" a="1"/>
  <c r="I299" i="3" a="1"/>
  <c r="I302" i="3" a="1"/>
  <c r="I307" i="3" a="1"/>
  <c r="I310" i="3" a="1"/>
  <c r="I315" i="3" a="1"/>
  <c r="I318" i="3" a="1"/>
  <c r="I323" i="3" a="1"/>
  <c r="I326" i="3" a="1"/>
  <c r="I331" i="3" a="1"/>
  <c r="I334" i="3" a="1"/>
  <c r="I339" i="3" a="1"/>
  <c r="I297" i="3" a="1"/>
  <c r="I300" i="3" a="1"/>
  <c r="I305" i="3" a="1"/>
  <c r="I308" i="3" a="1"/>
  <c r="I313" i="3" a="1"/>
  <c r="I316" i="3" a="1"/>
  <c r="I321" i="3" a="1"/>
  <c r="I324" i="3" a="1"/>
  <c r="I329" i="3" a="1"/>
  <c r="I332" i="3" a="1"/>
  <c r="I337" i="3" a="1"/>
  <c r="I340" i="3" a="1"/>
  <c r="I345" i="3" a="1"/>
  <c r="I348" i="3" a="1"/>
  <c r="I353" i="3" a="1"/>
  <c r="I356" i="3" a="1"/>
  <c r="I361" i="3" a="1"/>
  <c r="I364" i="3" a="1"/>
  <c r="I369" i="3" a="1"/>
  <c r="I372" i="3" a="1"/>
  <c r="I377" i="3" a="1"/>
  <c r="I380" i="3" a="1"/>
  <c r="I385" i="3" a="1"/>
  <c r="I388" i="3" a="1"/>
  <c r="I393" i="3" a="1"/>
  <c r="I396" i="3" a="1"/>
  <c r="I401" i="3" a="1"/>
  <c r="I404" i="3" a="1"/>
  <c r="I409" i="3" a="1"/>
  <c r="I412" i="3" a="1"/>
  <c r="I417" i="3" a="1"/>
  <c r="I420" i="3" a="1"/>
  <c r="I425" i="3" a="1"/>
  <c r="I428" i="3" a="1"/>
  <c r="I433" i="3" a="1"/>
  <c r="I436" i="3" a="1"/>
  <c r="I441" i="3" a="1"/>
  <c r="I444" i="3" a="1"/>
  <c r="I449" i="3" a="1"/>
  <c r="I452" i="3" a="1"/>
  <c r="I457" i="3" a="1"/>
  <c r="I460" i="3" a="1"/>
  <c r="I465" i="3" a="1"/>
  <c r="I468" i="3" a="1"/>
  <c r="I473" i="3" a="1"/>
  <c r="I476" i="3" a="1"/>
  <c r="I481" i="3" a="1"/>
  <c r="I484" i="3" a="1"/>
  <c r="I489" i="3" a="1"/>
  <c r="I492" i="3" a="1"/>
  <c r="I497" i="3" a="1"/>
  <c r="I500" i="3" a="1"/>
  <c r="I505" i="3" a="1"/>
  <c r="I507" i="3" a="1"/>
  <c r="I509" i="3" a="1"/>
  <c r="I511" i="3" a="1"/>
  <c r="I513" i="3" a="1"/>
  <c r="I515" i="3" a="1"/>
  <c r="I517" i="3" a="1"/>
  <c r="I519" i="3" a="1"/>
  <c r="I521" i="3" a="1"/>
  <c r="I523" i="3" a="1"/>
  <c r="I525" i="3" a="1"/>
  <c r="I527" i="3" a="1"/>
  <c r="I529" i="3" a="1"/>
  <c r="I531" i="3" a="1"/>
  <c r="I251" i="3" a="1"/>
  <c r="I255" i="3" a="1"/>
  <c r="I259" i="3" a="1"/>
  <c r="I263" i="3" a="1"/>
  <c r="I267" i="3" a="1"/>
  <c r="I271" i="3" a="1"/>
  <c r="I275" i="3" a="1"/>
  <c r="I279" i="3" a="1"/>
  <c r="I283" i="3" a="1"/>
  <c r="I287" i="3" a="1"/>
  <c r="I291" i="3" a="1"/>
  <c r="I295" i="3" a="1"/>
  <c r="I298" i="3" a="1"/>
  <c r="I303" i="3" a="1"/>
  <c r="I306" i="3" a="1"/>
  <c r="I311" i="3" a="1"/>
  <c r="I314" i="3" a="1"/>
  <c r="I319" i="3" a="1"/>
  <c r="I322" i="3" a="1"/>
  <c r="I327" i="3" a="1"/>
  <c r="I330" i="3" a="1"/>
  <c r="I335" i="3" a="1"/>
  <c r="I338" i="3" a="1"/>
  <c r="I343" i="3" a="1"/>
  <c r="I346" i="3" a="1"/>
  <c r="I351" i="3" a="1"/>
  <c r="I354" i="3" a="1"/>
  <c r="I359" i="3" a="1"/>
  <c r="I362" i="3" a="1"/>
  <c r="I367" i="3" a="1"/>
  <c r="I370" i="3" a="1"/>
  <c r="I375" i="3" a="1"/>
  <c r="I378" i="3" a="1"/>
  <c r="I383" i="3" a="1"/>
  <c r="I386" i="3" a="1"/>
  <c r="I391" i="3" a="1"/>
  <c r="I394" i="3" a="1"/>
  <c r="I399" i="3" a="1"/>
  <c r="I402" i="3" a="1"/>
  <c r="I407" i="3" a="1"/>
  <c r="I410" i="3" a="1"/>
  <c r="I415" i="3" a="1"/>
  <c r="I418" i="3" a="1"/>
  <c r="I423" i="3" a="1"/>
  <c r="I426" i="3" a="1"/>
  <c r="I431" i="3" a="1"/>
  <c r="I434" i="3" a="1"/>
  <c r="I439" i="3" a="1"/>
  <c r="I442" i="3" a="1"/>
  <c r="I447" i="3" a="1"/>
  <c r="I450" i="3" a="1"/>
  <c r="I455" i="3" a="1"/>
  <c r="I458" i="3" a="1"/>
  <c r="I463" i="3" a="1"/>
  <c r="I466" i="3" a="1"/>
  <c r="I471" i="3" a="1"/>
  <c r="I474" i="3" a="1"/>
  <c r="I479" i="3" a="1"/>
  <c r="I482" i="3" a="1"/>
  <c r="I487" i="3" a="1"/>
  <c r="I490" i="3" a="1"/>
  <c r="I495" i="3" a="1"/>
  <c r="I498" i="3" a="1"/>
  <c r="I503" i="3" a="1"/>
  <c r="I296" i="3" a="1"/>
  <c r="I301" i="3" a="1"/>
  <c r="I304" i="3" a="1"/>
  <c r="I309" i="3" a="1"/>
  <c r="I312" i="3" a="1"/>
  <c r="I317" i="3" a="1"/>
  <c r="I320" i="3" a="1"/>
  <c r="I325" i="3" a="1"/>
  <c r="I328" i="3" a="1"/>
  <c r="I333" i="3" a="1"/>
  <c r="I336" i="3" a="1"/>
  <c r="I341" i="3" a="1"/>
  <c r="I344" i="3" a="1"/>
  <c r="I349" i="3" a="1"/>
  <c r="I352" i="3" a="1"/>
  <c r="I357" i="3" a="1"/>
  <c r="I360" i="3" a="1"/>
  <c r="I365" i="3" a="1"/>
  <c r="I368" i="3" a="1"/>
  <c r="I373" i="3" a="1"/>
  <c r="I376" i="3" a="1"/>
  <c r="I342" i="3" a="1"/>
  <c r="I363" i="3" a="1"/>
  <c r="I374" i="3" a="1"/>
  <c r="I381" i="3" a="1"/>
  <c r="I392" i="3" a="1"/>
  <c r="I397" i="3" a="1"/>
  <c r="I408" i="3" a="1"/>
  <c r="I413" i="3" a="1"/>
  <c r="I424" i="3" a="1"/>
  <c r="I429" i="3" a="1"/>
  <c r="I440" i="3" a="1"/>
  <c r="I445" i="3" a="1"/>
  <c r="I456" i="3" a="1"/>
  <c r="I461" i="3" a="1"/>
  <c r="I472" i="3" a="1"/>
  <c r="I477" i="3" a="1"/>
  <c r="I488" i="3" a="1"/>
  <c r="I493" i="3" a="1"/>
  <c r="I504" i="3" a="1"/>
  <c r="I508" i="3" a="1"/>
  <c r="I512" i="3" a="1"/>
  <c r="I516" i="3" a="1"/>
  <c r="I520" i="3" a="1"/>
  <c r="I524" i="3" a="1"/>
  <c r="I528" i="3" a="1"/>
  <c r="I532" i="3" a="1"/>
  <c r="I537" i="3" a="1"/>
  <c r="I539" i="3" a="1"/>
  <c r="I541" i="3" a="1"/>
  <c r="I543" i="3" a="1"/>
  <c r="I545" i="3" a="1"/>
  <c r="I547" i="3" a="1"/>
  <c r="I549" i="3" a="1"/>
  <c r="I551" i="3" a="1"/>
  <c r="I553" i="3" a="1"/>
  <c r="I555" i="3" a="1"/>
  <c r="I355" i="3" a="1"/>
  <c r="I366" i="3" a="1"/>
  <c r="I382" i="3" a="1"/>
  <c r="I387" i="3" a="1"/>
  <c r="I398" i="3" a="1"/>
  <c r="I403" i="3" a="1"/>
  <c r="I414" i="3" a="1"/>
  <c r="I419" i="3" a="1"/>
  <c r="I430" i="3" a="1"/>
  <c r="I435" i="3" a="1"/>
  <c r="I446" i="3" a="1"/>
  <c r="I451" i="3" a="1"/>
  <c r="I462" i="3" a="1"/>
  <c r="I467" i="3" a="1"/>
  <c r="I478" i="3" a="1"/>
  <c r="I483" i="3" a="1"/>
  <c r="I494" i="3" a="1"/>
  <c r="I499" i="3" a="1"/>
  <c r="I535" i="3" a="1"/>
  <c r="I347" i="3" a="1"/>
  <c r="I358" i="3" a="1"/>
  <c r="I384" i="3" a="1"/>
  <c r="I389" i="3" a="1"/>
  <c r="I400" i="3" a="1"/>
  <c r="I405" i="3" a="1"/>
  <c r="I416" i="3" a="1"/>
  <c r="I421" i="3" a="1"/>
  <c r="I432" i="3" a="1"/>
  <c r="I437" i="3" a="1"/>
  <c r="I448" i="3" a="1"/>
  <c r="I453" i="3" a="1"/>
  <c r="I464" i="3" a="1"/>
  <c r="I469" i="3" a="1"/>
  <c r="I480" i="3" a="1"/>
  <c r="I485" i="3" a="1"/>
  <c r="I496" i="3" a="1"/>
  <c r="I501" i="3" a="1"/>
  <c r="I506" i="3" a="1"/>
  <c r="I510" i="3" a="1"/>
  <c r="I514" i="3" a="1"/>
  <c r="I518" i="3" a="1"/>
  <c r="I522" i="3" a="1"/>
  <c r="I526" i="3" a="1"/>
  <c r="I530" i="3" a="1"/>
  <c r="I533" i="3" a="1"/>
  <c r="I536" i="3" a="1"/>
  <c r="I538" i="3" a="1"/>
  <c r="I540" i="3" a="1"/>
  <c r="I542" i="3" a="1"/>
  <c r="I544" i="3" a="1"/>
  <c r="I546" i="3" a="1"/>
  <c r="I548" i="3" a="1"/>
  <c r="I550" i="3" a="1"/>
  <c r="I552" i="3" a="1"/>
  <c r="I554" i="3" a="1"/>
  <c r="I556" i="3" a="1"/>
  <c r="I558" i="3" a="1"/>
  <c r="I560" i="3" a="1"/>
  <c r="I562" i="3" a="1"/>
  <c r="I564" i="3" a="1"/>
  <c r="I566" i="3" a="1"/>
  <c r="I568" i="3" a="1"/>
  <c r="I570" i="3" a="1"/>
  <c r="I572" i="3" a="1"/>
  <c r="I574" i="3" a="1"/>
  <c r="I576" i="3" a="1"/>
  <c r="I578" i="3" a="1"/>
  <c r="I580" i="3" a="1"/>
  <c r="I582" i="3" a="1"/>
  <c r="I584" i="3" a="1"/>
  <c r="I586" i="3" a="1"/>
  <c r="I588" i="3" a="1"/>
  <c r="I590" i="3" a="1"/>
  <c r="I592" i="3" a="1"/>
  <c r="I594" i="3" a="1"/>
  <c r="I596" i="3" a="1"/>
  <c r="I598" i="3" a="1"/>
  <c r="I600" i="3" a="1"/>
  <c r="I602" i="3" a="1"/>
  <c r="I604" i="3" a="1"/>
  <c r="I606" i="3" a="1"/>
  <c r="I608" i="3" a="1"/>
  <c r="I610" i="3" a="1"/>
  <c r="I612" i="3" a="1"/>
  <c r="I614" i="3" a="1"/>
  <c r="I616" i="3" a="1"/>
  <c r="I618" i="3" a="1"/>
  <c r="I620" i="3" a="1"/>
  <c r="I622" i="3" a="1"/>
  <c r="I624" i="3" a="1"/>
  <c r="I626" i="3" a="1"/>
  <c r="I628" i="3" a="1"/>
  <c r="I630" i="3" a="1"/>
  <c r="I632" i="3" a="1"/>
  <c r="I634" i="3" a="1"/>
  <c r="I636" i="3" a="1"/>
  <c r="I638" i="3" a="1"/>
  <c r="I640" i="3" a="1"/>
  <c r="I642" i="3" a="1"/>
  <c r="I644" i="3" a="1"/>
  <c r="I646" i="3" a="1"/>
  <c r="I648" i="3" a="1"/>
  <c r="I650" i="3" a="1"/>
  <c r="I652" i="3" a="1"/>
  <c r="I654" i="3" a="1"/>
  <c r="I656" i="3" a="1"/>
  <c r="I658" i="3" a="1"/>
  <c r="I660" i="3" a="1"/>
  <c r="I662" i="3" a="1"/>
  <c r="I350" i="3" a="1"/>
  <c r="I371" i="3" a="1"/>
  <c r="I379" i="3" a="1"/>
  <c r="I390" i="3" a="1"/>
  <c r="I395" i="3" a="1"/>
  <c r="I406" i="3" a="1"/>
  <c r="I411" i="3" a="1"/>
  <c r="I422" i="3" a="1"/>
  <c r="I427" i="3" a="1"/>
  <c r="I438" i="3" a="1"/>
  <c r="I443" i="3" a="1"/>
  <c r="I454" i="3" a="1"/>
  <c r="I459" i="3" a="1"/>
  <c r="I470" i="3" a="1"/>
  <c r="I475" i="3" a="1"/>
  <c r="I486" i="3" a="1"/>
  <c r="I491" i="3" a="1"/>
  <c r="I502" i="3" a="1"/>
  <c r="I534" i="3" a="1"/>
  <c r="I557" i="3" a="1"/>
  <c r="I565" i="3" a="1"/>
  <c r="I573" i="3" a="1"/>
  <c r="I581" i="3" a="1"/>
  <c r="I589" i="3" a="1"/>
  <c r="I597" i="3" a="1"/>
  <c r="I605" i="3" a="1"/>
  <c r="I613" i="3" a="1"/>
  <c r="I621" i="3" a="1"/>
  <c r="I629" i="3" a="1"/>
  <c r="I637" i="3" a="1"/>
  <c r="I645" i="3" a="1"/>
  <c r="I665" i="3" a="1"/>
  <c r="I668" i="3" a="1"/>
  <c r="I673" i="3" a="1"/>
  <c r="I676" i="3" a="1"/>
  <c r="I681" i="3" a="1"/>
  <c r="I684" i="3" a="1"/>
  <c r="I689" i="3" a="1"/>
  <c r="I692" i="3" a="1"/>
  <c r="I697" i="3" a="1"/>
  <c r="I700" i="3" a="1"/>
  <c r="I705" i="3" a="1"/>
  <c r="I708" i="3" a="1"/>
  <c r="I713" i="3" a="1"/>
  <c r="I716" i="3" a="1"/>
  <c r="I721" i="3" a="1"/>
  <c r="I724" i="3" a="1"/>
  <c r="I729" i="3" a="1"/>
  <c r="I732" i="3" a="1"/>
  <c r="I737" i="3" a="1"/>
  <c r="I740" i="3" a="1"/>
  <c r="I745" i="3" a="1"/>
  <c r="I748" i="3" a="1"/>
  <c r="I753" i="3" a="1"/>
  <c r="I756" i="3" a="1"/>
  <c r="I761" i="3" a="1"/>
  <c r="I764" i="3" a="1"/>
  <c r="I769" i="3" a="1"/>
  <c r="I772" i="3" a="1"/>
  <c r="I777" i="3" a="1"/>
  <c r="I780" i="3" a="1"/>
  <c r="I785" i="3" a="1"/>
  <c r="I788" i="3" a="1"/>
  <c r="I793" i="3" a="1"/>
  <c r="I796" i="3" a="1"/>
  <c r="I801" i="3" a="1"/>
  <c r="I804" i="3" a="1"/>
  <c r="I809" i="3" a="1"/>
  <c r="I812" i="3" a="1"/>
  <c r="I817" i="3" a="1"/>
  <c r="I820" i="3" a="1"/>
  <c r="I825" i="3" a="1"/>
  <c r="I828" i="3" a="1"/>
  <c r="I833" i="3" a="1"/>
  <c r="I836" i="3" a="1"/>
  <c r="I841" i="3" a="1"/>
  <c r="I844" i="3" a="1"/>
  <c r="I849" i="3" a="1"/>
  <c r="I852" i="3" a="1"/>
  <c r="I857" i="3" a="1"/>
  <c r="I860" i="3" a="1"/>
  <c r="I865" i="3" a="1"/>
  <c r="I868" i="3" a="1"/>
  <c r="I873" i="3" a="1"/>
  <c r="I876" i="3" a="1"/>
  <c r="I881" i="3" a="1"/>
  <c r="I884" i="3" a="1"/>
  <c r="I889" i="3" a="1"/>
  <c r="I892" i="3" a="1"/>
  <c r="I897" i="3" a="1"/>
  <c r="I900" i="3" a="1"/>
  <c r="I905" i="3" a="1"/>
  <c r="I908" i="3" a="1"/>
  <c r="I913" i="3" a="1"/>
  <c r="I559" i="3" a="1"/>
  <c r="I567" i="3" a="1"/>
  <c r="I575" i="3" a="1"/>
  <c r="I583" i="3" a="1"/>
  <c r="I591" i="3" a="1"/>
  <c r="I599" i="3" a="1"/>
  <c r="I607" i="3" a="1"/>
  <c r="I615" i="3" a="1"/>
  <c r="I623" i="3" a="1"/>
  <c r="I631" i="3" a="1"/>
  <c r="I639" i="3" a="1"/>
  <c r="I647" i="3" a="1"/>
  <c r="I651" i="3" a="1"/>
  <c r="I655" i="3" a="1"/>
  <c r="I659" i="3" a="1"/>
  <c r="I663" i="3" a="1"/>
  <c r="I666" i="3" a="1"/>
  <c r="I671" i="3" a="1"/>
  <c r="I674" i="3" a="1"/>
  <c r="I679" i="3" a="1"/>
  <c r="I682" i="3" a="1"/>
  <c r="I687" i="3" a="1"/>
  <c r="I690" i="3" a="1"/>
  <c r="I695" i="3" a="1"/>
  <c r="I698" i="3" a="1"/>
  <c r="I703" i="3" a="1"/>
  <c r="I706" i="3" a="1"/>
  <c r="I711" i="3" a="1"/>
  <c r="I714" i="3" a="1"/>
  <c r="I719" i="3" a="1"/>
  <c r="I722" i="3" a="1"/>
  <c r="I727" i="3" a="1"/>
  <c r="I730" i="3" a="1"/>
  <c r="I735" i="3" a="1"/>
  <c r="I738" i="3" a="1"/>
  <c r="I743" i="3" a="1"/>
  <c r="I746" i="3" a="1"/>
  <c r="I751" i="3" a="1"/>
  <c r="I754" i="3" a="1"/>
  <c r="I759" i="3" a="1"/>
  <c r="I762" i="3" a="1"/>
  <c r="I767" i="3" a="1"/>
  <c r="I770" i="3" a="1"/>
  <c r="I775" i="3" a="1"/>
  <c r="I778" i="3" a="1"/>
  <c r="I783" i="3" a="1"/>
  <c r="I786" i="3" a="1"/>
  <c r="I791" i="3" a="1"/>
  <c r="I794" i="3" a="1"/>
  <c r="I799" i="3" a="1"/>
  <c r="I802" i="3" a="1"/>
  <c r="I807" i="3" a="1"/>
  <c r="I810" i="3" a="1"/>
  <c r="I815" i="3" a="1"/>
  <c r="I818" i="3" a="1"/>
  <c r="I823" i="3" a="1"/>
  <c r="I826" i="3" a="1"/>
  <c r="I831" i="3" a="1"/>
  <c r="I834" i="3" a="1"/>
  <c r="I839" i="3" a="1"/>
  <c r="I842" i="3" a="1"/>
  <c r="I847" i="3" a="1"/>
  <c r="I850" i="3" a="1"/>
  <c r="I855" i="3" a="1"/>
  <c r="I858" i="3" a="1"/>
  <c r="I863" i="3" a="1"/>
  <c r="I866" i="3" a="1"/>
  <c r="I871" i="3" a="1"/>
  <c r="I874" i="3" a="1"/>
  <c r="I879" i="3" a="1"/>
  <c r="I882" i="3" a="1"/>
  <c r="I887" i="3" a="1"/>
  <c r="I890" i="3" a="1"/>
  <c r="I895" i="3" a="1"/>
  <c r="I898" i="3" a="1"/>
  <c r="I903" i="3" a="1"/>
  <c r="I906" i="3" a="1"/>
  <c r="I911" i="3" a="1"/>
  <c r="I914" i="3" a="1"/>
  <c r="I919" i="3" a="1"/>
  <c r="I922" i="3" a="1"/>
  <c r="I927" i="3" a="1"/>
  <c r="I930" i="3" a="1"/>
  <c r="I935" i="3" a="1"/>
  <c r="I938" i="3" a="1"/>
  <c r="I943" i="3" a="1"/>
  <c r="I946" i="3" a="1"/>
  <c r="I951" i="3" a="1"/>
  <c r="I954" i="3" a="1"/>
  <c r="I959" i="3" a="1"/>
  <c r="I962" i="3" a="1"/>
  <c r="I967" i="3" a="1"/>
  <c r="I970" i="3" a="1"/>
  <c r="I975" i="3" a="1"/>
  <c r="I978" i="3" a="1"/>
  <c r="I983" i="3" a="1"/>
  <c r="I986" i="3" a="1"/>
  <c r="I991" i="3" a="1"/>
  <c r="I994" i="3" a="1"/>
  <c r="I999" i="3" a="1"/>
  <c r="I1002" i="3" a="1"/>
  <c r="I1007" i="3" a="1"/>
  <c r="I1010" i="3" a="1"/>
  <c r="I1015" i="3" a="1"/>
  <c r="I1018" i="3" a="1"/>
  <c r="I1023" i="3" a="1"/>
  <c r="I1026" i="3" a="1"/>
  <c r="I1031" i="3" a="1"/>
  <c r="I1034" i="3" a="1"/>
  <c r="I1039" i="3" a="1"/>
  <c r="I1042" i="3" a="1"/>
  <c r="I1047" i="3" a="1"/>
  <c r="I1050" i="3" a="1"/>
  <c r="I1055" i="3" a="1"/>
  <c r="I1058" i="3" a="1"/>
  <c r="I1063" i="3" a="1"/>
  <c r="I1066" i="3" a="1"/>
  <c r="I1071" i="3" a="1"/>
  <c r="I1074" i="3" a="1"/>
  <c r="I1079" i="3" a="1"/>
  <c r="I1082" i="3" a="1"/>
  <c r="I1087" i="3" a="1"/>
  <c r="I1090" i="3" a="1"/>
  <c r="I1092" i="3" a="1"/>
  <c r="I1094" i="3" a="1"/>
  <c r="I561" i="3" a="1"/>
  <c r="I569" i="3" a="1"/>
  <c r="I577" i="3" a="1"/>
  <c r="I585" i="3" a="1"/>
  <c r="I593" i="3" a="1"/>
  <c r="I601" i="3" a="1"/>
  <c r="I609" i="3" a="1"/>
  <c r="I617" i="3" a="1"/>
  <c r="I625" i="3" a="1"/>
  <c r="I633" i="3" a="1"/>
  <c r="I641" i="3" a="1"/>
  <c r="I664" i="3" a="1"/>
  <c r="I669" i="3" a="1"/>
  <c r="I672" i="3" a="1"/>
  <c r="I677" i="3" a="1"/>
  <c r="I680" i="3" a="1"/>
  <c r="I685" i="3" a="1"/>
  <c r="I688" i="3" a="1"/>
  <c r="I693" i="3" a="1"/>
  <c r="I696" i="3" a="1"/>
  <c r="I701" i="3" a="1"/>
  <c r="I704" i="3" a="1"/>
  <c r="I709" i="3" a="1"/>
  <c r="I712" i="3" a="1"/>
  <c r="I717" i="3" a="1"/>
  <c r="I720" i="3" a="1"/>
  <c r="I725" i="3" a="1"/>
  <c r="I728" i="3" a="1"/>
  <c r="I733" i="3" a="1"/>
  <c r="I736" i="3" a="1"/>
  <c r="I741" i="3" a="1"/>
  <c r="I744" i="3" a="1"/>
  <c r="I749" i="3" a="1"/>
  <c r="I752" i="3" a="1"/>
  <c r="I757" i="3" a="1"/>
  <c r="I760" i="3" a="1"/>
  <c r="I765" i="3" a="1"/>
  <c r="I768" i="3" a="1"/>
  <c r="I773" i="3" a="1"/>
  <c r="I776" i="3" a="1"/>
  <c r="I781" i="3" a="1"/>
  <c r="I784" i="3" a="1"/>
  <c r="I789" i="3" a="1"/>
  <c r="I792" i="3" a="1"/>
  <c r="I797" i="3" a="1"/>
  <c r="I800" i="3" a="1"/>
  <c r="I805" i="3" a="1"/>
  <c r="I808" i="3" a="1"/>
  <c r="I813" i="3" a="1"/>
  <c r="I816" i="3" a="1"/>
  <c r="I821" i="3" a="1"/>
  <c r="I824" i="3" a="1"/>
  <c r="I829" i="3" a="1"/>
  <c r="I832" i="3" a="1"/>
  <c r="I837" i="3" a="1"/>
  <c r="I840" i="3" a="1"/>
  <c r="I845" i="3" a="1"/>
  <c r="I848" i="3" a="1"/>
  <c r="I853" i="3" a="1"/>
  <c r="I856" i="3" a="1"/>
  <c r="I861" i="3" a="1"/>
  <c r="I864" i="3" a="1"/>
  <c r="I869" i="3" a="1"/>
  <c r="I872" i="3" a="1"/>
  <c r="I877" i="3" a="1"/>
  <c r="I880" i="3" a="1"/>
  <c r="I885" i="3" a="1"/>
  <c r="I888" i="3" a="1"/>
  <c r="I893" i="3" a="1"/>
  <c r="I896" i="3" a="1"/>
  <c r="I901" i="3" a="1"/>
  <c r="I904" i="3" a="1"/>
  <c r="I909" i="3" a="1"/>
  <c r="I912" i="3" a="1"/>
  <c r="I917" i="3" a="1"/>
  <c r="I920" i="3" a="1"/>
  <c r="I925" i="3" a="1"/>
  <c r="I928" i="3" a="1"/>
  <c r="I933" i="3" a="1"/>
  <c r="I936" i="3" a="1"/>
  <c r="I941" i="3" a="1"/>
  <c r="I944" i="3" a="1"/>
  <c r="I949" i="3" a="1"/>
  <c r="I952" i="3" a="1"/>
  <c r="I957" i="3" a="1"/>
  <c r="I960" i="3" a="1"/>
  <c r="I965" i="3" a="1"/>
  <c r="I968" i="3" a="1"/>
  <c r="I973" i="3" a="1"/>
  <c r="I976" i="3" a="1"/>
  <c r="I981" i="3" a="1"/>
  <c r="I984" i="3" a="1"/>
  <c r="I989" i="3" a="1"/>
  <c r="I992" i="3" a="1"/>
  <c r="I997" i="3" a="1"/>
  <c r="I1000" i="3" a="1"/>
  <c r="I1005" i="3" a="1"/>
  <c r="I1008" i="3" a="1"/>
  <c r="I1013" i="3" a="1"/>
  <c r="I1016" i="3" a="1"/>
  <c r="I1021" i="3" a="1"/>
  <c r="I1024" i="3" a="1"/>
  <c r="I1029" i="3" a="1"/>
  <c r="I1032" i="3" a="1"/>
  <c r="I1037" i="3" a="1"/>
  <c r="I1040" i="3" a="1"/>
  <c r="I1045" i="3" a="1"/>
  <c r="I1048" i="3" a="1"/>
  <c r="I1053" i="3" a="1"/>
  <c r="I1056" i="3" a="1"/>
  <c r="I1061" i="3" a="1"/>
  <c r="I1064" i="3" a="1"/>
  <c r="I1069" i="3" a="1"/>
  <c r="I1072" i="3" a="1"/>
  <c r="I1077" i="3" a="1"/>
  <c r="I1080" i="3" a="1"/>
  <c r="I1085" i="3" a="1"/>
  <c r="I1088" i="3" a="1"/>
  <c r="I563" i="3" a="1"/>
  <c r="I571" i="3" a="1"/>
  <c r="I579" i="3" a="1"/>
  <c r="I587" i="3" a="1"/>
  <c r="I595" i="3" a="1"/>
  <c r="I603" i="3" a="1"/>
  <c r="I611" i="3" a="1"/>
  <c r="I619" i="3" a="1"/>
  <c r="I627" i="3" a="1"/>
  <c r="I635" i="3" a="1"/>
  <c r="I643" i="3" a="1"/>
  <c r="I649" i="3" a="1"/>
  <c r="I653" i="3" a="1"/>
  <c r="I657" i="3" a="1"/>
  <c r="I661" i="3" a="1"/>
  <c r="I667" i="3" a="1"/>
  <c r="I670" i="3" a="1"/>
  <c r="I675" i="3" a="1"/>
  <c r="I678" i="3" a="1"/>
  <c r="I683" i="3" a="1"/>
  <c r="I686" i="3" a="1"/>
  <c r="I691" i="3" a="1"/>
  <c r="I694" i="3" a="1"/>
  <c r="I699" i="3" a="1"/>
  <c r="I702" i="3" a="1"/>
  <c r="I707" i="3" a="1"/>
  <c r="I710" i="3" a="1"/>
  <c r="I715" i="3" a="1"/>
  <c r="I718" i="3" a="1"/>
  <c r="I723" i="3" a="1"/>
  <c r="I726" i="3" a="1"/>
  <c r="I731" i="3" a="1"/>
  <c r="I734" i="3" a="1"/>
  <c r="I739" i="3" a="1"/>
  <c r="I742" i="3" a="1"/>
  <c r="I747" i="3" a="1"/>
  <c r="I750" i="3" a="1"/>
  <c r="I755" i="3" a="1"/>
  <c r="I758" i="3" a="1"/>
  <c r="I763" i="3" a="1"/>
  <c r="I766" i="3" a="1"/>
  <c r="I771" i="3" a="1"/>
  <c r="I774" i="3" a="1"/>
  <c r="I779" i="3" a="1"/>
  <c r="I782" i="3" a="1"/>
  <c r="I787" i="3" a="1"/>
  <c r="I790" i="3" a="1"/>
  <c r="I795" i="3" a="1"/>
  <c r="I798" i="3" a="1"/>
  <c r="I803" i="3" a="1"/>
  <c r="I806" i="3" a="1"/>
  <c r="I811" i="3" a="1"/>
  <c r="I814" i="3" a="1"/>
  <c r="I819" i="3" a="1"/>
  <c r="I822" i="3" a="1"/>
  <c r="I827" i="3" a="1"/>
  <c r="I830" i="3" a="1"/>
  <c r="I835" i="3" a="1"/>
  <c r="I838" i="3" a="1"/>
  <c r="I843" i="3" a="1"/>
  <c r="I846" i="3" a="1"/>
  <c r="I851" i="3" a="1"/>
  <c r="I854" i="3" a="1"/>
  <c r="I859" i="3" a="1"/>
  <c r="I862" i="3" a="1"/>
  <c r="I867" i="3" a="1"/>
  <c r="I870" i="3" a="1"/>
  <c r="I875" i="3" a="1"/>
  <c r="I878" i="3" a="1"/>
  <c r="I883" i="3" a="1"/>
  <c r="I886" i="3" a="1"/>
  <c r="I891" i="3" a="1"/>
  <c r="I894" i="3" a="1"/>
  <c r="I899" i="3" a="1"/>
  <c r="I902" i="3" a="1"/>
  <c r="I907" i="3" a="1"/>
  <c r="I910" i="3" a="1"/>
  <c r="I915" i="3" a="1"/>
  <c r="I918" i="3" a="1"/>
  <c r="I923" i="3" a="1"/>
  <c r="I926" i="3" a="1"/>
  <c r="I916" i="3" a="1"/>
  <c r="I932" i="3" a="1"/>
  <c r="I937" i="3" a="1"/>
  <c r="I948" i="3" a="1"/>
  <c r="I953" i="3" a="1"/>
  <c r="I964" i="3" a="1"/>
  <c r="I969" i="3" a="1"/>
  <c r="I980" i="3" a="1"/>
  <c r="I985" i="3" a="1"/>
  <c r="I996" i="3" a="1"/>
  <c r="I1001" i="3" a="1"/>
  <c r="I1012" i="3" a="1"/>
  <c r="I1017" i="3" a="1"/>
  <c r="I1028" i="3" a="1"/>
  <c r="I1033" i="3" a="1"/>
  <c r="I1044" i="3" a="1"/>
  <c r="I1049" i="3" a="1"/>
  <c r="I1060" i="3" a="1"/>
  <c r="I1065" i="3" a="1"/>
  <c r="I1076" i="3" a="1"/>
  <c r="I1081" i="3" a="1"/>
  <c r="I1098" i="3" a="1"/>
  <c r="I1101" i="3" a="1"/>
  <c r="I1103" i="3" a="1"/>
  <c r="I1105" i="3" a="1"/>
  <c r="I1107" i="3" a="1"/>
  <c r="I1109" i="3" a="1"/>
  <c r="I1111" i="3" a="1"/>
  <c r="I1113" i="3" a="1"/>
  <c r="I1115" i="3" a="1"/>
  <c r="I1117" i="3" a="1"/>
  <c r="I1119" i="3" a="1"/>
  <c r="I1121" i="3" a="1"/>
  <c r="I1123" i="3" a="1"/>
  <c r="I1125" i="3" a="1"/>
  <c r="I1127" i="3" a="1"/>
  <c r="I1129" i="3" a="1"/>
  <c r="I1131" i="3" a="1"/>
  <c r="I1133" i="3" a="1"/>
  <c r="I1135" i="3" a="1"/>
  <c r="I1137" i="3" a="1"/>
  <c r="I1139" i="3" a="1"/>
  <c r="I1141" i="3" a="1"/>
  <c r="I1143" i="3" a="1"/>
  <c r="I1145" i="3" a="1"/>
  <c r="I1147" i="3" a="1"/>
  <c r="I1149" i="3" a="1"/>
  <c r="I1151" i="3" a="1"/>
  <c r="I1153" i="3" a="1"/>
  <c r="I1155" i="3" a="1"/>
  <c r="I1157" i="3" a="1"/>
  <c r="I1159" i="3" a="1"/>
  <c r="I1161" i="3" a="1"/>
  <c r="I1163" i="3" a="1"/>
  <c r="I934" i="3" a="1"/>
  <c r="I939" i="3" a="1"/>
  <c r="I950" i="3" a="1"/>
  <c r="I955" i="3" a="1"/>
  <c r="I966" i="3" a="1"/>
  <c r="I971" i="3" a="1"/>
  <c r="I982" i="3" a="1"/>
  <c r="I987" i="3" a="1"/>
  <c r="I998" i="3" a="1"/>
  <c r="I1003" i="3" a="1"/>
  <c r="I1014" i="3" a="1"/>
  <c r="I1019" i="3" a="1"/>
  <c r="I1030" i="3" a="1"/>
  <c r="I1035" i="3" a="1"/>
  <c r="I1046" i="3" a="1"/>
  <c r="I1051" i="3" a="1"/>
  <c r="I1062" i="3" a="1"/>
  <c r="I1067" i="3" a="1"/>
  <c r="I1078" i="3" a="1"/>
  <c r="I1083" i="3" a="1"/>
  <c r="I1093" i="3" a="1"/>
  <c r="I1096" i="3" a="1"/>
  <c r="I1099" i="3" a="1"/>
  <c r="I921" i="3" a="1"/>
  <c r="I929" i="3" a="1"/>
  <c r="I940" i="3" a="1"/>
  <c r="I945" i="3" a="1"/>
  <c r="I956" i="3" a="1"/>
  <c r="I961" i="3" a="1"/>
  <c r="I972" i="3" a="1"/>
  <c r="I977" i="3" a="1"/>
  <c r="I988" i="3" a="1"/>
  <c r="I993" i="3" a="1"/>
  <c r="I1004" i="3" a="1"/>
  <c r="I1009" i="3" a="1"/>
  <c r="I1020" i="3" a="1"/>
  <c r="I1025" i="3" a="1"/>
  <c r="I1036" i="3" a="1"/>
  <c r="I1041" i="3" a="1"/>
  <c r="I1052" i="3" a="1"/>
  <c r="I1057" i="3" a="1"/>
  <c r="I1068" i="3" a="1"/>
  <c r="I1073" i="3" a="1"/>
  <c r="I1084" i="3" a="1"/>
  <c r="I1089" i="3" a="1"/>
  <c r="I1097" i="3" a="1"/>
  <c r="I1102" i="3" a="1"/>
  <c r="I1104" i="3" a="1"/>
  <c r="I1106" i="3" a="1"/>
  <c r="I1108" i="3" a="1"/>
  <c r="I1110" i="3" a="1"/>
  <c r="I1112" i="3" a="1"/>
  <c r="I1114" i="3" a="1"/>
  <c r="I1116" i="3" a="1"/>
  <c r="I1118" i="3" a="1"/>
  <c r="I1120" i="3" a="1"/>
  <c r="I1122" i="3" a="1"/>
  <c r="I1124" i="3" a="1"/>
  <c r="I1126" i="3" a="1"/>
  <c r="I1128" i="3" a="1"/>
  <c r="I1130" i="3" a="1"/>
  <c r="I1132" i="3" a="1"/>
  <c r="I1134" i="3" a="1"/>
  <c r="I1136" i="3" a="1"/>
  <c r="I1138" i="3" a="1"/>
  <c r="I1140" i="3" a="1"/>
  <c r="I1142" i="3" a="1"/>
  <c r="I1144" i="3" a="1"/>
  <c r="I1146" i="3" a="1"/>
  <c r="I1148" i="3" a="1"/>
  <c r="I1150" i="3" a="1"/>
  <c r="I1152" i="3" a="1"/>
  <c r="I1154" i="3" a="1"/>
  <c r="I1156" i="3" a="1"/>
  <c r="I1158" i="3" a="1"/>
  <c r="I1160" i="3" a="1"/>
  <c r="I1162" i="3" a="1"/>
  <c r="I1164" i="3" a="1"/>
  <c r="I1166" i="3" a="1"/>
  <c r="I1168" i="3" a="1"/>
  <c r="I1170" i="3" a="1"/>
  <c r="I1172" i="3" a="1"/>
  <c r="I1174" i="3" a="1"/>
  <c r="I1176" i="3" a="1"/>
  <c r="I1178" i="3" a="1"/>
  <c r="I1180" i="3" a="1"/>
  <c r="I1182" i="3" a="1"/>
  <c r="I1184" i="3" a="1"/>
  <c r="I1186" i="3" a="1"/>
  <c r="I1188" i="3" a="1"/>
  <c r="I1190" i="3" a="1"/>
  <c r="I1192" i="3" a="1"/>
  <c r="I1194" i="3" a="1"/>
  <c r="I1196" i="3" a="1"/>
  <c r="I1198" i="3" a="1"/>
  <c r="I1200" i="3" a="1"/>
  <c r="I1202" i="3" a="1"/>
  <c r="I1204" i="3" a="1"/>
  <c r="I1206" i="3" a="1"/>
  <c r="I1208" i="3" a="1"/>
  <c r="I1210" i="3" a="1"/>
  <c r="I1212" i="3" a="1"/>
  <c r="I1214" i="3" a="1"/>
  <c r="I1216" i="3" a="1"/>
  <c r="I1218" i="3" a="1"/>
  <c r="I1220" i="3" a="1"/>
  <c r="I1222" i="3" a="1"/>
  <c r="I1224" i="3" a="1"/>
  <c r="I1226" i="3" a="1"/>
  <c r="I1228" i="3" a="1"/>
  <c r="I1230" i="3" a="1"/>
  <c r="I1232" i="3" a="1"/>
  <c r="I1234" i="3" a="1"/>
  <c r="I1236" i="3" a="1"/>
  <c r="I1238" i="3" a="1"/>
  <c r="I1240" i="3" a="1"/>
  <c r="I1242" i="3" a="1"/>
  <c r="I1244" i="3" a="1"/>
  <c r="I1246" i="3" a="1"/>
  <c r="I1248" i="3" a="1"/>
  <c r="I1250" i="3" a="1"/>
  <c r="I1252" i="3" a="1"/>
  <c r="I1254" i="3" a="1"/>
  <c r="I1256" i="3" a="1"/>
  <c r="I1258" i="3" a="1"/>
  <c r="I1260" i="3" a="1"/>
  <c r="I1262" i="3" a="1"/>
  <c r="I1264" i="3" a="1"/>
  <c r="I1266" i="3" a="1"/>
  <c r="I1268" i="3" a="1"/>
  <c r="I924" i="3" a="1"/>
  <c r="I931" i="3" a="1"/>
  <c r="I942" i="3" a="1"/>
  <c r="I947" i="3" a="1"/>
  <c r="I958" i="3" a="1"/>
  <c r="I963" i="3" a="1"/>
  <c r="I974" i="3" a="1"/>
  <c r="I979" i="3" a="1"/>
  <c r="I990" i="3" a="1"/>
  <c r="I995" i="3" a="1"/>
  <c r="I1006" i="3" a="1"/>
  <c r="I1011" i="3" a="1"/>
  <c r="I1022" i="3" a="1"/>
  <c r="I1027" i="3" a="1"/>
  <c r="I1038" i="3" a="1"/>
  <c r="I1043" i="3" a="1"/>
  <c r="I1054" i="3" a="1"/>
  <c r="I1059" i="3" a="1"/>
  <c r="I1070" i="3" a="1"/>
  <c r="I1075" i="3" a="1"/>
  <c r="I1086" i="3" a="1"/>
  <c r="I1091" i="3" a="1"/>
  <c r="I1095" i="3" a="1"/>
  <c r="I1100" i="3" a="1"/>
  <c r="I1165" i="3" a="1"/>
  <c r="I1173" i="3" a="1"/>
  <c r="I1181" i="3" a="1"/>
  <c r="I1189" i="3" a="1"/>
  <c r="I1197" i="3" a="1"/>
  <c r="I1205" i="3" a="1"/>
  <c r="I1213" i="3" a="1"/>
  <c r="I1221" i="3" a="1"/>
  <c r="I1229" i="3" a="1"/>
  <c r="I1237" i="3" a="1"/>
  <c r="I1245" i="3" a="1"/>
  <c r="I1253" i="3" a="1"/>
  <c r="I1261" i="3" a="1"/>
  <c r="I1269" i="3" a="1"/>
  <c r="I1273" i="3" a="1"/>
  <c r="I1277" i="3" a="1"/>
  <c r="I1281" i="3" a="1"/>
  <c r="I1285" i="3" a="1"/>
  <c r="I1289" i="3" a="1"/>
  <c r="I1293" i="3" a="1"/>
  <c r="I1297" i="3" a="1"/>
  <c r="I1301" i="3" a="1"/>
  <c r="I1305" i="3" a="1"/>
  <c r="I1309" i="3" a="1"/>
  <c r="I1313" i="3" a="1"/>
  <c r="I1317" i="3" a="1"/>
  <c r="I1321" i="3" a="1"/>
  <c r="I1325" i="3" a="1"/>
  <c r="I1329" i="3" a="1"/>
  <c r="I1335" i="3" a="1"/>
  <c r="I1338" i="3" a="1"/>
  <c r="I1343" i="3" a="1"/>
  <c r="I1346" i="3" a="1"/>
  <c r="I1351" i="3" a="1"/>
  <c r="I1354" i="3" a="1"/>
  <c r="I1359" i="3" a="1"/>
  <c r="I1362" i="3" a="1"/>
  <c r="I1367" i="3" a="1"/>
  <c r="I1370" i="3" a="1"/>
  <c r="I1375" i="3" a="1"/>
  <c r="I1378" i="3" a="1"/>
  <c r="I1383" i="3" a="1"/>
  <c r="I1386" i="3" a="1"/>
  <c r="I1391" i="3" a="1"/>
  <c r="I1394" i="3" a="1"/>
  <c r="I1399" i="3" a="1"/>
  <c r="I1402" i="3" a="1"/>
  <c r="I1407" i="3" a="1"/>
  <c r="I1410" i="3" a="1"/>
  <c r="I1415" i="3" a="1"/>
  <c r="I1418" i="3" a="1"/>
  <c r="I1423" i="3" a="1"/>
  <c r="I1426" i="3" a="1"/>
  <c r="I1431" i="3" a="1"/>
  <c r="I1434" i="3" a="1"/>
  <c r="I1439" i="3" a="1"/>
  <c r="I1442" i="3" a="1"/>
  <c r="I1447" i="3" a="1"/>
  <c r="I1450" i="3" a="1"/>
  <c r="I1455" i="3" a="1"/>
  <c r="I1458" i="3" a="1"/>
  <c r="I1463" i="3" a="1"/>
  <c r="I1466" i="3" a="1"/>
  <c r="I1471" i="3" a="1"/>
  <c r="I1474" i="3" a="1"/>
  <c r="I1479" i="3" a="1"/>
  <c r="I1482" i="3" a="1"/>
  <c r="I1487" i="3" a="1"/>
  <c r="I1490" i="3" a="1"/>
  <c r="I1495" i="3" a="1"/>
  <c r="I1498" i="3" a="1"/>
  <c r="I1503" i="3" a="1"/>
  <c r="I1506" i="3" a="1"/>
  <c r="I1511" i="3" a="1"/>
  <c r="I1514" i="3" a="1"/>
  <c r="I1519" i="3" a="1"/>
  <c r="I1522" i="3" a="1"/>
  <c r="I1527" i="3" a="1"/>
  <c r="I1530" i="3" a="1"/>
  <c r="I1535" i="3" a="1"/>
  <c r="I1538" i="3" a="1"/>
  <c r="I1543" i="3" a="1"/>
  <c r="I1546" i="3" a="1"/>
  <c r="I1551" i="3" a="1"/>
  <c r="I1554" i="3" a="1"/>
  <c r="I1559" i="3" a="1"/>
  <c r="I1562" i="3" a="1"/>
  <c r="I1567" i="3" a="1"/>
  <c r="I1570" i="3" a="1"/>
  <c r="I1575" i="3" a="1"/>
  <c r="I1578" i="3" a="1"/>
  <c r="I1583" i="3" a="1"/>
  <c r="I1586" i="3" a="1"/>
  <c r="I1591" i="3" a="1"/>
  <c r="I1594" i="3" a="1"/>
  <c r="I1599" i="3" a="1"/>
  <c r="I1602" i="3" a="1"/>
  <c r="I1607" i="3" a="1"/>
  <c r="I1610" i="3" a="1"/>
  <c r="I1615" i="3" a="1"/>
  <c r="I1618" i="3" a="1"/>
  <c r="I1623" i="3" a="1"/>
  <c r="I1626" i="3" a="1"/>
  <c r="I1631" i="3" a="1"/>
  <c r="I1634" i="3" a="1"/>
  <c r="I1639" i="3" a="1"/>
  <c r="I1642" i="3" a="1"/>
  <c r="I1167" i="3" a="1"/>
  <c r="I1175" i="3" a="1"/>
  <c r="I1183" i="3" a="1"/>
  <c r="I1191" i="3" a="1"/>
  <c r="I1199" i="3" a="1"/>
  <c r="I1207" i="3" a="1"/>
  <c r="I1215" i="3" a="1"/>
  <c r="I1223" i="3" a="1"/>
  <c r="I1231" i="3" a="1"/>
  <c r="I1239" i="3" a="1"/>
  <c r="I1247" i="3" a="1"/>
  <c r="I1255" i="3" a="1"/>
  <c r="I1263" i="3" a="1"/>
  <c r="I1270" i="3" a="1"/>
  <c r="I1274" i="3" a="1"/>
  <c r="I1278" i="3" a="1"/>
  <c r="I1282" i="3" a="1"/>
  <c r="I1286" i="3" a="1"/>
  <c r="I1290" i="3" a="1"/>
  <c r="I1294" i="3" a="1"/>
  <c r="I1298" i="3" a="1"/>
  <c r="I1302" i="3" a="1"/>
  <c r="I1306" i="3" a="1"/>
  <c r="I1310" i="3" a="1"/>
  <c r="I1314" i="3" a="1"/>
  <c r="I1318" i="3" a="1"/>
  <c r="I1322" i="3" a="1"/>
  <c r="I1326" i="3" a="1"/>
  <c r="I1330" i="3" a="1"/>
  <c r="I1333" i="3" a="1"/>
  <c r="I1336" i="3" a="1"/>
  <c r="I1341" i="3" a="1"/>
  <c r="I1344" i="3" a="1"/>
  <c r="I1349" i="3" a="1"/>
  <c r="I1352" i="3" a="1"/>
  <c r="I1357" i="3" a="1"/>
  <c r="I1360" i="3" a="1"/>
  <c r="I1365" i="3" a="1"/>
  <c r="I1368" i="3" a="1"/>
  <c r="I1373" i="3" a="1"/>
  <c r="I1376" i="3" a="1"/>
  <c r="I1381" i="3" a="1"/>
  <c r="I1384" i="3" a="1"/>
  <c r="I1389" i="3" a="1"/>
  <c r="I1392" i="3" a="1"/>
  <c r="I1397" i="3" a="1"/>
  <c r="I1400" i="3" a="1"/>
  <c r="I1405" i="3" a="1"/>
  <c r="I1408" i="3" a="1"/>
  <c r="I1413" i="3" a="1"/>
  <c r="I1416" i="3" a="1"/>
  <c r="I1421" i="3" a="1"/>
  <c r="I1424" i="3" a="1"/>
  <c r="I1429" i="3" a="1"/>
  <c r="I1432" i="3" a="1"/>
  <c r="I1437" i="3" a="1"/>
  <c r="I1440" i="3" a="1"/>
  <c r="I1445" i="3" a="1"/>
  <c r="I1448" i="3" a="1"/>
  <c r="I1453" i="3" a="1"/>
  <c r="I1456" i="3" a="1"/>
  <c r="I1461" i="3" a="1"/>
  <c r="I1464" i="3" a="1"/>
  <c r="I1469" i="3" a="1"/>
  <c r="I1472" i="3" a="1"/>
  <c r="I1477" i="3" a="1"/>
  <c r="I1480" i="3" a="1"/>
  <c r="I1485" i="3" a="1"/>
  <c r="I1488" i="3" a="1"/>
  <c r="I1493" i="3" a="1"/>
  <c r="I1496" i="3" a="1"/>
  <c r="I1501" i="3" a="1"/>
  <c r="I1504" i="3" a="1"/>
  <c r="I1509" i="3" a="1"/>
  <c r="I1512" i="3" a="1"/>
  <c r="I1517" i="3" a="1"/>
  <c r="I1520" i="3" a="1"/>
  <c r="I1525" i="3" a="1"/>
  <c r="I1528" i="3" a="1"/>
  <c r="I1533" i="3" a="1"/>
  <c r="I1536" i="3" a="1"/>
  <c r="I1541" i="3" a="1"/>
  <c r="I1544" i="3" a="1"/>
  <c r="I1549" i="3" a="1"/>
  <c r="I1552" i="3" a="1"/>
  <c r="I1557" i="3" a="1"/>
  <c r="I1560" i="3" a="1"/>
  <c r="I1565" i="3" a="1"/>
  <c r="I1568" i="3" a="1"/>
  <c r="I1573" i="3" a="1"/>
  <c r="I1576" i="3" a="1"/>
  <c r="I1581" i="3" a="1"/>
  <c r="I1584" i="3" a="1"/>
  <c r="I1589" i="3" a="1"/>
  <c r="I1592" i="3" a="1"/>
  <c r="I1597" i="3" a="1"/>
  <c r="I1600" i="3" a="1"/>
  <c r="I1605" i="3" a="1"/>
  <c r="I1608" i="3" a="1"/>
  <c r="I1613" i="3" a="1"/>
  <c r="I1616" i="3" a="1"/>
  <c r="I1621" i="3" a="1"/>
  <c r="I1624" i="3" a="1"/>
  <c r="I1629" i="3" a="1"/>
  <c r="I1632" i="3" a="1"/>
  <c r="I1637" i="3" a="1"/>
  <c r="I1640" i="3" a="1"/>
  <c r="I1645" i="3" a="1"/>
  <c r="I1648" i="3" a="1"/>
  <c r="I1653" i="3" a="1"/>
  <c r="I1656" i="3" a="1"/>
  <c r="I1661" i="3" a="1"/>
  <c r="I1664" i="3" a="1"/>
  <c r="I1669" i="3" a="1"/>
  <c r="I1672" i="3" a="1"/>
  <c r="I1677" i="3" a="1"/>
  <c r="I1680" i="3" a="1"/>
  <c r="I1685" i="3" a="1"/>
  <c r="I1688" i="3" a="1"/>
  <c r="I1693" i="3" a="1"/>
  <c r="I1696" i="3" a="1"/>
  <c r="I1701" i="3" a="1"/>
  <c r="I1704" i="3" a="1"/>
  <c r="I1709" i="3" a="1"/>
  <c r="I1712" i="3" a="1"/>
  <c r="I1717" i="3" a="1"/>
  <c r="I1720" i="3" a="1"/>
  <c r="I1725" i="3" a="1"/>
  <c r="I1728" i="3" a="1"/>
  <c r="I1730" i="3" a="1"/>
  <c r="I1732" i="3" a="1"/>
  <c r="I1734" i="3" a="1"/>
  <c r="I1736" i="3" a="1"/>
  <c r="I1738" i="3" a="1"/>
  <c r="I1740" i="3" a="1"/>
  <c r="I1742" i="3" a="1"/>
  <c r="I1744" i="3" a="1"/>
  <c r="I1746" i="3" a="1"/>
  <c r="I1748" i="3" a="1"/>
  <c r="I1169" i="3" a="1"/>
  <c r="I1177" i="3" a="1"/>
  <c r="I1185" i="3" a="1"/>
  <c r="I1193" i="3" a="1"/>
  <c r="I1201" i="3" a="1"/>
  <c r="I1209" i="3" a="1"/>
  <c r="I1217" i="3" a="1"/>
  <c r="I1225" i="3" a="1"/>
  <c r="I1233" i="3" a="1"/>
  <c r="I1241" i="3" a="1"/>
  <c r="I1249" i="3" a="1"/>
  <c r="I1257" i="3" a="1"/>
  <c r="I1265" i="3" a="1"/>
  <c r="I1271" i="3" a="1"/>
  <c r="I1275" i="3" a="1"/>
  <c r="I1279" i="3" a="1"/>
  <c r="I1283" i="3" a="1"/>
  <c r="I1287" i="3" a="1"/>
  <c r="I1291" i="3" a="1"/>
  <c r="I1295" i="3" a="1"/>
  <c r="I1299" i="3" a="1"/>
  <c r="I1303" i="3" a="1"/>
  <c r="I1307" i="3" a="1"/>
  <c r="I1311" i="3" a="1"/>
  <c r="I1315" i="3" a="1"/>
  <c r="I1319" i="3" a="1"/>
  <c r="I1323" i="3" a="1"/>
  <c r="I1327" i="3" a="1"/>
  <c r="I1331" i="3" a="1"/>
  <c r="I1334" i="3" a="1"/>
  <c r="I1339" i="3" a="1"/>
  <c r="I1342" i="3" a="1"/>
  <c r="I1347" i="3" a="1"/>
  <c r="I1350" i="3" a="1"/>
  <c r="I1355" i="3" a="1"/>
  <c r="I1358" i="3" a="1"/>
  <c r="I1363" i="3" a="1"/>
  <c r="I1366" i="3" a="1"/>
  <c r="I1371" i="3" a="1"/>
  <c r="I1374" i="3" a="1"/>
  <c r="I1379" i="3" a="1"/>
  <c r="I1382" i="3" a="1"/>
  <c r="I1387" i="3" a="1"/>
  <c r="I1390" i="3" a="1"/>
  <c r="I1395" i="3" a="1"/>
  <c r="I1398" i="3" a="1"/>
  <c r="I1403" i="3" a="1"/>
  <c r="I1406" i="3" a="1"/>
  <c r="I1411" i="3" a="1"/>
  <c r="I1414" i="3" a="1"/>
  <c r="I1419" i="3" a="1"/>
  <c r="I1422" i="3" a="1"/>
  <c r="I1427" i="3" a="1"/>
  <c r="I1430" i="3" a="1"/>
  <c r="I1435" i="3" a="1"/>
  <c r="I1438" i="3" a="1"/>
  <c r="I1443" i="3" a="1"/>
  <c r="I1446" i="3" a="1"/>
  <c r="I1451" i="3" a="1"/>
  <c r="I1454" i="3" a="1"/>
  <c r="I1459" i="3" a="1"/>
  <c r="I1462" i="3" a="1"/>
  <c r="I1467" i="3" a="1"/>
  <c r="I1470" i="3" a="1"/>
  <c r="I1475" i="3" a="1"/>
  <c r="I1478" i="3" a="1"/>
  <c r="I1483" i="3" a="1"/>
  <c r="I1486" i="3" a="1"/>
  <c r="I1491" i="3" a="1"/>
  <c r="I1494" i="3" a="1"/>
  <c r="I1499" i="3" a="1"/>
  <c r="I1502" i="3" a="1"/>
  <c r="I1507" i="3" a="1"/>
  <c r="I1510" i="3" a="1"/>
  <c r="I1515" i="3" a="1"/>
  <c r="I1518" i="3" a="1"/>
  <c r="I1523" i="3" a="1"/>
  <c r="I1526" i="3" a="1"/>
  <c r="I1531" i="3" a="1"/>
  <c r="I1534" i="3" a="1"/>
  <c r="I1539" i="3" a="1"/>
  <c r="I1542" i="3" a="1"/>
  <c r="I1547" i="3" a="1"/>
  <c r="I1550" i="3" a="1"/>
  <c r="I1555" i="3" a="1"/>
  <c r="I1558" i="3" a="1"/>
  <c r="I1563" i="3" a="1"/>
  <c r="I1566" i="3" a="1"/>
  <c r="I1571" i="3" a="1"/>
  <c r="I1574" i="3" a="1"/>
  <c r="I1579" i="3" a="1"/>
  <c r="I1582" i="3" a="1"/>
  <c r="I1587" i="3" a="1"/>
  <c r="I1590" i="3" a="1"/>
  <c r="I1595" i="3" a="1"/>
  <c r="I1598" i="3" a="1"/>
  <c r="I1603" i="3" a="1"/>
  <c r="I1606" i="3" a="1"/>
  <c r="I1611" i="3" a="1"/>
  <c r="I1614" i="3" a="1"/>
  <c r="I1619" i="3" a="1"/>
  <c r="I1622" i="3" a="1"/>
  <c r="I1627" i="3" a="1"/>
  <c r="I1630" i="3" a="1"/>
  <c r="I1635" i="3" a="1"/>
  <c r="I1638" i="3" a="1"/>
  <c r="I1643" i="3" a="1"/>
  <c r="I1646" i="3" a="1"/>
  <c r="I1651" i="3" a="1"/>
  <c r="I1654" i="3" a="1"/>
  <c r="I1659" i="3" a="1"/>
  <c r="I1662" i="3" a="1"/>
  <c r="I1667" i="3" a="1"/>
  <c r="I1670" i="3" a="1"/>
  <c r="I1675" i="3" a="1"/>
  <c r="I1678" i="3" a="1"/>
  <c r="I1683" i="3" a="1"/>
  <c r="I1686" i="3" a="1"/>
  <c r="I1691" i="3" a="1"/>
  <c r="I1694" i="3" a="1"/>
  <c r="I1699" i="3" a="1"/>
  <c r="I1702" i="3" a="1"/>
  <c r="I1707" i="3" a="1"/>
  <c r="I1710" i="3" a="1"/>
  <c r="I1715" i="3" a="1"/>
  <c r="I1718" i="3" a="1"/>
  <c r="I1723" i="3" a="1"/>
  <c r="I1726" i="3" a="1"/>
  <c r="I1171" i="3" a="1"/>
  <c r="I1179" i="3" a="1"/>
  <c r="I1187" i="3" a="1"/>
  <c r="I1195" i="3" a="1"/>
  <c r="I1203" i="3" a="1"/>
  <c r="I1211" i="3" a="1"/>
  <c r="I1219" i="3" a="1"/>
  <c r="I1227" i="3" a="1"/>
  <c r="I1235" i="3" a="1"/>
  <c r="I1243" i="3" a="1"/>
  <c r="I1251" i="3" a="1"/>
  <c r="I1259" i="3" a="1"/>
  <c r="I1267" i="3" a="1"/>
  <c r="I1272" i="3" a="1"/>
  <c r="I1276" i="3" a="1"/>
  <c r="I1280" i="3" a="1"/>
  <c r="I1284" i="3" a="1"/>
  <c r="I1288" i="3" a="1"/>
  <c r="I1292" i="3" a="1"/>
  <c r="I1296" i="3" a="1"/>
  <c r="I1300" i="3" a="1"/>
  <c r="I1304" i="3" a="1"/>
  <c r="I1308" i="3" a="1"/>
  <c r="I1312" i="3" a="1"/>
  <c r="I1316" i="3" a="1"/>
  <c r="I1320" i="3" a="1"/>
  <c r="I1324" i="3" a="1"/>
  <c r="I1328" i="3" a="1"/>
  <c r="I1332" i="3" a="1"/>
  <c r="I1337" i="3" a="1"/>
  <c r="I1340" i="3" a="1"/>
  <c r="I1345" i="3" a="1"/>
  <c r="I1348" i="3" a="1"/>
  <c r="I1353" i="3" a="1"/>
  <c r="I1356" i="3" a="1"/>
  <c r="I1361" i="3" a="1"/>
  <c r="I1364" i="3" a="1"/>
  <c r="I1369" i="3" a="1"/>
  <c r="I1372" i="3" a="1"/>
  <c r="I1377" i="3" a="1"/>
  <c r="I1380" i="3" a="1"/>
  <c r="I1385" i="3" a="1"/>
  <c r="I1388" i="3" a="1"/>
  <c r="I1393" i="3" a="1"/>
  <c r="I1396" i="3" a="1"/>
  <c r="I1401" i="3" a="1"/>
  <c r="I1404" i="3" a="1"/>
  <c r="I1409" i="3" a="1"/>
  <c r="I1412" i="3" a="1"/>
  <c r="I1417" i="3" a="1"/>
  <c r="I1420" i="3" a="1"/>
  <c r="I1425" i="3" a="1"/>
  <c r="I1428" i="3" a="1"/>
  <c r="I1433" i="3" a="1"/>
  <c r="I1436" i="3" a="1"/>
  <c r="I1441" i="3" a="1"/>
  <c r="I1444" i="3" a="1"/>
  <c r="I1449" i="3" a="1"/>
  <c r="I1452" i="3" a="1"/>
  <c r="I1457" i="3" a="1"/>
  <c r="I1460" i="3" a="1"/>
  <c r="I1465" i="3" a="1"/>
  <c r="I1468" i="3" a="1"/>
  <c r="I1473" i="3" a="1"/>
  <c r="I1476" i="3" a="1"/>
  <c r="I1481" i="3" a="1"/>
  <c r="I1484" i="3" a="1"/>
  <c r="I1489" i="3" a="1"/>
  <c r="I1492" i="3" a="1"/>
  <c r="I1497" i="3" a="1"/>
  <c r="I1500" i="3" a="1"/>
  <c r="I1505" i="3" a="1"/>
  <c r="I1508" i="3" a="1"/>
  <c r="I1513" i="3" a="1"/>
  <c r="I1516" i="3" a="1"/>
  <c r="I1521" i="3" a="1"/>
  <c r="I1524" i="3" a="1"/>
  <c r="I1529" i="3" a="1"/>
  <c r="I1532" i="3" a="1"/>
  <c r="I1537" i="3" a="1"/>
  <c r="I1540" i="3" a="1"/>
  <c r="I1545" i="3" a="1"/>
  <c r="I1548" i="3" a="1"/>
  <c r="I1553" i="3" a="1"/>
  <c r="I1556" i="3" a="1"/>
  <c r="I1561" i="3" a="1"/>
  <c r="I1564" i="3" a="1"/>
  <c r="I1569" i="3" a="1"/>
  <c r="I1572" i="3" a="1"/>
  <c r="I1577" i="3" a="1"/>
  <c r="I1580" i="3" a="1"/>
  <c r="I1585" i="3" a="1"/>
  <c r="I1588" i="3" a="1"/>
  <c r="I1593" i="3" a="1"/>
  <c r="I1596" i="3" a="1"/>
  <c r="I1601" i="3" a="1"/>
  <c r="I1604" i="3" a="1"/>
  <c r="I1609" i="3" a="1"/>
  <c r="I1612" i="3" a="1"/>
  <c r="I1617" i="3" a="1"/>
  <c r="I1620" i="3" a="1"/>
  <c r="I1625" i="3" a="1"/>
  <c r="I1628" i="3" a="1"/>
  <c r="I1633" i="3" a="1"/>
  <c r="I1636" i="3" a="1"/>
  <c r="I1641" i="3" a="1"/>
  <c r="I1644" i="3" a="1"/>
  <c r="I1649" i="3" a="1"/>
  <c r="I1652" i="3" a="1"/>
  <c r="I1660" i="3" a="1"/>
  <c r="I1665" i="3" a="1"/>
  <c r="I1676" i="3" a="1"/>
  <c r="I1681" i="3" a="1"/>
  <c r="I1692" i="3" a="1"/>
  <c r="I1697" i="3" a="1"/>
  <c r="I1708" i="3" a="1"/>
  <c r="I1713" i="3" a="1"/>
  <c r="I1724" i="3" a="1"/>
  <c r="I1729" i="3" a="1"/>
  <c r="I1733" i="3" a="1"/>
  <c r="I1737" i="3" a="1"/>
  <c r="I1741" i="3" a="1"/>
  <c r="I1745" i="3" a="1"/>
  <c r="I1749" i="3" a="1"/>
  <c r="I1754" i="3" a="1"/>
  <c r="I1757" i="3" a="1"/>
  <c r="I1762" i="3" a="1"/>
  <c r="I1765" i="3" a="1"/>
  <c r="I1770" i="3" a="1"/>
  <c r="I1773" i="3" a="1"/>
  <c r="I1778" i="3" a="1"/>
  <c r="I1781" i="3" a="1"/>
  <c r="I1786" i="3" a="1"/>
  <c r="I1789" i="3" a="1"/>
  <c r="I1794" i="3" a="1"/>
  <c r="I1797" i="3" a="1"/>
  <c r="I1838" i="3" a="1"/>
  <c r="I1844" i="3" a="1"/>
  <c r="I1848" i="3" a="1"/>
  <c r="I1852" i="3" a="1"/>
  <c r="I1856" i="3" a="1"/>
  <c r="I1860" i="3" a="1"/>
  <c r="I1864" i="3" a="1"/>
  <c r="I1870" i="3" a="1"/>
  <c r="I1872" i="3" a="1"/>
  <c r="I1878" i="3" a="1"/>
  <c r="I1880" i="3" a="1"/>
  <c r="I1886" i="3" a="1"/>
  <c r="I1890" i="3" a="1"/>
  <c r="I1894" i="3" a="1"/>
  <c r="I1898" i="3" a="1"/>
  <c r="I1902" i="3" a="1"/>
  <c r="I1906" i="3" a="1"/>
  <c r="I1910" i="3" a="1"/>
  <c r="I1914" i="3" a="1"/>
  <c r="I1918" i="3" a="1"/>
  <c r="I1922" i="3" a="1"/>
  <c r="I1926" i="3" a="1"/>
  <c r="I1930" i="3" a="1"/>
  <c r="I1934" i="3" a="1"/>
  <c r="I1938" i="3" a="1"/>
  <c r="I1942" i="3" a="1"/>
  <c r="I1946" i="3" a="1"/>
  <c r="I1950" i="3" a="1"/>
  <c r="I1954" i="3" a="1"/>
  <c r="I1958" i="3" a="1"/>
  <c r="I1962" i="3" a="1"/>
  <c r="I1968" i="3" a="1"/>
  <c r="I1972" i="3" a="1"/>
  <c r="I1976" i="3" a="1"/>
  <c r="I1980" i="3" a="1"/>
  <c r="I1984" i="3" a="1"/>
  <c r="I1988" i="3" a="1"/>
  <c r="I1992" i="3" a="1"/>
  <c r="I1996" i="3" a="1"/>
  <c r="I2000" i="3" a="1"/>
  <c r="I1859" i="3" a="1"/>
  <c r="I1867" i="3" a="1"/>
  <c r="I1877" i="3" a="1"/>
  <c r="I1887" i="3" a="1"/>
  <c r="I1647" i="3" a="1"/>
  <c r="I1655" i="3" a="1"/>
  <c r="I1666" i="3" a="1"/>
  <c r="I1671" i="3" a="1"/>
  <c r="I1682" i="3" a="1"/>
  <c r="I1687" i="3" a="1"/>
  <c r="I1698" i="3" a="1"/>
  <c r="I1703" i="3" a="1"/>
  <c r="I1714" i="3" a="1"/>
  <c r="I1719" i="3" a="1"/>
  <c r="I1752" i="3" a="1"/>
  <c r="I1755" i="3" a="1"/>
  <c r="I1760" i="3" a="1"/>
  <c r="I1763" i="3" a="1"/>
  <c r="I1768" i="3" a="1"/>
  <c r="I1771" i="3" a="1"/>
  <c r="I1776" i="3" a="1"/>
  <c r="I1779" i="3" a="1"/>
  <c r="I1784" i="3" a="1"/>
  <c r="I1787" i="3" a="1"/>
  <c r="I1792" i="3" a="1"/>
  <c r="I1795" i="3" a="1"/>
  <c r="I1800" i="3" a="1"/>
  <c r="I1802" i="3" a="1"/>
  <c r="I1804" i="3" a="1"/>
  <c r="I1806" i="3" a="1"/>
  <c r="I1808" i="3" a="1"/>
  <c r="I1810" i="3" a="1"/>
  <c r="I1812" i="3" a="1"/>
  <c r="I1814" i="3" a="1"/>
  <c r="I1816" i="3" a="1"/>
  <c r="I1818" i="3" a="1"/>
  <c r="I1820" i="3" a="1"/>
  <c r="I1822" i="3" a="1"/>
  <c r="I1824" i="3" a="1"/>
  <c r="I1826" i="3" a="1"/>
  <c r="I1828" i="3" a="1"/>
  <c r="I1830" i="3" a="1"/>
  <c r="I1832" i="3" a="1"/>
  <c r="I1834" i="3" a="1"/>
  <c r="I1836" i="3" a="1"/>
  <c r="I1840" i="3" a="1"/>
  <c r="I1842" i="3" a="1"/>
  <c r="I1846" i="3" a="1"/>
  <c r="I1850" i="3" a="1"/>
  <c r="I1854" i="3" a="1"/>
  <c r="I1858" i="3" a="1"/>
  <c r="I1862" i="3" a="1"/>
  <c r="I1866" i="3" a="1"/>
  <c r="I1868" i="3" a="1"/>
  <c r="I1874" i="3" a="1"/>
  <c r="I1876" i="3" a="1"/>
  <c r="I1882" i="3" a="1"/>
  <c r="I1884" i="3" a="1"/>
  <c r="I1888" i="3" a="1"/>
  <c r="I1892" i="3" a="1"/>
  <c r="I1896" i="3" a="1"/>
  <c r="I1900" i="3" a="1"/>
  <c r="I1904" i="3" a="1"/>
  <c r="I1908" i="3" a="1"/>
  <c r="I1912" i="3" a="1"/>
  <c r="I1916" i="3" a="1"/>
  <c r="I1920" i="3" a="1"/>
  <c r="I1924" i="3" a="1"/>
  <c r="I1928" i="3" a="1"/>
  <c r="I1932" i="3" a="1"/>
  <c r="I1936" i="3" a="1"/>
  <c r="I1940" i="3" a="1"/>
  <c r="I1944" i="3" a="1"/>
  <c r="I1948" i="3" a="1"/>
  <c r="I1952" i="3" a="1"/>
  <c r="I1956" i="3" a="1"/>
  <c r="I1960" i="3" a="1"/>
  <c r="I1964" i="3" a="1"/>
  <c r="I1966" i="3" a="1"/>
  <c r="I1970" i="3" a="1"/>
  <c r="I1974" i="3" a="1"/>
  <c r="I1978" i="3" a="1"/>
  <c r="I1982" i="3" a="1"/>
  <c r="I1986" i="3" a="1"/>
  <c r="I1990" i="3" a="1"/>
  <c r="I1994" i="3" a="1"/>
  <c r="I1998" i="3" a="1"/>
  <c r="I1857" i="3" a="1"/>
  <c r="I1869" i="3" a="1"/>
  <c r="I1875" i="3" a="1"/>
  <c r="I1883" i="3" a="1"/>
  <c r="I1891" i="3" a="1"/>
  <c r="I1899" i="3" a="1"/>
  <c r="I1650" i="3" a="1"/>
  <c r="I1657" i="3" a="1"/>
  <c r="I1668" i="3" a="1"/>
  <c r="I1673" i="3" a="1"/>
  <c r="I1684" i="3" a="1"/>
  <c r="I1689" i="3" a="1"/>
  <c r="I1700" i="3" a="1"/>
  <c r="I1705" i="3" a="1"/>
  <c r="I1716" i="3" a="1"/>
  <c r="I1721" i="3" a="1"/>
  <c r="I1731" i="3" a="1"/>
  <c r="I1735" i="3" a="1"/>
  <c r="I1739" i="3" a="1"/>
  <c r="I1743" i="3" a="1"/>
  <c r="I1747" i="3" a="1"/>
  <c r="I1750" i="3" a="1"/>
  <c r="I1753" i="3" a="1"/>
  <c r="I1758" i="3" a="1"/>
  <c r="I1761" i="3" a="1"/>
  <c r="I1766" i="3" a="1"/>
  <c r="I1769" i="3" a="1"/>
  <c r="I1774" i="3" a="1"/>
  <c r="I1777" i="3" a="1"/>
  <c r="I1782" i="3" a="1"/>
  <c r="I1785" i="3" a="1"/>
  <c r="I1790" i="3" a="1"/>
  <c r="I1793" i="3" a="1"/>
  <c r="I1798" i="3" a="1"/>
  <c r="I1863" i="3" a="1"/>
  <c r="I1873" i="3" a="1"/>
  <c r="I1881" i="3" a="1"/>
  <c r="I1885" i="3" a="1"/>
  <c r="I1893" i="3" a="1"/>
  <c r="I1901" i="3" a="1"/>
  <c r="I1658" i="3" a="1"/>
  <c r="I1663" i="3" a="1"/>
  <c r="I1674" i="3" a="1"/>
  <c r="I1679" i="3" a="1"/>
  <c r="I1690" i="3" a="1"/>
  <c r="I1695" i="3" a="1"/>
  <c r="I1706" i="3" a="1"/>
  <c r="I1711" i="3" a="1"/>
  <c r="I1722" i="3" a="1"/>
  <c r="I1727" i="3" a="1"/>
  <c r="I1751" i="3" a="1"/>
  <c r="I1756" i="3" a="1"/>
  <c r="I1759" i="3" a="1"/>
  <c r="I1764" i="3" a="1"/>
  <c r="I1767" i="3" a="1"/>
  <c r="I1772" i="3" a="1"/>
  <c r="I1775" i="3" a="1"/>
  <c r="I1780" i="3" a="1"/>
  <c r="I1783" i="3" a="1"/>
  <c r="I1788" i="3" a="1"/>
  <c r="I1791" i="3" a="1"/>
  <c r="I1796" i="3" a="1"/>
  <c r="I1799" i="3" a="1"/>
  <c r="I1801" i="3" a="1"/>
  <c r="I1803" i="3" a="1"/>
  <c r="I1805" i="3" a="1"/>
  <c r="I1807" i="3" a="1"/>
  <c r="I1809" i="3" a="1"/>
  <c r="I1811" i="3" a="1"/>
  <c r="I1813" i="3" a="1"/>
  <c r="I1815" i="3" a="1"/>
  <c r="I1817" i="3" a="1"/>
  <c r="I1819" i="3" a="1"/>
  <c r="I1821" i="3" a="1"/>
  <c r="I1823" i="3" a="1"/>
  <c r="I1825" i="3" a="1"/>
  <c r="I1827" i="3" a="1"/>
  <c r="I1829" i="3" a="1"/>
  <c r="I1831" i="3" a="1"/>
  <c r="I1833" i="3" a="1"/>
  <c r="I1835" i="3" a="1"/>
  <c r="I1837" i="3" a="1"/>
  <c r="I1839" i="3" a="1"/>
  <c r="I1841" i="3" a="1"/>
  <c r="I1843" i="3" a="1"/>
  <c r="I1845" i="3" a="1"/>
  <c r="I1847" i="3" a="1"/>
  <c r="I1849" i="3" a="1"/>
  <c r="I1851" i="3" a="1"/>
  <c r="I1853" i="3" a="1"/>
  <c r="I1855" i="3" a="1"/>
  <c r="I1861" i="3" a="1"/>
  <c r="I1865" i="3" a="1"/>
  <c r="I1871" i="3" a="1"/>
  <c r="I1879" i="3" a="1"/>
  <c r="I1889" i="3" a="1"/>
  <c r="I1895" i="3" a="1"/>
  <c r="I1903" i="3" a="1"/>
  <c r="I1911" i="3" a="1"/>
  <c r="I1919" i="3" a="1"/>
  <c r="I1927" i="3" a="1"/>
  <c r="I1935" i="3" a="1"/>
  <c r="I1943" i="3" a="1"/>
  <c r="I1951" i="3" a="1"/>
  <c r="I1959" i="3" a="1"/>
  <c r="I1967" i="3" a="1"/>
  <c r="I1975" i="3" a="1"/>
  <c r="I1983" i="3" a="1"/>
  <c r="I1991" i="3" a="1"/>
  <c r="I1999" i="3" a="1"/>
  <c r="I1907" i="3" a="1"/>
  <c r="I1931" i="3" a="1"/>
  <c r="I1947" i="3" a="1"/>
  <c r="I1963" i="3" a="1"/>
  <c r="I1979" i="3" a="1"/>
  <c r="I1995" i="3" a="1"/>
  <c r="I1909" i="3" a="1"/>
  <c r="I1925" i="3" a="1"/>
  <c r="I1941" i="3" a="1"/>
  <c r="I1957" i="3" a="1"/>
  <c r="I1973" i="3" a="1"/>
  <c r="I1989" i="3" a="1"/>
  <c r="I1905" i="3" a="1"/>
  <c r="I1913" i="3" a="1"/>
  <c r="I1921" i="3" a="1"/>
  <c r="I1929" i="3" a="1"/>
  <c r="I1937" i="3" a="1"/>
  <c r="I1945" i="3" a="1"/>
  <c r="I1953" i="3" a="1"/>
  <c r="I1961" i="3" a="1"/>
  <c r="I1969" i="3" a="1"/>
  <c r="I1977" i="3" a="1"/>
  <c r="I1985" i="3" a="1"/>
  <c r="I1993" i="3" a="1"/>
  <c r="I2001" i="3" a="1"/>
  <c r="I1915" i="3" a="1"/>
  <c r="I1923" i="3" a="1"/>
  <c r="I1939" i="3" a="1"/>
  <c r="I1955" i="3" a="1"/>
  <c r="I1971" i="3" a="1"/>
  <c r="I1987" i="3" a="1"/>
  <c r="I1897" i="3" a="1"/>
  <c r="I1917" i="3" a="1"/>
  <c r="I1933" i="3" a="1"/>
  <c r="I1949" i="3" a="1"/>
  <c r="I1965" i="3" a="1"/>
  <c r="I1981" i="3" a="1"/>
  <c r="I1997" i="3" a="1"/>
  <c r="I24" i="3" a="1"/>
  <c r="I26" i="3" a="1"/>
  <c r="I28" i="3" a="1"/>
  <c r="I25" i="3" a="1"/>
  <c r="I27" i="3" a="1"/>
  <c r="I2" i="3" a="1"/>
  <c r="I4" i="3" a="1"/>
  <c r="I6" i="3" a="1"/>
  <c r="I8" i="3" a="1"/>
  <c r="I10" i="3" a="1"/>
  <c r="I12" i="3" a="1"/>
  <c r="I14" i="3" a="1"/>
  <c r="I16" i="3" a="1"/>
  <c r="I18" i="3" a="1"/>
  <c r="I20" i="3" a="1"/>
  <c r="I22" i="3" a="1"/>
  <c r="I3" i="3" a="1"/>
  <c r="I7" i="3" a="1"/>
  <c r="I9" i="3" a="1"/>
  <c r="I11" i="3" a="1"/>
  <c r="I13" i="3" a="1"/>
  <c r="I15" i="3" a="1"/>
  <c r="I17" i="3" a="1"/>
  <c r="I19" i="3" a="1"/>
  <c r="I21" i="3" a="1"/>
  <c r="I23" i="3" a="1"/>
  <c r="I5" i="3" a="1"/>
  <c r="H3" i="3" a="1"/>
  <c r="H5" i="3" a="1"/>
  <c r="H7" i="3" a="1"/>
  <c r="H9" i="3" a="1"/>
  <c r="H11" i="3" a="1"/>
  <c r="H13" i="3" a="1"/>
  <c r="H15" i="3" a="1"/>
  <c r="H17" i="3" a="1"/>
  <c r="H19" i="3" a="1"/>
  <c r="H21" i="3" a="1"/>
  <c r="H23" i="3" a="1"/>
  <c r="H4" i="3" a="1"/>
  <c r="H6" i="3" a="1"/>
  <c r="H8" i="3" a="1"/>
  <c r="H10" i="3" a="1"/>
  <c r="H12" i="3" a="1"/>
  <c r="H14" i="3" a="1"/>
  <c r="H16" i="3" a="1"/>
  <c r="H18" i="3" a="1"/>
  <c r="H20" i="3" a="1"/>
  <c r="H22" i="3" a="1"/>
  <c r="H25" i="3" a="1"/>
  <c r="H28" i="3" a="1"/>
  <c r="H33" i="3" a="1"/>
  <c r="H36" i="3" a="1"/>
  <c r="H41" i="3" a="1"/>
  <c r="H44" i="3" a="1"/>
  <c r="H49" i="3" a="1"/>
  <c r="H52" i="3" a="1"/>
  <c r="H57" i="3" a="1"/>
  <c r="H60" i="3" a="1"/>
  <c r="H65" i="3" a="1"/>
  <c r="H68" i="3" a="1"/>
  <c r="H73" i="3" a="1"/>
  <c r="H76" i="3" a="1"/>
  <c r="H81" i="3" a="1"/>
  <c r="H84" i="3" a="1"/>
  <c r="H89" i="3" a="1"/>
  <c r="H92" i="3" a="1"/>
  <c r="H97" i="3" a="1"/>
  <c r="H100" i="3" a="1"/>
  <c r="H105" i="3" a="1"/>
  <c r="H108" i="3" a="1"/>
  <c r="H113" i="3" a="1"/>
  <c r="H116" i="3" a="1"/>
  <c r="H121" i="3" a="1"/>
  <c r="H124" i="3" a="1"/>
  <c r="H129" i="3" a="1"/>
  <c r="H132" i="3" a="1"/>
  <c r="H137" i="3" a="1"/>
  <c r="H140" i="3" a="1"/>
  <c r="H145" i="3" a="1"/>
  <c r="H148" i="3" a="1"/>
  <c r="H153" i="3" a="1"/>
  <c r="H156" i="3" a="1"/>
  <c r="H161" i="3" a="1"/>
  <c r="H164" i="3" a="1"/>
  <c r="H169" i="3" a="1"/>
  <c r="H172" i="3" a="1"/>
  <c r="H174" i="3" a="1"/>
  <c r="H176" i="3" a="1"/>
  <c r="H178" i="3" a="1"/>
  <c r="H180" i="3" a="1"/>
  <c r="H182" i="3" a="1"/>
  <c r="H184" i="3" a="1"/>
  <c r="H186" i="3" a="1"/>
  <c r="H188" i="3" a="1"/>
  <c r="H190" i="3" a="1"/>
  <c r="H26" i="3" a="1"/>
  <c r="H31" i="3" a="1"/>
  <c r="H34" i="3" a="1"/>
  <c r="H39" i="3" a="1"/>
  <c r="H42" i="3" a="1"/>
  <c r="H47" i="3" a="1"/>
  <c r="H50" i="3" a="1"/>
  <c r="H55" i="3" a="1"/>
  <c r="H58" i="3" a="1"/>
  <c r="H63" i="3" a="1"/>
  <c r="H66" i="3" a="1"/>
  <c r="H71" i="3" a="1"/>
  <c r="H74" i="3" a="1"/>
  <c r="H79" i="3" a="1"/>
  <c r="H82" i="3" a="1"/>
  <c r="H87" i="3" a="1"/>
  <c r="H90" i="3" a="1"/>
  <c r="H95" i="3" a="1"/>
  <c r="H98" i="3" a="1"/>
  <c r="H103" i="3" a="1"/>
  <c r="H106" i="3" a="1"/>
  <c r="H111" i="3" a="1"/>
  <c r="H114" i="3" a="1"/>
  <c r="H119" i="3" a="1"/>
  <c r="H122" i="3" a="1"/>
  <c r="H127" i="3" a="1"/>
  <c r="H130" i="3" a="1"/>
  <c r="H135" i="3" a="1"/>
  <c r="H138" i="3" a="1"/>
  <c r="H143" i="3" a="1"/>
  <c r="H146" i="3" a="1"/>
  <c r="H151" i="3" a="1"/>
  <c r="H154" i="3" a="1"/>
  <c r="H159" i="3" a="1"/>
  <c r="H162" i="3" a="1"/>
  <c r="H167" i="3" a="1"/>
  <c r="H170" i="3" a="1"/>
  <c r="H24" i="3" a="1"/>
  <c r="H29" i="3" a="1"/>
  <c r="H32" i="3" a="1"/>
  <c r="H37" i="3" a="1"/>
  <c r="H40" i="3" a="1"/>
  <c r="H45" i="3" a="1"/>
  <c r="H48" i="3" a="1"/>
  <c r="H53" i="3" a="1"/>
  <c r="H56" i="3" a="1"/>
  <c r="H61" i="3" a="1"/>
  <c r="H64" i="3" a="1"/>
  <c r="H69" i="3" a="1"/>
  <c r="H72" i="3" a="1"/>
  <c r="H77" i="3" a="1"/>
  <c r="H80" i="3" a="1"/>
  <c r="H85" i="3" a="1"/>
  <c r="H88" i="3" a="1"/>
  <c r="H93" i="3" a="1"/>
  <c r="H96" i="3" a="1"/>
  <c r="H101" i="3" a="1"/>
  <c r="H104" i="3" a="1"/>
  <c r="H109" i="3" a="1"/>
  <c r="H112" i="3" a="1"/>
  <c r="H117" i="3" a="1"/>
  <c r="H120" i="3" a="1"/>
  <c r="H125" i="3" a="1"/>
  <c r="H128" i="3" a="1"/>
  <c r="H133" i="3" a="1"/>
  <c r="H136" i="3" a="1"/>
  <c r="H141" i="3" a="1"/>
  <c r="H144" i="3" a="1"/>
  <c r="H149" i="3" a="1"/>
  <c r="H152" i="3" a="1"/>
  <c r="H157" i="3" a="1"/>
  <c r="H160" i="3" a="1"/>
  <c r="H165" i="3" a="1"/>
  <c r="H168" i="3" a="1"/>
  <c r="H173" i="3" a="1"/>
  <c r="H175" i="3" a="1"/>
  <c r="H177" i="3" a="1"/>
  <c r="H179" i="3" a="1"/>
  <c r="H181" i="3" a="1"/>
  <c r="H183" i="3" a="1"/>
  <c r="H185" i="3" a="1"/>
  <c r="H187" i="3" a="1"/>
  <c r="H27" i="3" a="1"/>
  <c r="H30" i="3" a="1"/>
  <c r="H35" i="3" a="1"/>
  <c r="H38" i="3" a="1"/>
  <c r="H43" i="3" a="1"/>
  <c r="H46" i="3" a="1"/>
  <c r="H51" i="3" a="1"/>
  <c r="H54" i="3" a="1"/>
  <c r="H59" i="3" a="1"/>
  <c r="H62" i="3" a="1"/>
  <c r="H67" i="3" a="1"/>
  <c r="H70" i="3" a="1"/>
  <c r="H75" i="3" a="1"/>
  <c r="H78" i="3" a="1"/>
  <c r="H83" i="3" a="1"/>
  <c r="H86" i="3" a="1"/>
  <c r="H91" i="3" a="1"/>
  <c r="H94" i="3" a="1"/>
  <c r="H99" i="3" a="1"/>
  <c r="H102" i="3" a="1"/>
  <c r="H107" i="3" a="1"/>
  <c r="H110" i="3" a="1"/>
  <c r="H115" i="3" a="1"/>
  <c r="H118" i="3" a="1"/>
  <c r="H123" i="3" a="1"/>
  <c r="H126" i="3" a="1"/>
  <c r="H131" i="3" a="1"/>
  <c r="H134" i="3" a="1"/>
  <c r="H139" i="3" a="1"/>
  <c r="H142" i="3" a="1"/>
  <c r="H147" i="3" a="1"/>
  <c r="H150" i="3" a="1"/>
  <c r="H155" i="3" a="1"/>
  <c r="H158" i="3" a="1"/>
  <c r="H163" i="3" a="1"/>
  <c r="H166" i="3" a="1"/>
  <c r="H171" i="3" a="1"/>
  <c r="H189" i="3" a="1"/>
  <c r="H194" i="3" a="1"/>
  <c r="H198" i="3" a="1"/>
  <c r="H202" i="3" a="1"/>
  <c r="H206" i="3" a="1"/>
  <c r="H210" i="3" a="1"/>
  <c r="H214" i="3" a="1"/>
  <c r="H218" i="3" a="1"/>
  <c r="H222" i="3" a="1"/>
  <c r="H226" i="3" a="1"/>
  <c r="H230" i="3" a="1"/>
  <c r="H234" i="3" a="1"/>
  <c r="H238" i="3" a="1"/>
  <c r="H242" i="3" a="1"/>
  <c r="H246" i="3" a="1"/>
  <c r="H251" i="3" a="1"/>
  <c r="H253" i="3" a="1"/>
  <c r="H255" i="3" a="1"/>
  <c r="H257" i="3" a="1"/>
  <c r="H259" i="3" a="1"/>
  <c r="H261" i="3" a="1"/>
  <c r="H263" i="3" a="1"/>
  <c r="H265" i="3" a="1"/>
  <c r="H267" i="3" a="1"/>
  <c r="H269" i="3" a="1"/>
  <c r="H271" i="3" a="1"/>
  <c r="H273" i="3" a="1"/>
  <c r="H275" i="3" a="1"/>
  <c r="H277" i="3" a="1"/>
  <c r="H279" i="3" a="1"/>
  <c r="H281" i="3" a="1"/>
  <c r="H283" i="3" a="1"/>
  <c r="H285" i="3" a="1"/>
  <c r="H287" i="3" a="1"/>
  <c r="H289" i="3" a="1"/>
  <c r="H291" i="3" a="1"/>
  <c r="H293" i="3" a="1"/>
  <c r="H295" i="3" a="1"/>
  <c r="H297" i="3" a="1"/>
  <c r="H299" i="3" a="1"/>
  <c r="H301" i="3" a="1"/>
  <c r="H303" i="3" a="1"/>
  <c r="H305" i="3" a="1"/>
  <c r="H307" i="3" a="1"/>
  <c r="H309" i="3" a="1"/>
  <c r="H311" i="3" a="1"/>
  <c r="H313" i="3" a="1"/>
  <c r="H315" i="3" a="1"/>
  <c r="H317" i="3" a="1"/>
  <c r="H319" i="3" a="1"/>
  <c r="H321" i="3" a="1"/>
  <c r="H323" i="3" a="1"/>
  <c r="H325" i="3" a="1"/>
  <c r="H327" i="3" a="1"/>
  <c r="H329" i="3" a="1"/>
  <c r="H331" i="3" a="1"/>
  <c r="H333" i="3" a="1"/>
  <c r="H335" i="3" a="1"/>
  <c r="H337" i="3" a="1"/>
  <c r="H339" i="3" a="1"/>
  <c r="H341" i="3" a="1"/>
  <c r="H343" i="3" a="1"/>
  <c r="H345" i="3" a="1"/>
  <c r="H347" i="3" a="1"/>
  <c r="H349" i="3" a="1"/>
  <c r="H351" i="3" a="1"/>
  <c r="H353" i="3" a="1"/>
  <c r="H191" i="3" a="1"/>
  <c r="H195" i="3" a="1"/>
  <c r="H199" i="3" a="1"/>
  <c r="H203" i="3" a="1"/>
  <c r="H207" i="3" a="1"/>
  <c r="H211" i="3" a="1"/>
  <c r="H215" i="3" a="1"/>
  <c r="H219" i="3" a="1"/>
  <c r="H223" i="3" a="1"/>
  <c r="H227" i="3" a="1"/>
  <c r="H231" i="3" a="1"/>
  <c r="H235" i="3" a="1"/>
  <c r="H239" i="3" a="1"/>
  <c r="H243" i="3" a="1"/>
  <c r="H249" i="3" a="1"/>
  <c r="H192" i="3" a="1"/>
  <c r="H196" i="3" a="1"/>
  <c r="H200" i="3" a="1"/>
  <c r="H204" i="3" a="1"/>
  <c r="H208" i="3" a="1"/>
  <c r="H212" i="3" a="1"/>
  <c r="H216" i="3" a="1"/>
  <c r="H220" i="3" a="1"/>
  <c r="H224" i="3" a="1"/>
  <c r="H228" i="3" a="1"/>
  <c r="H232" i="3" a="1"/>
  <c r="H236" i="3" a="1"/>
  <c r="H240" i="3" a="1"/>
  <c r="H244" i="3" a="1"/>
  <c r="H247" i="3" a="1"/>
  <c r="H250" i="3" a="1"/>
  <c r="H252" i="3" a="1"/>
  <c r="H254" i="3" a="1"/>
  <c r="H256" i="3" a="1"/>
  <c r="H258" i="3" a="1"/>
  <c r="H260" i="3" a="1"/>
  <c r="H262" i="3" a="1"/>
  <c r="H264" i="3" a="1"/>
  <c r="H266" i="3" a="1"/>
  <c r="H268" i="3" a="1"/>
  <c r="H270" i="3" a="1"/>
  <c r="H272" i="3" a="1"/>
  <c r="H274" i="3" a="1"/>
  <c r="H276" i="3" a="1"/>
  <c r="H278" i="3" a="1"/>
  <c r="H280" i="3" a="1"/>
  <c r="H282" i="3" a="1"/>
  <c r="H284" i="3" a="1"/>
  <c r="H286" i="3" a="1"/>
  <c r="H288" i="3" a="1"/>
  <c r="H290" i="3" a="1"/>
  <c r="H292" i="3" a="1"/>
  <c r="H294" i="3" a="1"/>
  <c r="H296" i="3" a="1"/>
  <c r="H298" i="3" a="1"/>
  <c r="H300" i="3" a="1"/>
  <c r="H302" i="3" a="1"/>
  <c r="H304" i="3" a="1"/>
  <c r="H306" i="3" a="1"/>
  <c r="H308" i="3" a="1"/>
  <c r="H310" i="3" a="1"/>
  <c r="H312" i="3" a="1"/>
  <c r="H314" i="3" a="1"/>
  <c r="H316" i="3" a="1"/>
  <c r="H318" i="3" a="1"/>
  <c r="H320" i="3" a="1"/>
  <c r="H322" i="3" a="1"/>
  <c r="H324" i="3" a="1"/>
  <c r="H326" i="3" a="1"/>
  <c r="H328" i="3" a="1"/>
  <c r="H330" i="3" a="1"/>
  <c r="H332" i="3" a="1"/>
  <c r="H334" i="3" a="1"/>
  <c r="H336" i="3" a="1"/>
  <c r="H338" i="3" a="1"/>
  <c r="H340" i="3" a="1"/>
  <c r="H342" i="3" a="1"/>
  <c r="H344" i="3" a="1"/>
  <c r="H193" i="3" a="1"/>
  <c r="H197" i="3" a="1"/>
  <c r="H201" i="3" a="1"/>
  <c r="H205" i="3" a="1"/>
  <c r="H209" i="3" a="1"/>
  <c r="H213" i="3" a="1"/>
  <c r="H217" i="3" a="1"/>
  <c r="H221" i="3" a="1"/>
  <c r="H225" i="3" a="1"/>
  <c r="H229" i="3" a="1"/>
  <c r="H233" i="3" a="1"/>
  <c r="H237" i="3" a="1"/>
  <c r="H241" i="3" a="1"/>
  <c r="H245" i="3" a="1"/>
  <c r="H248" i="3" a="1"/>
  <c r="H346" i="3" a="1"/>
  <c r="H354" i="3" a="1"/>
  <c r="H358" i="3" a="1"/>
  <c r="H362" i="3" a="1"/>
  <c r="H366" i="3" a="1"/>
  <c r="H370" i="3" a="1"/>
  <c r="H374" i="3" a="1"/>
  <c r="H378" i="3" a="1"/>
  <c r="H382" i="3" a="1"/>
  <c r="H386" i="3" a="1"/>
  <c r="H390" i="3" a="1"/>
  <c r="H394" i="3" a="1"/>
  <c r="H398" i="3" a="1"/>
  <c r="H402" i="3" a="1"/>
  <c r="H406" i="3" a="1"/>
  <c r="H410" i="3" a="1"/>
  <c r="H414" i="3" a="1"/>
  <c r="H418" i="3" a="1"/>
  <c r="H422" i="3" a="1"/>
  <c r="H426" i="3" a="1"/>
  <c r="H430" i="3" a="1"/>
  <c r="H434" i="3" a="1"/>
  <c r="H438" i="3" a="1"/>
  <c r="H442" i="3" a="1"/>
  <c r="H446" i="3" a="1"/>
  <c r="H450" i="3" a="1"/>
  <c r="H454" i="3" a="1"/>
  <c r="H458" i="3" a="1"/>
  <c r="H462" i="3" a="1"/>
  <c r="H466" i="3" a="1"/>
  <c r="H470" i="3" a="1"/>
  <c r="H474" i="3" a="1"/>
  <c r="H478" i="3" a="1"/>
  <c r="H482" i="3" a="1"/>
  <c r="H486" i="3" a="1"/>
  <c r="H490" i="3" a="1"/>
  <c r="H494" i="3" a="1"/>
  <c r="H498" i="3" a="1"/>
  <c r="H502" i="3" a="1"/>
  <c r="H506" i="3" a="1"/>
  <c r="H510" i="3" a="1"/>
  <c r="H514" i="3" a="1"/>
  <c r="H518" i="3" a="1"/>
  <c r="H522" i="3" a="1"/>
  <c r="H526" i="3" a="1"/>
  <c r="H530" i="3" a="1"/>
  <c r="H534" i="3" a="1"/>
  <c r="H538" i="3" a="1"/>
  <c r="H542" i="3" a="1"/>
  <c r="H546" i="3" a="1"/>
  <c r="H550" i="3" a="1"/>
  <c r="H554" i="3" a="1"/>
  <c r="H558" i="3" a="1"/>
  <c r="H562" i="3" a="1"/>
  <c r="H566" i="3" a="1"/>
  <c r="H350" i="3" a="1"/>
  <c r="H356" i="3" a="1"/>
  <c r="H360" i="3" a="1"/>
  <c r="H364" i="3" a="1"/>
  <c r="H368" i="3" a="1"/>
  <c r="H372" i="3" a="1"/>
  <c r="H376" i="3" a="1"/>
  <c r="H380" i="3" a="1"/>
  <c r="H384" i="3" a="1"/>
  <c r="H388" i="3" a="1"/>
  <c r="H392" i="3" a="1"/>
  <c r="H396" i="3" a="1"/>
  <c r="H400" i="3" a="1"/>
  <c r="H404" i="3" a="1"/>
  <c r="H408" i="3" a="1"/>
  <c r="H412" i="3" a="1"/>
  <c r="H416" i="3" a="1"/>
  <c r="H420" i="3" a="1"/>
  <c r="H424" i="3" a="1"/>
  <c r="H428" i="3" a="1"/>
  <c r="H432" i="3" a="1"/>
  <c r="H436" i="3" a="1"/>
  <c r="H440" i="3" a="1"/>
  <c r="H444" i="3" a="1"/>
  <c r="H448" i="3" a="1"/>
  <c r="H452" i="3" a="1"/>
  <c r="H456" i="3" a="1"/>
  <c r="H460" i="3" a="1"/>
  <c r="H464" i="3" a="1"/>
  <c r="H468" i="3" a="1"/>
  <c r="H472" i="3" a="1"/>
  <c r="H476" i="3" a="1"/>
  <c r="H480" i="3" a="1"/>
  <c r="H484" i="3" a="1"/>
  <c r="H488" i="3" a="1"/>
  <c r="H492" i="3" a="1"/>
  <c r="H496" i="3" a="1"/>
  <c r="H500" i="3" a="1"/>
  <c r="H504" i="3" a="1"/>
  <c r="H508" i="3" a="1"/>
  <c r="H512" i="3" a="1"/>
  <c r="H516" i="3" a="1"/>
  <c r="H520" i="3" a="1"/>
  <c r="H524" i="3" a="1"/>
  <c r="H528" i="3" a="1"/>
  <c r="H532" i="3" a="1"/>
  <c r="H536" i="3" a="1"/>
  <c r="H540" i="3" a="1"/>
  <c r="H544" i="3" a="1"/>
  <c r="H548" i="3" a="1"/>
  <c r="H552" i="3" a="1"/>
  <c r="H556" i="3" a="1"/>
  <c r="H560" i="3" a="1"/>
  <c r="H564" i="3" a="1"/>
  <c r="H568" i="3" a="1"/>
  <c r="H352" i="3" a="1"/>
  <c r="H357" i="3" a="1"/>
  <c r="H361" i="3" a="1"/>
  <c r="H365" i="3" a="1"/>
  <c r="H369" i="3" a="1"/>
  <c r="H373" i="3" a="1"/>
  <c r="H377" i="3" a="1"/>
  <c r="H381" i="3" a="1"/>
  <c r="H385" i="3" a="1"/>
  <c r="H389" i="3" a="1"/>
  <c r="H393" i="3" a="1"/>
  <c r="H397" i="3" a="1"/>
  <c r="H401" i="3" a="1"/>
  <c r="H405" i="3" a="1"/>
  <c r="H409" i="3" a="1"/>
  <c r="H413" i="3" a="1"/>
  <c r="H417" i="3" a="1"/>
  <c r="H421" i="3" a="1"/>
  <c r="H425" i="3" a="1"/>
  <c r="H429" i="3" a="1"/>
  <c r="H433" i="3" a="1"/>
  <c r="H437" i="3" a="1"/>
  <c r="H441" i="3" a="1"/>
  <c r="H445" i="3" a="1"/>
  <c r="H449" i="3" a="1"/>
  <c r="H453" i="3" a="1"/>
  <c r="H457" i="3" a="1"/>
  <c r="H461" i="3" a="1"/>
  <c r="H465" i="3" a="1"/>
  <c r="H469" i="3" a="1"/>
  <c r="H473" i="3" a="1"/>
  <c r="H477" i="3" a="1"/>
  <c r="H481" i="3" a="1"/>
  <c r="H485" i="3" a="1"/>
  <c r="H489" i="3" a="1"/>
  <c r="H493" i="3" a="1"/>
  <c r="H497" i="3" a="1"/>
  <c r="H501" i="3" a="1"/>
  <c r="H505" i="3" a="1"/>
  <c r="H509" i="3" a="1"/>
  <c r="H513" i="3" a="1"/>
  <c r="H517" i="3" a="1"/>
  <c r="H521" i="3" a="1"/>
  <c r="H525" i="3" a="1"/>
  <c r="H529" i="3" a="1"/>
  <c r="H533" i="3" a="1"/>
  <c r="H537" i="3" a="1"/>
  <c r="H541" i="3" a="1"/>
  <c r="H545" i="3" a="1"/>
  <c r="H549" i="3" a="1"/>
  <c r="H553" i="3" a="1"/>
  <c r="H557" i="3" a="1"/>
  <c r="H561" i="3" a="1"/>
  <c r="H565" i="3" a="1"/>
  <c r="H569" i="3" a="1"/>
  <c r="H571" i="3" a="1"/>
  <c r="H573" i="3" a="1"/>
  <c r="H575" i="3" a="1"/>
  <c r="H577" i="3" a="1"/>
  <c r="H348" i="3" a="1"/>
  <c r="H367" i="3" a="1"/>
  <c r="H383" i="3" a="1"/>
  <c r="H399" i="3" a="1"/>
  <c r="H415" i="3" a="1"/>
  <c r="H431" i="3" a="1"/>
  <c r="H447" i="3" a="1"/>
  <c r="H463" i="3" a="1"/>
  <c r="H479" i="3" a="1"/>
  <c r="H495" i="3" a="1"/>
  <c r="H511" i="3" a="1"/>
  <c r="H527" i="3" a="1"/>
  <c r="H543" i="3" a="1"/>
  <c r="H559" i="3" a="1"/>
  <c r="H572" i="3" a="1"/>
  <c r="H579" i="3" a="1"/>
  <c r="H583" i="3" a="1"/>
  <c r="H587" i="3" a="1"/>
  <c r="H591" i="3" a="1"/>
  <c r="H595" i="3" a="1"/>
  <c r="H599" i="3" a="1"/>
  <c r="H603" i="3" a="1"/>
  <c r="H607" i="3" a="1"/>
  <c r="H611" i="3" a="1"/>
  <c r="H615" i="3" a="1"/>
  <c r="H619" i="3" a="1"/>
  <c r="H623" i="3" a="1"/>
  <c r="H627" i="3" a="1"/>
  <c r="H631" i="3" a="1"/>
  <c r="H635" i="3" a="1"/>
  <c r="H639" i="3" a="1"/>
  <c r="H643" i="3" a="1"/>
  <c r="H647" i="3" a="1"/>
  <c r="H651" i="3" a="1"/>
  <c r="H655" i="3" a="1"/>
  <c r="H659" i="3" a="1"/>
  <c r="H663" i="3" a="1"/>
  <c r="H666" i="3" a="1"/>
  <c r="H668" i="3" a="1"/>
  <c r="H670" i="3" a="1"/>
  <c r="H672" i="3" a="1"/>
  <c r="H674" i="3" a="1"/>
  <c r="H676" i="3" a="1"/>
  <c r="H678" i="3" a="1"/>
  <c r="H680" i="3" a="1"/>
  <c r="H682" i="3" a="1"/>
  <c r="H684" i="3" a="1"/>
  <c r="H686" i="3" a="1"/>
  <c r="H688" i="3" a="1"/>
  <c r="H690" i="3" a="1"/>
  <c r="H692" i="3" a="1"/>
  <c r="H694" i="3" a="1"/>
  <c r="H696" i="3" a="1"/>
  <c r="H698" i="3" a="1"/>
  <c r="H700" i="3" a="1"/>
  <c r="H702" i="3" a="1"/>
  <c r="H704" i="3" a="1"/>
  <c r="H706" i="3" a="1"/>
  <c r="H708" i="3" a="1"/>
  <c r="H710" i="3" a="1"/>
  <c r="H712" i="3" a="1"/>
  <c r="H714" i="3" a="1"/>
  <c r="H716" i="3" a="1"/>
  <c r="H718" i="3" a="1"/>
  <c r="H720" i="3" a="1"/>
  <c r="H722" i="3" a="1"/>
  <c r="H724" i="3" a="1"/>
  <c r="H726" i="3" a="1"/>
  <c r="H728" i="3" a="1"/>
  <c r="H730" i="3" a="1"/>
  <c r="H732" i="3" a="1"/>
  <c r="H734" i="3" a="1"/>
  <c r="H736" i="3" a="1"/>
  <c r="H738" i="3" a="1"/>
  <c r="H740" i="3" a="1"/>
  <c r="H742" i="3" a="1"/>
  <c r="H744" i="3" a="1"/>
  <c r="H746" i="3" a="1"/>
  <c r="H748" i="3" a="1"/>
  <c r="H750" i="3" a="1"/>
  <c r="H752" i="3" a="1"/>
  <c r="H754" i="3" a="1"/>
  <c r="H756" i="3" a="1"/>
  <c r="H758" i="3" a="1"/>
  <c r="H760" i="3" a="1"/>
  <c r="H762" i="3" a="1"/>
  <c r="H764" i="3" a="1"/>
  <c r="H766" i="3" a="1"/>
  <c r="H768" i="3" a="1"/>
  <c r="H770" i="3" a="1"/>
  <c r="H772" i="3" a="1"/>
  <c r="H774" i="3" a="1"/>
  <c r="H776" i="3" a="1"/>
  <c r="H778" i="3" a="1"/>
  <c r="H780" i="3" a="1"/>
  <c r="H782" i="3" a="1"/>
  <c r="H784" i="3" a="1"/>
  <c r="H786" i="3" a="1"/>
  <c r="H788" i="3" a="1"/>
  <c r="H790" i="3" a="1"/>
  <c r="H792" i="3" a="1"/>
  <c r="H794" i="3" a="1"/>
  <c r="H796" i="3" a="1"/>
  <c r="H798" i="3" a="1"/>
  <c r="H800" i="3" a="1"/>
  <c r="H802" i="3" a="1"/>
  <c r="H804" i="3" a="1"/>
  <c r="H806" i="3" a="1"/>
  <c r="H808" i="3" a="1"/>
  <c r="H810" i="3" a="1"/>
  <c r="H812" i="3" a="1"/>
  <c r="H814" i="3" a="1"/>
  <c r="H816" i="3" a="1"/>
  <c r="H818" i="3" a="1"/>
  <c r="H820" i="3" a="1"/>
  <c r="H822" i="3" a="1"/>
  <c r="H824" i="3" a="1"/>
  <c r="H826" i="3" a="1"/>
  <c r="H828" i="3" a="1"/>
  <c r="H830" i="3" a="1"/>
  <c r="H832" i="3" a="1"/>
  <c r="H834" i="3" a="1"/>
  <c r="H836" i="3" a="1"/>
  <c r="H838" i="3" a="1"/>
  <c r="H840" i="3" a="1"/>
  <c r="H842" i="3" a="1"/>
  <c r="H844" i="3" a="1"/>
  <c r="H846" i="3" a="1"/>
  <c r="H355" i="3" a="1"/>
  <c r="H371" i="3" a="1"/>
  <c r="H387" i="3" a="1"/>
  <c r="H403" i="3" a="1"/>
  <c r="H419" i="3" a="1"/>
  <c r="H435" i="3" a="1"/>
  <c r="H451" i="3" a="1"/>
  <c r="H467" i="3" a="1"/>
  <c r="H483" i="3" a="1"/>
  <c r="H499" i="3" a="1"/>
  <c r="H515" i="3" a="1"/>
  <c r="H531" i="3" a="1"/>
  <c r="H547" i="3" a="1"/>
  <c r="H563" i="3" a="1"/>
  <c r="H574" i="3" a="1"/>
  <c r="H580" i="3" a="1"/>
  <c r="H584" i="3" a="1"/>
  <c r="H588" i="3" a="1"/>
  <c r="H592" i="3" a="1"/>
  <c r="H596" i="3" a="1"/>
  <c r="H600" i="3" a="1"/>
  <c r="H604" i="3" a="1"/>
  <c r="H608" i="3" a="1"/>
  <c r="H612" i="3" a="1"/>
  <c r="H616" i="3" a="1"/>
  <c r="H620" i="3" a="1"/>
  <c r="H624" i="3" a="1"/>
  <c r="H628" i="3" a="1"/>
  <c r="H632" i="3" a="1"/>
  <c r="H636" i="3" a="1"/>
  <c r="H640" i="3" a="1"/>
  <c r="H644" i="3" a="1"/>
  <c r="H648" i="3" a="1"/>
  <c r="H652" i="3" a="1"/>
  <c r="H656" i="3" a="1"/>
  <c r="H660" i="3" a="1"/>
  <c r="H664" i="3" a="1"/>
  <c r="H359" i="3" a="1"/>
  <c r="H375" i="3" a="1"/>
  <c r="H391" i="3" a="1"/>
  <c r="H407" i="3" a="1"/>
  <c r="H423" i="3" a="1"/>
  <c r="H439" i="3" a="1"/>
  <c r="H455" i="3" a="1"/>
  <c r="H471" i="3" a="1"/>
  <c r="H487" i="3" a="1"/>
  <c r="H503" i="3" a="1"/>
  <c r="H519" i="3" a="1"/>
  <c r="H535" i="3" a="1"/>
  <c r="H551" i="3" a="1"/>
  <c r="H567" i="3" a="1"/>
  <c r="H576" i="3" a="1"/>
  <c r="H581" i="3" a="1"/>
  <c r="H585" i="3" a="1"/>
  <c r="H589" i="3" a="1"/>
  <c r="H593" i="3" a="1"/>
  <c r="H597" i="3" a="1"/>
  <c r="H601" i="3" a="1"/>
  <c r="H605" i="3" a="1"/>
  <c r="H609" i="3" a="1"/>
  <c r="H613" i="3" a="1"/>
  <c r="H617" i="3" a="1"/>
  <c r="H621" i="3" a="1"/>
  <c r="H625" i="3" a="1"/>
  <c r="H629" i="3" a="1"/>
  <c r="H633" i="3" a="1"/>
  <c r="H637" i="3" a="1"/>
  <c r="H641" i="3" a="1"/>
  <c r="H645" i="3" a="1"/>
  <c r="H649" i="3" a="1"/>
  <c r="H653" i="3" a="1"/>
  <c r="H657" i="3" a="1"/>
  <c r="H661" i="3" a="1"/>
  <c r="H665" i="3" a="1"/>
  <c r="H667" i="3" a="1"/>
  <c r="H669" i="3" a="1"/>
  <c r="H671" i="3" a="1"/>
  <c r="H673" i="3" a="1"/>
  <c r="H675" i="3" a="1"/>
  <c r="H677" i="3" a="1"/>
  <c r="H679" i="3" a="1"/>
  <c r="H681" i="3" a="1"/>
  <c r="H683" i="3" a="1"/>
  <c r="H685" i="3" a="1"/>
  <c r="H687" i="3" a="1"/>
  <c r="H689" i="3" a="1"/>
  <c r="H691" i="3" a="1"/>
  <c r="H693" i="3" a="1"/>
  <c r="H695" i="3" a="1"/>
  <c r="H697" i="3" a="1"/>
  <c r="H699" i="3" a="1"/>
  <c r="H701" i="3" a="1"/>
  <c r="H703" i="3" a="1"/>
  <c r="H705" i="3" a="1"/>
  <c r="H707" i="3" a="1"/>
  <c r="H709" i="3" a="1"/>
  <c r="H711" i="3" a="1"/>
  <c r="H713" i="3" a="1"/>
  <c r="H715" i="3" a="1"/>
  <c r="H717" i="3" a="1"/>
  <c r="H719" i="3" a="1"/>
  <c r="H721" i="3" a="1"/>
  <c r="H723" i="3" a="1"/>
  <c r="H725" i="3" a="1"/>
  <c r="H727" i="3" a="1"/>
  <c r="H729" i="3" a="1"/>
  <c r="H731" i="3" a="1"/>
  <c r="H733" i="3" a="1"/>
  <c r="H735" i="3" a="1"/>
  <c r="H737" i="3" a="1"/>
  <c r="H739" i="3" a="1"/>
  <c r="H741" i="3" a="1"/>
  <c r="H743" i="3" a="1"/>
  <c r="H745" i="3" a="1"/>
  <c r="H747" i="3" a="1"/>
  <c r="H749" i="3" a="1"/>
  <c r="H751" i="3" a="1"/>
  <c r="H753" i="3" a="1"/>
  <c r="H755" i="3" a="1"/>
  <c r="H757" i="3" a="1"/>
  <c r="H759" i="3" a="1"/>
  <c r="H761" i="3" a="1"/>
  <c r="H763" i="3" a="1"/>
  <c r="H765" i="3" a="1"/>
  <c r="H767" i="3" a="1"/>
  <c r="H769" i="3" a="1"/>
  <c r="H771" i="3" a="1"/>
  <c r="H773" i="3" a="1"/>
  <c r="H775" i="3" a="1"/>
  <c r="H777" i="3" a="1"/>
  <c r="H779" i="3" a="1"/>
  <c r="H781" i="3" a="1"/>
  <c r="H783" i="3" a="1"/>
  <c r="H785" i="3" a="1"/>
  <c r="H787" i="3" a="1"/>
  <c r="H789" i="3" a="1"/>
  <c r="H791" i="3" a="1"/>
  <c r="H793" i="3" a="1"/>
  <c r="H795" i="3" a="1"/>
  <c r="H797" i="3" a="1"/>
  <c r="H799" i="3" a="1"/>
  <c r="H801" i="3" a="1"/>
  <c r="H803" i="3" a="1"/>
  <c r="H805" i="3" a="1"/>
  <c r="H807" i="3" a="1"/>
  <c r="H809" i="3" a="1"/>
  <c r="H811" i="3" a="1"/>
  <c r="H813" i="3" a="1"/>
  <c r="H815" i="3" a="1"/>
  <c r="H817" i="3" a="1"/>
  <c r="H819" i="3" a="1"/>
  <c r="H821" i="3" a="1"/>
  <c r="H823" i="3" a="1"/>
  <c r="H825" i="3" a="1"/>
  <c r="H827" i="3" a="1"/>
  <c r="H829" i="3" a="1"/>
  <c r="H831" i="3" a="1"/>
  <c r="H833" i="3" a="1"/>
  <c r="H835" i="3" a="1"/>
  <c r="H837" i="3" a="1"/>
  <c r="H839" i="3" a="1"/>
  <c r="H841" i="3" a="1"/>
  <c r="H843" i="3" a="1"/>
  <c r="H845" i="3" a="1"/>
  <c r="H363" i="3" a="1"/>
  <c r="H379" i="3" a="1"/>
  <c r="H395" i="3" a="1"/>
  <c r="H411" i="3" a="1"/>
  <c r="H427" i="3" a="1"/>
  <c r="H443" i="3" a="1"/>
  <c r="H459" i="3" a="1"/>
  <c r="H475" i="3" a="1"/>
  <c r="H491" i="3" a="1"/>
  <c r="H507" i="3" a="1"/>
  <c r="H523" i="3" a="1"/>
  <c r="H539" i="3" a="1"/>
  <c r="H555" i="3" a="1"/>
  <c r="H570" i="3" a="1"/>
  <c r="H578" i="3" a="1"/>
  <c r="H582" i="3" a="1"/>
  <c r="H586" i="3" a="1"/>
  <c r="H590" i="3" a="1"/>
  <c r="H594" i="3" a="1"/>
  <c r="H598" i="3" a="1"/>
  <c r="H602" i="3" a="1"/>
  <c r="H606" i="3" a="1"/>
  <c r="H610" i="3" a="1"/>
  <c r="H614" i="3" a="1"/>
  <c r="H618" i="3" a="1"/>
  <c r="H622" i="3" a="1"/>
  <c r="H626" i="3" a="1"/>
  <c r="H630" i="3" a="1"/>
  <c r="H634" i="3" a="1"/>
  <c r="H638" i="3" a="1"/>
  <c r="H642" i="3" a="1"/>
  <c r="H646" i="3" a="1"/>
  <c r="H650" i="3" a="1"/>
  <c r="H654" i="3" a="1"/>
  <c r="H658" i="3" a="1"/>
  <c r="H662" i="3" a="1"/>
  <c r="H847" i="3" a="1"/>
  <c r="H851" i="3" a="1"/>
  <c r="H855" i="3" a="1"/>
  <c r="H859" i="3" a="1"/>
  <c r="H863" i="3" a="1"/>
  <c r="H867" i="3" a="1"/>
  <c r="H871" i="3" a="1"/>
  <c r="H875" i="3" a="1"/>
  <c r="H879" i="3" a="1"/>
  <c r="H883" i="3" a="1"/>
  <c r="H887" i="3" a="1"/>
  <c r="H891" i="3" a="1"/>
  <c r="H895" i="3" a="1"/>
  <c r="H899" i="3" a="1"/>
  <c r="H903" i="3" a="1"/>
  <c r="H907" i="3" a="1"/>
  <c r="H911" i="3" a="1"/>
  <c r="H915" i="3" a="1"/>
  <c r="H919" i="3" a="1"/>
  <c r="H923" i="3" a="1"/>
  <c r="H927" i="3" a="1"/>
  <c r="H931" i="3" a="1"/>
  <c r="H935" i="3" a="1"/>
  <c r="H939" i="3" a="1"/>
  <c r="H943" i="3" a="1"/>
  <c r="H947" i="3" a="1"/>
  <c r="H951" i="3" a="1"/>
  <c r="H955" i="3" a="1"/>
  <c r="H959" i="3" a="1"/>
  <c r="H963" i="3" a="1"/>
  <c r="H967" i="3" a="1"/>
  <c r="H971" i="3" a="1"/>
  <c r="H975" i="3" a="1"/>
  <c r="H979" i="3" a="1"/>
  <c r="H983" i="3" a="1"/>
  <c r="H987" i="3" a="1"/>
  <c r="H991" i="3" a="1"/>
  <c r="H995" i="3" a="1"/>
  <c r="H999" i="3" a="1"/>
  <c r="H1003" i="3" a="1"/>
  <c r="H1007" i="3" a="1"/>
  <c r="H1011" i="3" a="1"/>
  <c r="H1015" i="3" a="1"/>
  <c r="H1019" i="3" a="1"/>
  <c r="H1023" i="3" a="1"/>
  <c r="H1027" i="3" a="1"/>
  <c r="H1031" i="3" a="1"/>
  <c r="H1035" i="3" a="1"/>
  <c r="H1039" i="3" a="1"/>
  <c r="H1043" i="3" a="1"/>
  <c r="H1047" i="3" a="1"/>
  <c r="H1051" i="3" a="1"/>
  <c r="H1055" i="3" a="1"/>
  <c r="H1059" i="3" a="1"/>
  <c r="H1063" i="3" a="1"/>
  <c r="H1067" i="3" a="1"/>
  <c r="H1071" i="3" a="1"/>
  <c r="H1075" i="3" a="1"/>
  <c r="H1079" i="3" a="1"/>
  <c r="H1083" i="3" a="1"/>
  <c r="H1087" i="3" a="1"/>
  <c r="H1091" i="3" a="1"/>
  <c r="H1095" i="3" a="1"/>
  <c r="H1099" i="3" a="1"/>
  <c r="H1103" i="3" a="1"/>
  <c r="H1107" i="3" a="1"/>
  <c r="H1111" i="3" a="1"/>
  <c r="H1115" i="3" a="1"/>
  <c r="H1119" i="3" a="1"/>
  <c r="H1123" i="3" a="1"/>
  <c r="H1127" i="3" a="1"/>
  <c r="H1131" i="3" a="1"/>
  <c r="H1135" i="3" a="1"/>
  <c r="H1139" i="3" a="1"/>
  <c r="H1143" i="3" a="1"/>
  <c r="H1147" i="3" a="1"/>
  <c r="H1151" i="3" a="1"/>
  <c r="H1155" i="3" a="1"/>
  <c r="H1159" i="3" a="1"/>
  <c r="H1163" i="3" a="1"/>
  <c r="H1167" i="3" a="1"/>
  <c r="H1171" i="3" a="1"/>
  <c r="H1175" i="3" a="1"/>
  <c r="H1179" i="3" a="1"/>
  <c r="H1183" i="3" a="1"/>
  <c r="H1187" i="3" a="1"/>
  <c r="H1191" i="3" a="1"/>
  <c r="H1195" i="3" a="1"/>
  <c r="H1199" i="3" a="1"/>
  <c r="H1203" i="3" a="1"/>
  <c r="H1207" i="3" a="1"/>
  <c r="H1211" i="3" a="1"/>
  <c r="H1215" i="3" a="1"/>
  <c r="H1219" i="3" a="1"/>
  <c r="H1223" i="3" a="1"/>
  <c r="H1227" i="3" a="1"/>
  <c r="H1231" i="3" a="1"/>
  <c r="H1235" i="3" a="1"/>
  <c r="H1239" i="3" a="1"/>
  <c r="H1243" i="3" a="1"/>
  <c r="H1247" i="3" a="1"/>
  <c r="H1251" i="3" a="1"/>
  <c r="H1255" i="3" a="1"/>
  <c r="H1259" i="3" a="1"/>
  <c r="H1263" i="3" a="1"/>
  <c r="H1267" i="3" a="1"/>
  <c r="H1271" i="3" a="1"/>
  <c r="H1275" i="3" a="1"/>
  <c r="H1279" i="3" a="1"/>
  <c r="H1283" i="3" a="1"/>
  <c r="H1287" i="3" a="1"/>
  <c r="H1291" i="3" a="1"/>
  <c r="H1295" i="3" a="1"/>
  <c r="H848" i="3" a="1"/>
  <c r="H852" i="3" a="1"/>
  <c r="H856" i="3" a="1"/>
  <c r="H860" i="3" a="1"/>
  <c r="H864" i="3" a="1"/>
  <c r="H868" i="3" a="1"/>
  <c r="H872" i="3" a="1"/>
  <c r="H876" i="3" a="1"/>
  <c r="H880" i="3" a="1"/>
  <c r="H884" i="3" a="1"/>
  <c r="H888" i="3" a="1"/>
  <c r="H892" i="3" a="1"/>
  <c r="H896" i="3" a="1"/>
  <c r="H900" i="3" a="1"/>
  <c r="H904" i="3" a="1"/>
  <c r="H908" i="3" a="1"/>
  <c r="H912" i="3" a="1"/>
  <c r="H916" i="3" a="1"/>
  <c r="H920" i="3" a="1"/>
  <c r="H924" i="3" a="1"/>
  <c r="H928" i="3" a="1"/>
  <c r="H932" i="3" a="1"/>
  <c r="H936" i="3" a="1"/>
  <c r="H940" i="3" a="1"/>
  <c r="H944" i="3" a="1"/>
  <c r="H948" i="3" a="1"/>
  <c r="H952" i="3" a="1"/>
  <c r="H956" i="3" a="1"/>
  <c r="H960" i="3" a="1"/>
  <c r="H964" i="3" a="1"/>
  <c r="H968" i="3" a="1"/>
  <c r="H972" i="3" a="1"/>
  <c r="H976" i="3" a="1"/>
  <c r="H980" i="3" a="1"/>
  <c r="H984" i="3" a="1"/>
  <c r="H988" i="3" a="1"/>
  <c r="H992" i="3" a="1"/>
  <c r="H996" i="3" a="1"/>
  <c r="H1000" i="3" a="1"/>
  <c r="H1004" i="3" a="1"/>
  <c r="H1008" i="3" a="1"/>
  <c r="H1012" i="3" a="1"/>
  <c r="H1016" i="3" a="1"/>
  <c r="H1020" i="3" a="1"/>
  <c r="H1024" i="3" a="1"/>
  <c r="H1028" i="3" a="1"/>
  <c r="H1032" i="3" a="1"/>
  <c r="H1036" i="3" a="1"/>
  <c r="H1040" i="3" a="1"/>
  <c r="H1044" i="3" a="1"/>
  <c r="H1048" i="3" a="1"/>
  <c r="H1052" i="3" a="1"/>
  <c r="H1056" i="3" a="1"/>
  <c r="H1060" i="3" a="1"/>
  <c r="H1064" i="3" a="1"/>
  <c r="H1068" i="3" a="1"/>
  <c r="H1072" i="3" a="1"/>
  <c r="H1076" i="3" a="1"/>
  <c r="H1080" i="3" a="1"/>
  <c r="H1084" i="3" a="1"/>
  <c r="H1088" i="3" a="1"/>
  <c r="H1092" i="3" a="1"/>
  <c r="H1096" i="3" a="1"/>
  <c r="H1100" i="3" a="1"/>
  <c r="H1104" i="3" a="1"/>
  <c r="H1108" i="3" a="1"/>
  <c r="H1112" i="3" a="1"/>
  <c r="H1116" i="3" a="1"/>
  <c r="H1120" i="3" a="1"/>
  <c r="H1124" i="3" a="1"/>
  <c r="H1128" i="3" a="1"/>
  <c r="H1132" i="3" a="1"/>
  <c r="H1136" i="3" a="1"/>
  <c r="H1140" i="3" a="1"/>
  <c r="H1144" i="3" a="1"/>
  <c r="H1148" i="3" a="1"/>
  <c r="H1152" i="3" a="1"/>
  <c r="H1156" i="3" a="1"/>
  <c r="H1160" i="3" a="1"/>
  <c r="H1164" i="3" a="1"/>
  <c r="H1168" i="3" a="1"/>
  <c r="H1172" i="3" a="1"/>
  <c r="H1176" i="3" a="1"/>
  <c r="H1180" i="3" a="1"/>
  <c r="H1184" i="3" a="1"/>
  <c r="H1188" i="3" a="1"/>
  <c r="H1192" i="3" a="1"/>
  <c r="H1196" i="3" a="1"/>
  <c r="H1200" i="3" a="1"/>
  <c r="H1204" i="3" a="1"/>
  <c r="H1208" i="3" a="1"/>
  <c r="H1212" i="3" a="1"/>
  <c r="H1216" i="3" a="1"/>
  <c r="H1220" i="3" a="1"/>
  <c r="H1224" i="3" a="1"/>
  <c r="H1228" i="3" a="1"/>
  <c r="H1232" i="3" a="1"/>
  <c r="H1236" i="3" a="1"/>
  <c r="H1240" i="3" a="1"/>
  <c r="H1244" i="3" a="1"/>
  <c r="H1248" i="3" a="1"/>
  <c r="H1252" i="3" a="1"/>
  <c r="H1256" i="3" a="1"/>
  <c r="H1260" i="3" a="1"/>
  <c r="H1264" i="3" a="1"/>
  <c r="H1268" i="3" a="1"/>
  <c r="H1272" i="3" a="1"/>
  <c r="H1276" i="3" a="1"/>
  <c r="H1280" i="3" a="1"/>
  <c r="H1284" i="3" a="1"/>
  <c r="H1288" i="3" a="1"/>
  <c r="H1292" i="3" a="1"/>
  <c r="H1296" i="3" a="1"/>
  <c r="H1299" i="3" a="1"/>
  <c r="H1301" i="3" a="1"/>
  <c r="H1303" i="3" a="1"/>
  <c r="H1305" i="3" a="1"/>
  <c r="H1307" i="3" a="1"/>
  <c r="H1309" i="3" a="1"/>
  <c r="H1311" i="3" a="1"/>
  <c r="H1313" i="3" a="1"/>
  <c r="H1315" i="3" a="1"/>
  <c r="H1317" i="3" a="1"/>
  <c r="H1319" i="3" a="1"/>
  <c r="H1321" i="3" a="1"/>
  <c r="H1323" i="3" a="1"/>
  <c r="H1325" i="3" a="1"/>
  <c r="H1327" i="3" a="1"/>
  <c r="H1329" i="3" a="1"/>
  <c r="H1331" i="3" a="1"/>
  <c r="H1333" i="3" a="1"/>
  <c r="H1335" i="3" a="1"/>
  <c r="H1337" i="3" a="1"/>
  <c r="H1339" i="3" a="1"/>
  <c r="H1341" i="3" a="1"/>
  <c r="H1343" i="3" a="1"/>
  <c r="H1345" i="3" a="1"/>
  <c r="H1347" i="3" a="1"/>
  <c r="H1349" i="3" a="1"/>
  <c r="H1351" i="3" a="1"/>
  <c r="H1353" i="3" a="1"/>
  <c r="H1355" i="3" a="1"/>
  <c r="H1357" i="3" a="1"/>
  <c r="H1359" i="3" a="1"/>
  <c r="H1361" i="3" a="1"/>
  <c r="H1363" i="3" a="1"/>
  <c r="H849" i="3" a="1"/>
  <c r="H853" i="3" a="1"/>
  <c r="H857" i="3" a="1"/>
  <c r="H861" i="3" a="1"/>
  <c r="H865" i="3" a="1"/>
  <c r="H869" i="3" a="1"/>
  <c r="H873" i="3" a="1"/>
  <c r="H877" i="3" a="1"/>
  <c r="H881" i="3" a="1"/>
  <c r="H885" i="3" a="1"/>
  <c r="H889" i="3" a="1"/>
  <c r="H893" i="3" a="1"/>
  <c r="H897" i="3" a="1"/>
  <c r="H901" i="3" a="1"/>
  <c r="H905" i="3" a="1"/>
  <c r="H909" i="3" a="1"/>
  <c r="H913" i="3" a="1"/>
  <c r="H917" i="3" a="1"/>
  <c r="H921" i="3" a="1"/>
  <c r="H925" i="3" a="1"/>
  <c r="H929" i="3" a="1"/>
  <c r="H933" i="3" a="1"/>
  <c r="H937" i="3" a="1"/>
  <c r="H941" i="3" a="1"/>
  <c r="H945" i="3" a="1"/>
  <c r="H949" i="3" a="1"/>
  <c r="H953" i="3" a="1"/>
  <c r="H957" i="3" a="1"/>
  <c r="H961" i="3" a="1"/>
  <c r="H965" i="3" a="1"/>
  <c r="H969" i="3" a="1"/>
  <c r="H973" i="3" a="1"/>
  <c r="H977" i="3" a="1"/>
  <c r="H981" i="3" a="1"/>
  <c r="H985" i="3" a="1"/>
  <c r="H989" i="3" a="1"/>
  <c r="H993" i="3" a="1"/>
  <c r="H997" i="3" a="1"/>
  <c r="H1001" i="3" a="1"/>
  <c r="H1005" i="3" a="1"/>
  <c r="H1009" i="3" a="1"/>
  <c r="H1013" i="3" a="1"/>
  <c r="H1017" i="3" a="1"/>
  <c r="H1021" i="3" a="1"/>
  <c r="H1025" i="3" a="1"/>
  <c r="H1029" i="3" a="1"/>
  <c r="H1033" i="3" a="1"/>
  <c r="H1037" i="3" a="1"/>
  <c r="H1041" i="3" a="1"/>
  <c r="H1045" i="3" a="1"/>
  <c r="H1049" i="3" a="1"/>
  <c r="H1053" i="3" a="1"/>
  <c r="H1057" i="3" a="1"/>
  <c r="H1061" i="3" a="1"/>
  <c r="H1065" i="3" a="1"/>
  <c r="H1069" i="3" a="1"/>
  <c r="H1073" i="3" a="1"/>
  <c r="H1077" i="3" a="1"/>
  <c r="H1081" i="3" a="1"/>
  <c r="H1085" i="3" a="1"/>
  <c r="H1089" i="3" a="1"/>
  <c r="H1093" i="3" a="1"/>
  <c r="H1097" i="3" a="1"/>
  <c r="H1101" i="3" a="1"/>
  <c r="H1105" i="3" a="1"/>
  <c r="H1109" i="3" a="1"/>
  <c r="H1113" i="3" a="1"/>
  <c r="H1117" i="3" a="1"/>
  <c r="H1121" i="3" a="1"/>
  <c r="H1125" i="3" a="1"/>
  <c r="H1129" i="3" a="1"/>
  <c r="H1133" i="3" a="1"/>
  <c r="H1137" i="3" a="1"/>
  <c r="H1141" i="3" a="1"/>
  <c r="H1145" i="3" a="1"/>
  <c r="H1149" i="3" a="1"/>
  <c r="H1153" i="3" a="1"/>
  <c r="H1157" i="3" a="1"/>
  <c r="H1161" i="3" a="1"/>
  <c r="H1165" i="3" a="1"/>
  <c r="H1169" i="3" a="1"/>
  <c r="H1173" i="3" a="1"/>
  <c r="H1177" i="3" a="1"/>
  <c r="H1181" i="3" a="1"/>
  <c r="H1185" i="3" a="1"/>
  <c r="H1189" i="3" a="1"/>
  <c r="H1193" i="3" a="1"/>
  <c r="H1197" i="3" a="1"/>
  <c r="H1201" i="3" a="1"/>
  <c r="H1205" i="3" a="1"/>
  <c r="H1209" i="3" a="1"/>
  <c r="H1213" i="3" a="1"/>
  <c r="H1217" i="3" a="1"/>
  <c r="H1221" i="3" a="1"/>
  <c r="H1225" i="3" a="1"/>
  <c r="H1229" i="3" a="1"/>
  <c r="H1233" i="3" a="1"/>
  <c r="H1237" i="3" a="1"/>
  <c r="H1241" i="3" a="1"/>
  <c r="H1245" i="3" a="1"/>
  <c r="H1249" i="3" a="1"/>
  <c r="H1253" i="3" a="1"/>
  <c r="H1257" i="3" a="1"/>
  <c r="H1261" i="3" a="1"/>
  <c r="H1265" i="3" a="1"/>
  <c r="H1269" i="3" a="1"/>
  <c r="H1273" i="3" a="1"/>
  <c r="H1277" i="3" a="1"/>
  <c r="H1281" i="3" a="1"/>
  <c r="H1285" i="3" a="1"/>
  <c r="H1289" i="3" a="1"/>
  <c r="H1293" i="3" a="1"/>
  <c r="H1297" i="3" a="1"/>
  <c r="H850" i="3" a="1"/>
  <c r="H854" i="3" a="1"/>
  <c r="H858" i="3" a="1"/>
  <c r="H862" i="3" a="1"/>
  <c r="H866" i="3" a="1"/>
  <c r="H870" i="3" a="1"/>
  <c r="H874" i="3" a="1"/>
  <c r="H878" i="3" a="1"/>
  <c r="H882" i="3" a="1"/>
  <c r="H886" i="3" a="1"/>
  <c r="H890" i="3" a="1"/>
  <c r="H894" i="3" a="1"/>
  <c r="H898" i="3" a="1"/>
  <c r="H902" i="3" a="1"/>
  <c r="H906" i="3" a="1"/>
  <c r="H910" i="3" a="1"/>
  <c r="H914" i="3" a="1"/>
  <c r="H918" i="3" a="1"/>
  <c r="H922" i="3" a="1"/>
  <c r="H926" i="3" a="1"/>
  <c r="H930" i="3" a="1"/>
  <c r="H934" i="3" a="1"/>
  <c r="H938" i="3" a="1"/>
  <c r="H942" i="3" a="1"/>
  <c r="H946" i="3" a="1"/>
  <c r="H950" i="3" a="1"/>
  <c r="H954" i="3" a="1"/>
  <c r="H958" i="3" a="1"/>
  <c r="H962" i="3" a="1"/>
  <c r="H966" i="3" a="1"/>
  <c r="H970" i="3" a="1"/>
  <c r="H974" i="3" a="1"/>
  <c r="H978" i="3" a="1"/>
  <c r="H982" i="3" a="1"/>
  <c r="H986" i="3" a="1"/>
  <c r="H990" i="3" a="1"/>
  <c r="H994" i="3" a="1"/>
  <c r="H998" i="3" a="1"/>
  <c r="H1002" i="3" a="1"/>
  <c r="H1006" i="3" a="1"/>
  <c r="H1010" i="3" a="1"/>
  <c r="H1014" i="3" a="1"/>
  <c r="H1018" i="3" a="1"/>
  <c r="H1022" i="3" a="1"/>
  <c r="H1026" i="3" a="1"/>
  <c r="H1030" i="3" a="1"/>
  <c r="H1034" i="3" a="1"/>
  <c r="H1038" i="3" a="1"/>
  <c r="H1042" i="3" a="1"/>
  <c r="H1046" i="3" a="1"/>
  <c r="H1050" i="3" a="1"/>
  <c r="H1054" i="3" a="1"/>
  <c r="H1058" i="3" a="1"/>
  <c r="H1062" i="3" a="1"/>
  <c r="H1066" i="3" a="1"/>
  <c r="H1070" i="3" a="1"/>
  <c r="H1074" i="3" a="1"/>
  <c r="H1078" i="3" a="1"/>
  <c r="H1082" i="3" a="1"/>
  <c r="H1086" i="3" a="1"/>
  <c r="H1090" i="3" a="1"/>
  <c r="H1094" i="3" a="1"/>
  <c r="H1098" i="3" a="1"/>
  <c r="H1102" i="3" a="1"/>
  <c r="H1106" i="3" a="1"/>
  <c r="H1110" i="3" a="1"/>
  <c r="H1114" i="3" a="1"/>
  <c r="H1118" i="3" a="1"/>
  <c r="H1122" i="3" a="1"/>
  <c r="H1126" i="3" a="1"/>
  <c r="H1130" i="3" a="1"/>
  <c r="H1134" i="3" a="1"/>
  <c r="H1138" i="3" a="1"/>
  <c r="H1142" i="3" a="1"/>
  <c r="H1146" i="3" a="1"/>
  <c r="H1150" i="3" a="1"/>
  <c r="H1154" i="3" a="1"/>
  <c r="H1158" i="3" a="1"/>
  <c r="H1162" i="3" a="1"/>
  <c r="H1166" i="3" a="1"/>
  <c r="H1170" i="3" a="1"/>
  <c r="H1174" i="3" a="1"/>
  <c r="H1178" i="3" a="1"/>
  <c r="H1182" i="3" a="1"/>
  <c r="H1186" i="3" a="1"/>
  <c r="H1190" i="3" a="1"/>
  <c r="H1194" i="3" a="1"/>
  <c r="H1198" i="3" a="1"/>
  <c r="H1202" i="3" a="1"/>
  <c r="H1206" i="3" a="1"/>
  <c r="H1210" i="3" a="1"/>
  <c r="H1214" i="3" a="1"/>
  <c r="H1218" i="3" a="1"/>
  <c r="H1222" i="3" a="1"/>
  <c r="H1226" i="3" a="1"/>
  <c r="H1230" i="3" a="1"/>
  <c r="H1234" i="3" a="1"/>
  <c r="H1238" i="3" a="1"/>
  <c r="H1242" i="3" a="1"/>
  <c r="H1246" i="3" a="1"/>
  <c r="H1250" i="3" a="1"/>
  <c r="H1254" i="3" a="1"/>
  <c r="H1258" i="3" a="1"/>
  <c r="H1262" i="3" a="1"/>
  <c r="H1266" i="3" a="1"/>
  <c r="H1270" i="3" a="1"/>
  <c r="H1274" i="3" a="1"/>
  <c r="H1278" i="3" a="1"/>
  <c r="H1282" i="3" a="1"/>
  <c r="H1286" i="3" a="1"/>
  <c r="H1290" i="3" a="1"/>
  <c r="H1294" i="3" a="1"/>
  <c r="H1298" i="3" a="1"/>
  <c r="H1300" i="3" a="1"/>
  <c r="H1302" i="3" a="1"/>
  <c r="H1304" i="3" a="1"/>
  <c r="H1306" i="3" a="1"/>
  <c r="H1308" i="3" a="1"/>
  <c r="H1310" i="3" a="1"/>
  <c r="H1312" i="3" a="1"/>
  <c r="H1314" i="3" a="1"/>
  <c r="H1316" i="3" a="1"/>
  <c r="H1318" i="3" a="1"/>
  <c r="H1320" i="3" a="1"/>
  <c r="H1322" i="3" a="1"/>
  <c r="H1324" i="3" a="1"/>
  <c r="H1326" i="3" a="1"/>
  <c r="H1328" i="3" a="1"/>
  <c r="H1330" i="3" a="1"/>
  <c r="H1332" i="3" a="1"/>
  <c r="H1334" i="3" a="1"/>
  <c r="H1336" i="3" a="1"/>
  <c r="H1338" i="3" a="1"/>
  <c r="H1340" i="3" a="1"/>
  <c r="H1342" i="3" a="1"/>
  <c r="H1344" i="3" a="1"/>
  <c r="H1346" i="3" a="1"/>
  <c r="H1348" i="3" a="1"/>
  <c r="H1350" i="3" a="1"/>
  <c r="H1352" i="3" a="1"/>
  <c r="H1354" i="3" a="1"/>
  <c r="H1356" i="3" a="1"/>
  <c r="H1358" i="3" a="1"/>
  <c r="H1360" i="3" a="1"/>
  <c r="H1362" i="3" a="1"/>
  <c r="H1364" i="3" a="1"/>
  <c r="H1365" i="3" a="1"/>
  <c r="H1369" i="3" a="1"/>
  <c r="H1373" i="3" a="1"/>
  <c r="H1377" i="3" a="1"/>
  <c r="H1381" i="3" a="1"/>
  <c r="H1385" i="3" a="1"/>
  <c r="H1389" i="3" a="1"/>
  <c r="H1393" i="3" a="1"/>
  <c r="H1397" i="3" a="1"/>
  <c r="H1401" i="3" a="1"/>
  <c r="H1405" i="3" a="1"/>
  <c r="H1409" i="3" a="1"/>
  <c r="H1413" i="3" a="1"/>
  <c r="H1417" i="3" a="1"/>
  <c r="H1421" i="3" a="1"/>
  <c r="H1425" i="3" a="1"/>
  <c r="H1429" i="3" a="1"/>
  <c r="H1433" i="3" a="1"/>
  <c r="H1437" i="3" a="1"/>
  <c r="H1441" i="3" a="1"/>
  <c r="H1445" i="3" a="1"/>
  <c r="H1449" i="3" a="1"/>
  <c r="H1453" i="3" a="1"/>
  <c r="H1457" i="3" a="1"/>
  <c r="H1461" i="3" a="1"/>
  <c r="H1465" i="3" a="1"/>
  <c r="H1469" i="3" a="1"/>
  <c r="H1473" i="3" a="1"/>
  <c r="H1477" i="3" a="1"/>
  <c r="H1481" i="3" a="1"/>
  <c r="H1484" i="3" a="1"/>
  <c r="H1489" i="3" a="1"/>
  <c r="H1491" i="3" a="1"/>
  <c r="H1493" i="3" a="1"/>
  <c r="H1495" i="3" a="1"/>
  <c r="H1497" i="3" a="1"/>
  <c r="H1499" i="3" a="1"/>
  <c r="H1501" i="3" a="1"/>
  <c r="H1503" i="3" a="1"/>
  <c r="H1505" i="3" a="1"/>
  <c r="H1507" i="3" a="1"/>
  <c r="H1509" i="3" a="1"/>
  <c r="H1511" i="3" a="1"/>
  <c r="H1513" i="3" a="1"/>
  <c r="H1515" i="3" a="1"/>
  <c r="H1517" i="3" a="1"/>
  <c r="H1519" i="3" a="1"/>
  <c r="H1521" i="3" a="1"/>
  <c r="H1523" i="3" a="1"/>
  <c r="H1525" i="3" a="1"/>
  <c r="H1527" i="3" a="1"/>
  <c r="H1529" i="3" a="1"/>
  <c r="H1531" i="3" a="1"/>
  <c r="H1533" i="3" a="1"/>
  <c r="H1535" i="3" a="1"/>
  <c r="H1537" i="3" a="1"/>
  <c r="H1539" i="3" a="1"/>
  <c r="H1541" i="3" a="1"/>
  <c r="H1543" i="3" a="1"/>
  <c r="H1545" i="3" a="1"/>
  <c r="H1547" i="3" a="1"/>
  <c r="H1549" i="3" a="1"/>
  <c r="H1551" i="3" a="1"/>
  <c r="H1553" i="3" a="1"/>
  <c r="H1555" i="3" a="1"/>
  <c r="H1557" i="3" a="1"/>
  <c r="H1559" i="3" a="1"/>
  <c r="H1561" i="3" a="1"/>
  <c r="H1563" i="3" a="1"/>
  <c r="H1565" i="3" a="1"/>
  <c r="H1567" i="3" a="1"/>
  <c r="H1569" i="3" a="1"/>
  <c r="H1571" i="3" a="1"/>
  <c r="H1573" i="3" a="1"/>
  <c r="H1575" i="3" a="1"/>
  <c r="H1577" i="3" a="1"/>
  <c r="H1579" i="3" a="1"/>
  <c r="H1581" i="3" a="1"/>
  <c r="H1583" i="3" a="1"/>
  <c r="H1585" i="3" a="1"/>
  <c r="H1587" i="3" a="1"/>
  <c r="H1589" i="3" a="1"/>
  <c r="H1591" i="3" a="1"/>
  <c r="H1593" i="3" a="1"/>
  <c r="H1595" i="3" a="1"/>
  <c r="H1597" i="3" a="1"/>
  <c r="H1599" i="3" a="1"/>
  <c r="H1601" i="3" a="1"/>
  <c r="H1603" i="3" a="1"/>
  <c r="H1605" i="3" a="1"/>
  <c r="H1607" i="3" a="1"/>
  <c r="H1609" i="3" a="1"/>
  <c r="H1611" i="3" a="1"/>
  <c r="H1613" i="3" a="1"/>
  <c r="H1615" i="3" a="1"/>
  <c r="H1617" i="3" a="1"/>
  <c r="H1619" i="3" a="1"/>
  <c r="H1621" i="3" a="1"/>
  <c r="H1623" i="3" a="1"/>
  <c r="H1625" i="3" a="1"/>
  <c r="H1627" i="3" a="1"/>
  <c r="H1629" i="3" a="1"/>
  <c r="H1631" i="3" a="1"/>
  <c r="H1633" i="3" a="1"/>
  <c r="H1635" i="3" a="1"/>
  <c r="H1637" i="3" a="1"/>
  <c r="H1639" i="3" a="1"/>
  <c r="H1643" i="3" a="1"/>
  <c r="H1645" i="3" a="1"/>
  <c r="H1647" i="3" a="1"/>
  <c r="H1649" i="3" a="1"/>
  <c r="H1651" i="3" a="1"/>
  <c r="H1653" i="3" a="1"/>
  <c r="H1657" i="3" a="1"/>
  <c r="H1659" i="3" a="1"/>
  <c r="H1663" i="3" a="1"/>
  <c r="H1667" i="3" a="1"/>
  <c r="H1673" i="3" a="1"/>
  <c r="H1677" i="3" a="1"/>
  <c r="H1681" i="3" a="1"/>
  <c r="H1685" i="3" a="1"/>
  <c r="H1689" i="3" a="1"/>
  <c r="H1693" i="3" a="1"/>
  <c r="H1697" i="3" a="1"/>
  <c r="H1703" i="3" a="1"/>
  <c r="H1707" i="3" a="1"/>
  <c r="H1711" i="3" a="1"/>
  <c r="H1715" i="3" a="1"/>
  <c r="H1719" i="3" a="1"/>
  <c r="H1723" i="3" a="1"/>
  <c r="H1727" i="3" a="1"/>
  <c r="H1731" i="3" a="1"/>
  <c r="H1735" i="3" a="1"/>
  <c r="H1739" i="3" a="1"/>
  <c r="H1743" i="3" a="1"/>
  <c r="H1747" i="3" a="1"/>
  <c r="H1751" i="3" a="1"/>
  <c r="H1755" i="3" a="1"/>
  <c r="H1761" i="3" a="1"/>
  <c r="H1765" i="3" a="1"/>
  <c r="H1769" i="3" a="1"/>
  <c r="H1773" i="3" a="1"/>
  <c r="H1777" i="3" a="1"/>
  <c r="H1781" i="3" a="1"/>
  <c r="H1785" i="3" a="1"/>
  <c r="H1789" i="3" a="1"/>
  <c r="H1793" i="3" a="1"/>
  <c r="H1797" i="3" a="1"/>
  <c r="H1801" i="3" a="1"/>
  <c r="H1805" i="3" a="1"/>
  <c r="H1809" i="3" a="1"/>
  <c r="H1813" i="3" a="1"/>
  <c r="H1817" i="3" a="1"/>
  <c r="H1821" i="3" a="1"/>
  <c r="H1825" i="3" a="1"/>
  <c r="H1829" i="3" a="1"/>
  <c r="H1833" i="3" a="1"/>
  <c r="H1837" i="3" a="1"/>
  <c r="H1841" i="3" a="1"/>
  <c r="H1845" i="3" a="1"/>
  <c r="H1849" i="3" a="1"/>
  <c r="H1853" i="3" a="1"/>
  <c r="H1857" i="3" a="1"/>
  <c r="H1861" i="3" a="1"/>
  <c r="H1865" i="3" a="1"/>
  <c r="H1869" i="3" a="1"/>
  <c r="H1873" i="3" a="1"/>
  <c r="H1877" i="3" a="1"/>
  <c r="H1881" i="3" a="1"/>
  <c r="H1887" i="3" a="1"/>
  <c r="H1891" i="3" a="1"/>
  <c r="H1895" i="3" a="1"/>
  <c r="H1899" i="3" a="1"/>
  <c r="H1903" i="3" a="1"/>
  <c r="H1907" i="3" a="1"/>
  <c r="H1911" i="3" a="1"/>
  <c r="H1915" i="3" a="1"/>
  <c r="H1919" i="3" a="1"/>
  <c r="H1923" i="3" a="1"/>
  <c r="H1927" i="3" a="1"/>
  <c r="H1931" i="3" a="1"/>
  <c r="H1935" i="3" a="1"/>
  <c r="H1939" i="3" a="1"/>
  <c r="H1943" i="3" a="1"/>
  <c r="H1947" i="3" a="1"/>
  <c r="H1951" i="3" a="1"/>
  <c r="H1955" i="3" a="1"/>
  <c r="H1959" i="3" a="1"/>
  <c r="H1963" i="3" a="1"/>
  <c r="H1967" i="3" a="1"/>
  <c r="H1971" i="3" a="1"/>
  <c r="H1975" i="3" a="1"/>
  <c r="H1979" i="3" a="1"/>
  <c r="H1983" i="3" a="1"/>
  <c r="H1987" i="3" a="1"/>
  <c r="H1991" i="3" a="1"/>
  <c r="H1995" i="3" a="1"/>
  <c r="H1999" i="3" a="1"/>
  <c r="H1366" i="3" a="1"/>
  <c r="H1370" i="3" a="1"/>
  <c r="H1374" i="3" a="1"/>
  <c r="H1378" i="3" a="1"/>
  <c r="H1382" i="3" a="1"/>
  <c r="H1386" i="3" a="1"/>
  <c r="H1390" i="3" a="1"/>
  <c r="H1394" i="3" a="1"/>
  <c r="H1398" i="3" a="1"/>
  <c r="H1402" i="3" a="1"/>
  <c r="H1406" i="3" a="1"/>
  <c r="H1410" i="3" a="1"/>
  <c r="H1414" i="3" a="1"/>
  <c r="H1418" i="3" a="1"/>
  <c r="H1422" i="3" a="1"/>
  <c r="H1426" i="3" a="1"/>
  <c r="H1430" i="3" a="1"/>
  <c r="H1434" i="3" a="1"/>
  <c r="H1438" i="3" a="1"/>
  <c r="H1442" i="3" a="1"/>
  <c r="H1446" i="3" a="1"/>
  <c r="H1450" i="3" a="1"/>
  <c r="H1454" i="3" a="1"/>
  <c r="H1458" i="3" a="1"/>
  <c r="H1462" i="3" a="1"/>
  <c r="H1466" i="3" a="1"/>
  <c r="H1470" i="3" a="1"/>
  <c r="H1474" i="3" a="1"/>
  <c r="H1478" i="3" a="1"/>
  <c r="H1482" i="3" a="1"/>
  <c r="H1487" i="3" a="1"/>
  <c r="H1634" i="3" a="1"/>
  <c r="H1650" i="3" a="1"/>
  <c r="H1654" i="3" a="1"/>
  <c r="H1658" i="3" a="1"/>
  <c r="H1662" i="3" a="1"/>
  <c r="H1666" i="3" a="1"/>
  <c r="H1670" i="3" a="1"/>
  <c r="H1674" i="3" a="1"/>
  <c r="H1678" i="3" a="1"/>
  <c r="H1682" i="3" a="1"/>
  <c r="H1686" i="3" a="1"/>
  <c r="H1690" i="3" a="1"/>
  <c r="H1694" i="3" a="1"/>
  <c r="H1698" i="3" a="1"/>
  <c r="H1702" i="3" a="1"/>
  <c r="H1706" i="3" a="1"/>
  <c r="H1710" i="3" a="1"/>
  <c r="H1714" i="3" a="1"/>
  <c r="H1718" i="3" a="1"/>
  <c r="H1722" i="3" a="1"/>
  <c r="H1726" i="3" a="1"/>
  <c r="H1730" i="3" a="1"/>
  <c r="H1734" i="3" a="1"/>
  <c r="H1738" i="3" a="1"/>
  <c r="H1742" i="3" a="1"/>
  <c r="H1746" i="3" a="1"/>
  <c r="H1750" i="3" a="1"/>
  <c r="H1754" i="3" a="1"/>
  <c r="H1756" i="3" a="1"/>
  <c r="H1760" i="3" a="1"/>
  <c r="H1764" i="3" a="1"/>
  <c r="H1768" i="3" a="1"/>
  <c r="H1772" i="3" a="1"/>
  <c r="H1776" i="3" a="1"/>
  <c r="H1780" i="3" a="1"/>
  <c r="H1784" i="3" a="1"/>
  <c r="H1788" i="3" a="1"/>
  <c r="H1792" i="3" a="1"/>
  <c r="H1796" i="3" a="1"/>
  <c r="H1800" i="3" a="1"/>
  <c r="H1804" i="3" a="1"/>
  <c r="H1808" i="3" a="1"/>
  <c r="H1812" i="3" a="1"/>
  <c r="H1816" i="3" a="1"/>
  <c r="H1820" i="3" a="1"/>
  <c r="H1824" i="3" a="1"/>
  <c r="H1828" i="3" a="1"/>
  <c r="H1832" i="3" a="1"/>
  <c r="H1836" i="3" a="1"/>
  <c r="H1840" i="3" a="1"/>
  <c r="H1844" i="3" a="1"/>
  <c r="H1848" i="3" a="1"/>
  <c r="H1852" i="3" a="1"/>
  <c r="H1856" i="3" a="1"/>
  <c r="H1860" i="3" a="1"/>
  <c r="H1864" i="3" a="1"/>
  <c r="H1868" i="3" a="1"/>
  <c r="H1872" i="3" a="1"/>
  <c r="H1876" i="3" a="1"/>
  <c r="H1880" i="3" a="1"/>
  <c r="H1884" i="3" a="1"/>
  <c r="H1888" i="3" a="1"/>
  <c r="H1892" i="3" a="1"/>
  <c r="H1894" i="3" a="1"/>
  <c r="H1898" i="3" a="1"/>
  <c r="H1902" i="3" a="1"/>
  <c r="H1906" i="3" a="1"/>
  <c r="H1910" i="3" a="1"/>
  <c r="H1914" i="3" a="1"/>
  <c r="H1918" i="3" a="1"/>
  <c r="H1922" i="3" a="1"/>
  <c r="H1926" i="3" a="1"/>
  <c r="H1930" i="3" a="1"/>
  <c r="H1934" i="3" a="1"/>
  <c r="H1938" i="3" a="1"/>
  <c r="H1942" i="3" a="1"/>
  <c r="H1946" i="3" a="1"/>
  <c r="H1950" i="3" a="1"/>
  <c r="H1954" i="3" a="1"/>
  <c r="H1958" i="3" a="1"/>
  <c r="H1962" i="3" a="1"/>
  <c r="H1966" i="3" a="1"/>
  <c r="H1970" i="3" a="1"/>
  <c r="H1974" i="3" a="1"/>
  <c r="H1978" i="3" a="1"/>
  <c r="H1982" i="3" a="1"/>
  <c r="H1986" i="3" a="1"/>
  <c r="H1990" i="3" a="1"/>
  <c r="H1994" i="3" a="1"/>
  <c r="H1998" i="3" a="1"/>
  <c r="H1367" i="3" a="1"/>
  <c r="H1371" i="3" a="1"/>
  <c r="H1375" i="3" a="1"/>
  <c r="H1379" i="3" a="1"/>
  <c r="H1383" i="3" a="1"/>
  <c r="H1387" i="3" a="1"/>
  <c r="H1391" i="3" a="1"/>
  <c r="H1395" i="3" a="1"/>
  <c r="H1399" i="3" a="1"/>
  <c r="H1403" i="3" a="1"/>
  <c r="H1407" i="3" a="1"/>
  <c r="H1411" i="3" a="1"/>
  <c r="H1415" i="3" a="1"/>
  <c r="H1419" i="3" a="1"/>
  <c r="H1423" i="3" a="1"/>
  <c r="H1427" i="3" a="1"/>
  <c r="H1431" i="3" a="1"/>
  <c r="H1435" i="3" a="1"/>
  <c r="H1439" i="3" a="1"/>
  <c r="H1443" i="3" a="1"/>
  <c r="H1447" i="3" a="1"/>
  <c r="H1451" i="3" a="1"/>
  <c r="H1455" i="3" a="1"/>
  <c r="H1459" i="3" a="1"/>
  <c r="H1463" i="3" a="1"/>
  <c r="H1467" i="3" a="1"/>
  <c r="H1471" i="3" a="1"/>
  <c r="H1475" i="3" a="1"/>
  <c r="H1479" i="3" a="1"/>
  <c r="H1485" i="3" a="1"/>
  <c r="H1488" i="3" a="1"/>
  <c r="H1490" i="3" a="1"/>
  <c r="H1492" i="3" a="1"/>
  <c r="H1494" i="3" a="1"/>
  <c r="H1496" i="3" a="1"/>
  <c r="H1498" i="3" a="1"/>
  <c r="H1500" i="3" a="1"/>
  <c r="H1502" i="3" a="1"/>
  <c r="H1504" i="3" a="1"/>
  <c r="H1506" i="3" a="1"/>
  <c r="H1508" i="3" a="1"/>
  <c r="H1510" i="3" a="1"/>
  <c r="H1512" i="3" a="1"/>
  <c r="H1514" i="3" a="1"/>
  <c r="H1516" i="3" a="1"/>
  <c r="H1518" i="3" a="1"/>
  <c r="H1520" i="3" a="1"/>
  <c r="H1522" i="3" a="1"/>
  <c r="H1524" i="3" a="1"/>
  <c r="H1526" i="3" a="1"/>
  <c r="H1528" i="3" a="1"/>
  <c r="H1530" i="3" a="1"/>
  <c r="H1532" i="3" a="1"/>
  <c r="H1534" i="3" a="1"/>
  <c r="H1536" i="3" a="1"/>
  <c r="H1538" i="3" a="1"/>
  <c r="H1540" i="3" a="1"/>
  <c r="H1542" i="3" a="1"/>
  <c r="H1544" i="3" a="1"/>
  <c r="H1546" i="3" a="1"/>
  <c r="H1548" i="3" a="1"/>
  <c r="H1550" i="3" a="1"/>
  <c r="H1552" i="3" a="1"/>
  <c r="H1554" i="3" a="1"/>
  <c r="H1556" i="3" a="1"/>
  <c r="H1558" i="3" a="1"/>
  <c r="H1560" i="3" a="1"/>
  <c r="H1562" i="3" a="1"/>
  <c r="H1564" i="3" a="1"/>
  <c r="H1566" i="3" a="1"/>
  <c r="H1568" i="3" a="1"/>
  <c r="H1570" i="3" a="1"/>
  <c r="H1572" i="3" a="1"/>
  <c r="H1574" i="3" a="1"/>
  <c r="H1576" i="3" a="1"/>
  <c r="H1578" i="3" a="1"/>
  <c r="H1580" i="3" a="1"/>
  <c r="H1582" i="3" a="1"/>
  <c r="H1584" i="3" a="1"/>
  <c r="H1586" i="3" a="1"/>
  <c r="H1588" i="3" a="1"/>
  <c r="H1590" i="3" a="1"/>
  <c r="H1592" i="3" a="1"/>
  <c r="H1594" i="3" a="1"/>
  <c r="H1596" i="3" a="1"/>
  <c r="H1598" i="3" a="1"/>
  <c r="H1600" i="3" a="1"/>
  <c r="H1602" i="3" a="1"/>
  <c r="H1604" i="3" a="1"/>
  <c r="H1606" i="3" a="1"/>
  <c r="H1608" i="3" a="1"/>
  <c r="H1610" i="3" a="1"/>
  <c r="H1612" i="3" a="1"/>
  <c r="H1614" i="3" a="1"/>
  <c r="H1616" i="3" a="1"/>
  <c r="H1618" i="3" a="1"/>
  <c r="H1620" i="3" a="1"/>
  <c r="H1622" i="3" a="1"/>
  <c r="H1624" i="3" a="1"/>
  <c r="H1626" i="3" a="1"/>
  <c r="H1628" i="3" a="1"/>
  <c r="H1630" i="3" a="1"/>
  <c r="H1632" i="3" a="1"/>
  <c r="H1636" i="3" a="1"/>
  <c r="H1638" i="3" a="1"/>
  <c r="H1640" i="3" a="1"/>
  <c r="H1642" i="3" a="1"/>
  <c r="H1644" i="3" a="1"/>
  <c r="H1646" i="3" a="1"/>
  <c r="H1648" i="3" a="1"/>
  <c r="H1652" i="3" a="1"/>
  <c r="H1656" i="3" a="1"/>
  <c r="H1660" i="3" a="1"/>
  <c r="H1664" i="3" a="1"/>
  <c r="H1668" i="3" a="1"/>
  <c r="H1672" i="3" a="1"/>
  <c r="H1676" i="3" a="1"/>
  <c r="H1680" i="3" a="1"/>
  <c r="H1684" i="3" a="1"/>
  <c r="H1688" i="3" a="1"/>
  <c r="H1692" i="3" a="1"/>
  <c r="H1696" i="3" a="1"/>
  <c r="H1700" i="3" a="1"/>
  <c r="H1704" i="3" a="1"/>
  <c r="H1708" i="3" a="1"/>
  <c r="H1712" i="3" a="1"/>
  <c r="H1716" i="3" a="1"/>
  <c r="H1720" i="3" a="1"/>
  <c r="H1724" i="3" a="1"/>
  <c r="H1728" i="3" a="1"/>
  <c r="H1732" i="3" a="1"/>
  <c r="H1736" i="3" a="1"/>
  <c r="H1740" i="3" a="1"/>
  <c r="H1744" i="3" a="1"/>
  <c r="H1748" i="3" a="1"/>
  <c r="H1752" i="3" a="1"/>
  <c r="H1758" i="3" a="1"/>
  <c r="H1762" i="3" a="1"/>
  <c r="H1766" i="3" a="1"/>
  <c r="H1770" i="3" a="1"/>
  <c r="H1774" i="3" a="1"/>
  <c r="H1778" i="3" a="1"/>
  <c r="H1782" i="3" a="1"/>
  <c r="H1786" i="3" a="1"/>
  <c r="H1790" i="3" a="1"/>
  <c r="H1794" i="3" a="1"/>
  <c r="H1798" i="3" a="1"/>
  <c r="H1802" i="3" a="1"/>
  <c r="H1806" i="3" a="1"/>
  <c r="H1810" i="3" a="1"/>
  <c r="H1814" i="3" a="1"/>
  <c r="H1818" i="3" a="1"/>
  <c r="H1822" i="3" a="1"/>
  <c r="H1826" i="3" a="1"/>
  <c r="H1830" i="3" a="1"/>
  <c r="H1834" i="3" a="1"/>
  <c r="H1838" i="3" a="1"/>
  <c r="H1842" i="3" a="1"/>
  <c r="H1846" i="3" a="1"/>
  <c r="H1850" i="3" a="1"/>
  <c r="H1854" i="3" a="1"/>
  <c r="H1858" i="3" a="1"/>
  <c r="H1862" i="3" a="1"/>
  <c r="H1866" i="3" a="1"/>
  <c r="H1870" i="3" a="1"/>
  <c r="H1874" i="3" a="1"/>
  <c r="H1878" i="3" a="1"/>
  <c r="H1882" i="3" a="1"/>
  <c r="H1886" i="3" a="1"/>
  <c r="H1890" i="3" a="1"/>
  <c r="H1896" i="3" a="1"/>
  <c r="H1900" i="3" a="1"/>
  <c r="H1904" i="3" a="1"/>
  <c r="H1908" i="3" a="1"/>
  <c r="H1912" i="3" a="1"/>
  <c r="H1916" i="3" a="1"/>
  <c r="H1920" i="3" a="1"/>
  <c r="H1924" i="3" a="1"/>
  <c r="H1928" i="3" a="1"/>
  <c r="H1932" i="3" a="1"/>
  <c r="H1936" i="3" a="1"/>
  <c r="H1940" i="3" a="1"/>
  <c r="H1944" i="3" a="1"/>
  <c r="H1948" i="3" a="1"/>
  <c r="H1952" i="3" a="1"/>
  <c r="H1956" i="3" a="1"/>
  <c r="H1960" i="3" a="1"/>
  <c r="H1964" i="3" a="1"/>
  <c r="H1968" i="3" a="1"/>
  <c r="H1972" i="3" a="1"/>
  <c r="H1976" i="3" a="1"/>
  <c r="H1980" i="3" a="1"/>
  <c r="H1984" i="3" a="1"/>
  <c r="H1988" i="3" a="1"/>
  <c r="H1992" i="3" a="1"/>
  <c r="H1996" i="3" a="1"/>
  <c r="H2000" i="3" a="1"/>
  <c r="H1368" i="3" a="1"/>
  <c r="H1372" i="3" a="1"/>
  <c r="H1376" i="3" a="1"/>
  <c r="H1380" i="3" a="1"/>
  <c r="H1384" i="3" a="1"/>
  <c r="H1388" i="3" a="1"/>
  <c r="H1392" i="3" a="1"/>
  <c r="H1396" i="3" a="1"/>
  <c r="H1400" i="3" a="1"/>
  <c r="H1404" i="3" a="1"/>
  <c r="H1408" i="3" a="1"/>
  <c r="H1412" i="3" a="1"/>
  <c r="H1416" i="3" a="1"/>
  <c r="H1420" i="3" a="1"/>
  <c r="H1424" i="3" a="1"/>
  <c r="H1428" i="3" a="1"/>
  <c r="H1432" i="3" a="1"/>
  <c r="H1436" i="3" a="1"/>
  <c r="H1440" i="3" a="1"/>
  <c r="H1444" i="3" a="1"/>
  <c r="H1448" i="3" a="1"/>
  <c r="H1452" i="3" a="1"/>
  <c r="H1456" i="3" a="1"/>
  <c r="H1460" i="3" a="1"/>
  <c r="H1464" i="3" a="1"/>
  <c r="H1468" i="3" a="1"/>
  <c r="H1472" i="3" a="1"/>
  <c r="H1476" i="3" a="1"/>
  <c r="H1480" i="3" a="1"/>
  <c r="H1483" i="3" a="1"/>
  <c r="H1486" i="3" a="1"/>
  <c r="H1641" i="3" a="1"/>
  <c r="H1655" i="3" a="1"/>
  <c r="H1661" i="3" a="1"/>
  <c r="H1665" i="3" a="1"/>
  <c r="H1669" i="3" a="1"/>
  <c r="H1671" i="3" a="1"/>
  <c r="H1675" i="3" a="1"/>
  <c r="H1679" i="3" a="1"/>
  <c r="H1683" i="3" a="1"/>
  <c r="H1687" i="3" a="1"/>
  <c r="H1691" i="3" a="1"/>
  <c r="H1695" i="3" a="1"/>
  <c r="H1699" i="3" a="1"/>
  <c r="H1701" i="3" a="1"/>
  <c r="H1705" i="3" a="1"/>
  <c r="H1709" i="3" a="1"/>
  <c r="H1713" i="3" a="1"/>
  <c r="H1717" i="3" a="1"/>
  <c r="H1721" i="3" a="1"/>
  <c r="H1725" i="3" a="1"/>
  <c r="H1729" i="3" a="1"/>
  <c r="H1733" i="3" a="1"/>
  <c r="H1737" i="3" a="1"/>
  <c r="H1741" i="3" a="1"/>
  <c r="H1745" i="3" a="1"/>
  <c r="H1749" i="3" a="1"/>
  <c r="H1753" i="3" a="1"/>
  <c r="H1757" i="3" a="1"/>
  <c r="H1759" i="3" a="1"/>
  <c r="H1763" i="3" a="1"/>
  <c r="H1767" i="3" a="1"/>
  <c r="H1771" i="3" a="1"/>
  <c r="H1775" i="3" a="1"/>
  <c r="H1779" i="3" a="1"/>
  <c r="H1783" i="3" a="1"/>
  <c r="H1787" i="3" a="1"/>
  <c r="H1791" i="3" a="1"/>
  <c r="H1795" i="3" a="1"/>
  <c r="H1799" i="3" a="1"/>
  <c r="H1803" i="3" a="1"/>
  <c r="H1807" i="3" a="1"/>
  <c r="H1811" i="3" a="1"/>
  <c r="H1815" i="3" a="1"/>
  <c r="H1819" i="3" a="1"/>
  <c r="H1823" i="3" a="1"/>
  <c r="H1827" i="3" a="1"/>
  <c r="H1831" i="3" a="1"/>
  <c r="H1835" i="3" a="1"/>
  <c r="H1839" i="3" a="1"/>
  <c r="H1843" i="3" a="1"/>
  <c r="H1847" i="3" a="1"/>
  <c r="H1851" i="3" a="1"/>
  <c r="H1855" i="3" a="1"/>
  <c r="H1859" i="3" a="1"/>
  <c r="H1863" i="3" a="1"/>
  <c r="H1867" i="3" a="1"/>
  <c r="H1871" i="3" a="1"/>
  <c r="H1875" i="3" a="1"/>
  <c r="H1879" i="3" a="1"/>
  <c r="H1883" i="3" a="1"/>
  <c r="H1885" i="3" a="1"/>
  <c r="H1889" i="3" a="1"/>
  <c r="H1893" i="3" a="1"/>
  <c r="H1897" i="3" a="1"/>
  <c r="H1901" i="3" a="1"/>
  <c r="H1905" i="3" a="1"/>
  <c r="H1909" i="3" a="1"/>
  <c r="H1913" i="3" a="1"/>
  <c r="H1917" i="3" a="1"/>
  <c r="H1921" i="3" a="1"/>
  <c r="H1925" i="3" a="1"/>
  <c r="H1929" i="3" a="1"/>
  <c r="H1933" i="3" a="1"/>
  <c r="H1937" i="3" a="1"/>
  <c r="H1941" i="3" a="1"/>
  <c r="H1945" i="3" a="1"/>
  <c r="H1949" i="3" a="1"/>
  <c r="H1953" i="3" a="1"/>
  <c r="H1957" i="3" a="1"/>
  <c r="H1961" i="3" a="1"/>
  <c r="H1965" i="3" a="1"/>
  <c r="H1969" i="3" a="1"/>
  <c r="H1973" i="3" a="1"/>
  <c r="H1977" i="3" a="1"/>
  <c r="H1981" i="3" a="1"/>
  <c r="H1985" i="3" a="1"/>
  <c r="H1989" i="3" a="1"/>
  <c r="H1993" i="3" a="1"/>
  <c r="H1997" i="3" a="1"/>
  <c r="H2001" i="3" a="1"/>
  <c r="H2" i="3" a="1"/>
  <c r="H50" i="1" a="1"/>
  <c r="H82" i="1" a="1"/>
  <c r="H65" i="1" a="1"/>
  <c r="H120" i="1" a="1"/>
  <c r="H184" i="1" a="1"/>
  <c r="H226" i="1" a="1"/>
  <c r="H258" i="1" a="1"/>
  <c r="H117" i="1" a="1"/>
  <c r="H181" i="1" a="1"/>
  <c r="H122" i="1" a="1"/>
  <c r="H186" i="1" a="1"/>
  <c r="H227" i="1" a="1"/>
  <c r="H259" i="1" a="1"/>
  <c r="H291" i="1" a="1"/>
  <c r="H123" i="1" a="1"/>
  <c r="H187" i="1" a="1"/>
  <c r="H331" i="1" a="1"/>
  <c r="H298" i="1" a="1"/>
  <c r="H364" i="1" a="1"/>
  <c r="H428" i="1" a="1"/>
  <c r="H491" i="1" a="1"/>
  <c r="H292" i="1" a="1"/>
  <c r="H361" i="1" a="1"/>
  <c r="H425" i="1" a="1"/>
  <c r="H489" i="1" a="1"/>
  <c r="H338" i="1" a="1"/>
  <c r="H422" i="1" a="1"/>
  <c r="H526" i="1" a="1"/>
  <c r="H587" i="1" a="1"/>
  <c r="H619" i="1" a="1"/>
  <c r="H651" i="1" a="1"/>
  <c r="H466" i="1" a="1"/>
  <c r="H60" i="1" a="1"/>
  <c r="H43" i="1" a="1"/>
  <c r="H75" i="1" a="1"/>
  <c r="H140" i="1" a="1"/>
  <c r="H204" i="1" a="1"/>
  <c r="H236" i="1" a="1"/>
  <c r="H268" i="1" a="1"/>
  <c r="H137" i="1" a="1"/>
  <c r="H201" i="1" a="1"/>
  <c r="H142" i="1" a="1"/>
  <c r="H205" i="1" a="1"/>
  <c r="H237" i="1" a="1"/>
  <c r="H269" i="1" a="1"/>
  <c r="H301" i="1" a="1"/>
  <c r="H143" i="1" a="1"/>
  <c r="H272" i="1" a="1"/>
  <c r="H351" i="1" a="1"/>
  <c r="H320" i="1" a="1"/>
  <c r="H384" i="1" a="1"/>
  <c r="H448" i="1" a="1"/>
  <c r="H508" i="1" a="1"/>
  <c r="H317" i="1" a="1"/>
  <c r="H381" i="1" a="1"/>
  <c r="H446" i="1" a="1"/>
  <c r="H286" i="1" a="1"/>
  <c r="H358" i="1" a="1"/>
  <c r="H460" i="1" a="1"/>
  <c r="H545" i="1" a="1"/>
  <c r="H38" i="1" a="1"/>
  <c r="H70" i="1" a="1"/>
  <c r="H53" i="1" a="1"/>
  <c r="H96" i="1" a="1"/>
  <c r="H160" i="1" a="1"/>
  <c r="H214" i="1" a="1"/>
  <c r="H246" i="1" a="1"/>
  <c r="H93" i="1" a="1"/>
  <c r="H157" i="1" a="1"/>
  <c r="H98" i="1" a="1"/>
  <c r="H162" i="1" a="1"/>
  <c r="H215" i="1" a="1"/>
  <c r="H247" i="1" a="1"/>
  <c r="H279" i="1" a="1"/>
  <c r="H99" i="1" a="1"/>
  <c r="H163" i="1" a="1"/>
  <c r="H307" i="1" a="1"/>
  <c r="H371" i="1" a="1"/>
  <c r="H340" i="1" a="1"/>
  <c r="H404" i="1" a="1"/>
  <c r="H467" i="1" a="1"/>
  <c r="H518" i="1" a="1"/>
  <c r="H337" i="1" a="1"/>
  <c r="H401" i="1" a="1"/>
  <c r="H465" i="1" a="1"/>
  <c r="H314" i="1" a="1"/>
  <c r="H378" i="1" a="1"/>
  <c r="H503" i="1" a="1"/>
  <c r="H566" i="1" a="1"/>
  <c r="H607" i="1" a="1"/>
  <c r="H639" i="1" a="1"/>
  <c r="H423" i="1" a="1"/>
  <c r="H55" i="1" a="1"/>
  <c r="H248" i="1" a="1"/>
  <c r="H166" i="1" a="1"/>
  <c r="H103" i="1" a="1"/>
  <c r="H344" i="1" a="1"/>
  <c r="H341" i="1" a="1"/>
  <c r="H382" i="1" a="1"/>
  <c r="H617" i="1" a="1"/>
  <c r="H461" i="1" a="1"/>
  <c r="H572" i="1" a="1"/>
  <c r="H484" i="1" a="1"/>
  <c r="H557" i="1" a="1"/>
  <c r="H604" i="1" a="1"/>
  <c r="H636" i="1" a="1"/>
  <c r="H668" i="1" a="1"/>
  <c r="H700" i="1" a="1"/>
  <c r="H732" i="1" a="1"/>
  <c r="H764" i="1" a="1"/>
  <c r="H80" i="1" a="1"/>
  <c r="H224" i="1" a="1"/>
  <c r="H118" i="1" a="1"/>
  <c r="H289" i="1" a="1"/>
  <c r="H290" i="1" a="1"/>
  <c r="H284" i="1" a="1"/>
  <c r="H334" i="1" a="1"/>
  <c r="H605" i="1" a="1"/>
  <c r="H415" i="1" a="1"/>
  <c r="H559" i="1" a="1"/>
  <c r="H463" i="1" a="1"/>
  <c r="H546" i="1" a="1"/>
  <c r="H598" i="1" a="1"/>
  <c r="H630" i="1" a="1"/>
  <c r="H662" i="1" a="1"/>
  <c r="H694" i="1" a="1"/>
  <c r="H58" i="1" a="1"/>
  <c r="H41" i="1" a="1"/>
  <c r="H73" i="1" a="1"/>
  <c r="H136" i="1" a="1"/>
  <c r="H200" i="1" a="1"/>
  <c r="H234" i="1" a="1"/>
  <c r="H266" i="1" a="1"/>
  <c r="H133" i="1" a="1"/>
  <c r="H197" i="1" a="1"/>
  <c r="H138" i="1" a="1"/>
  <c r="H202" i="1" a="1"/>
  <c r="H235" i="1" a="1"/>
  <c r="H267" i="1" a="1"/>
  <c r="H299" i="1" a="1"/>
  <c r="H139" i="1" a="1"/>
  <c r="H203" i="1" a="1"/>
  <c r="H347" i="1" a="1"/>
  <c r="H316" i="1" a="1"/>
  <c r="H34" i="1" a="1"/>
  <c r="H66" i="1" a="1"/>
  <c r="H49" i="1" a="1"/>
  <c r="H88" i="1" a="1"/>
  <c r="H152" i="1" a="1"/>
  <c r="H210" i="1" a="1"/>
  <c r="H242" i="1" a="1"/>
  <c r="H85" i="1" a="1"/>
  <c r="H149" i="1" a="1"/>
  <c r="H90" i="1" a="1"/>
  <c r="H154" i="1" a="1"/>
  <c r="H211" i="1" a="1"/>
  <c r="H243" i="1" a="1"/>
  <c r="H275" i="1" a="1"/>
  <c r="H91" i="1" a="1"/>
  <c r="H155" i="1" a="1"/>
  <c r="H296" i="1" a="1"/>
  <c r="H363" i="1" a="1"/>
  <c r="H332" i="1" a="1"/>
  <c r="H396" i="1" a="1"/>
  <c r="H459" i="1" a="1"/>
  <c r="H514" i="1" a="1"/>
  <c r="H329" i="1" a="1"/>
  <c r="H393" i="1" a="1"/>
  <c r="H457" i="1" a="1"/>
  <c r="H306" i="1" a="1"/>
  <c r="H370" i="1" a="1"/>
  <c r="H487" i="1" a="1"/>
  <c r="H558" i="1" a="1"/>
  <c r="H603" i="1" a="1"/>
  <c r="H635" i="1" a="1"/>
  <c r="H407" i="1" a="1"/>
  <c r="H44" i="1" a="1"/>
  <c r="H76" i="1" a="1"/>
  <c r="H59" i="1" a="1"/>
  <c r="H108" i="1" a="1"/>
  <c r="H172" i="1" a="1"/>
  <c r="H220" i="1" a="1"/>
  <c r="H252" i="1" a="1"/>
  <c r="H105" i="1" a="1"/>
  <c r="H169" i="1" a="1"/>
  <c r="H110" i="1" a="1"/>
  <c r="H174" i="1" a="1"/>
  <c r="H221" i="1" a="1"/>
  <c r="H253" i="1" a="1"/>
  <c r="H285" i="1" a="1"/>
  <c r="H111" i="1" a="1"/>
  <c r="H175" i="1" a="1"/>
  <c r="H319" i="1" a="1"/>
  <c r="H274" i="1" a="1"/>
  <c r="H352" i="1" a="1"/>
  <c r="H416" i="1" a="1"/>
  <c r="H480" i="1" a="1"/>
  <c r="H524" i="1" a="1"/>
  <c r="H349" i="1" a="1"/>
  <c r="H413" i="1" a="1"/>
  <c r="H478" i="1" a="1"/>
  <c r="H326" i="1" a="1"/>
  <c r="H398" i="1" a="1"/>
  <c r="H515" i="1" a="1"/>
  <c r="H577" i="1" a="1"/>
  <c r="H54" i="1" a="1"/>
  <c r="H37" i="1" a="1"/>
  <c r="H69" i="1" a="1"/>
  <c r="H128" i="1" a="1"/>
  <c r="H192" i="1" a="1"/>
  <c r="H230" i="1" a="1"/>
  <c r="H262" i="1" a="1"/>
  <c r="H125" i="1" a="1"/>
  <c r="H189" i="1" a="1"/>
  <c r="H130" i="1" a="1"/>
  <c r="H194" i="1" a="1"/>
  <c r="H231" i="1" a="1"/>
  <c r="H263" i="1" a="1"/>
  <c r="H295" i="1" a="1"/>
  <c r="H131" i="1" a="1"/>
  <c r="H195" i="1" a="1"/>
  <c r="H339" i="1" a="1"/>
  <c r="H308" i="1" a="1"/>
  <c r="H372" i="1" a="1"/>
  <c r="H436" i="1" a="1"/>
  <c r="H499" i="1" a="1"/>
  <c r="H305" i="1" a="1"/>
  <c r="H369" i="1" a="1"/>
  <c r="H433" i="1" a="1"/>
  <c r="H497" i="1" a="1"/>
  <c r="H346" i="1" a="1"/>
  <c r="H438" i="1" a="1"/>
  <c r="H534" i="1" a="1"/>
  <c r="H591" i="1" a="1"/>
  <c r="H623" i="1" a="1"/>
  <c r="H655" i="1" a="1"/>
  <c r="H40" i="1" a="1"/>
  <c r="H164" i="1" a="1"/>
  <c r="H161" i="1" a="1"/>
  <c r="H249" i="1" a="1"/>
  <c r="H311" i="1" a="1"/>
  <c r="H472" i="1" a="1"/>
  <c r="H470" i="1" a="1"/>
  <c r="H569" i="1" a="1"/>
  <c r="H649" i="1" a="1"/>
  <c r="H540" i="1" a="1"/>
  <c r="H418" i="1" a="1"/>
  <c r="H525" i="1" a="1"/>
  <c r="H588" i="1" a="1"/>
  <c r="H620" i="1" a="1"/>
  <c r="H652" i="1" a="1"/>
  <c r="H684" i="1" a="1"/>
  <c r="H716" i="1" a="1"/>
  <c r="H748" i="1" a="1"/>
  <c r="H442" i="1" a="1"/>
  <c r="H116" i="1" a="1"/>
  <c r="H113" i="1" a="1"/>
  <c r="H225" i="1" a="1"/>
  <c r="H183" i="1" a="1"/>
  <c r="H424" i="1" a="1"/>
  <c r="H421" i="1" a="1"/>
  <c r="H523" i="1" a="1"/>
  <c r="H637" i="1" a="1"/>
  <c r="H527" i="1" a="1"/>
  <c r="H394" i="1" a="1"/>
  <c r="H513" i="1" a="1"/>
  <c r="H578" i="1" a="1"/>
  <c r="H614" i="1" a="1"/>
  <c r="H646" i="1" a="1"/>
  <c r="H678" i="1" a="1"/>
  <c r="H710" i="1" a="1"/>
  <c r="H742" i="1" a="1"/>
  <c r="H419" i="1" a="1"/>
  <c r="H547" i="1" a="1"/>
  <c r="H709" i="1" a="1"/>
  <c r="H42" i="1" a="1"/>
  <c r="H74" i="1" a="1"/>
  <c r="H57" i="1" a="1"/>
  <c r="H104" i="1" a="1"/>
  <c r="H168" i="1" a="1"/>
  <c r="H218" i="1" a="1"/>
  <c r="H250" i="1" a="1"/>
  <c r="H101" i="1" a="1"/>
  <c r="H165" i="1" a="1"/>
  <c r="H106" i="1" a="1"/>
  <c r="H170" i="1" a="1"/>
  <c r="H219" i="1" a="1"/>
  <c r="H251" i="1" a="1"/>
  <c r="H283" i="1" a="1"/>
  <c r="H107" i="1" a="1"/>
  <c r="H171" i="1" a="1"/>
  <c r="H315" i="1" a="1"/>
  <c r="H379" i="1" a="1"/>
  <c r="H348" i="1" a="1"/>
  <c r="H412" i="1" a="1"/>
  <c r="H475" i="1" a="1"/>
  <c r="H522" i="1" a="1"/>
  <c r="H345" i="1" a="1"/>
  <c r="H409" i="1" a="1"/>
  <c r="H473" i="1" a="1"/>
  <c r="H322" i="1" a="1"/>
  <c r="H390" i="1" a="1"/>
  <c r="H511" i="1" a="1"/>
  <c r="H574" i="1" a="1"/>
  <c r="H611" i="1" a="1"/>
  <c r="H643" i="1" a="1"/>
  <c r="H439" i="1" a="1"/>
  <c r="H52" i="1" a="1"/>
  <c r="H35" i="1" a="1"/>
  <c r="H67" i="1" a="1"/>
  <c r="H124" i="1" a="1"/>
  <c r="H188" i="1" a="1"/>
  <c r="H228" i="1" a="1"/>
  <c r="H260" i="1" a="1"/>
  <c r="H121" i="1" a="1"/>
  <c r="H185" i="1" a="1"/>
  <c r="H126" i="1" a="1"/>
  <c r="H190" i="1" a="1"/>
  <c r="H229" i="1" a="1"/>
  <c r="H261" i="1" a="1"/>
  <c r="H293" i="1" a="1"/>
  <c r="H127" i="1" a="1"/>
  <c r="H191" i="1" a="1"/>
  <c r="H335" i="1" a="1"/>
  <c r="H304" i="1" a="1"/>
  <c r="H368" i="1" a="1"/>
  <c r="H432" i="1" a="1"/>
  <c r="H496" i="1" a="1"/>
  <c r="H300" i="1" a="1"/>
  <c r="H365" i="1" a="1"/>
  <c r="H429" i="1" a="1"/>
  <c r="H494" i="1" a="1"/>
  <c r="H342" i="1" a="1"/>
  <c r="H430" i="1" a="1"/>
  <c r="H529" i="1" a="1"/>
  <c r="H589" i="1" a="1"/>
  <c r="H62" i="1" a="1"/>
  <c r="H45" i="1" a="1"/>
  <c r="H77" i="1" a="1"/>
  <c r="H144" i="1" a="1"/>
  <c r="H206" i="1" a="1"/>
  <c r="H238" i="1" a="1"/>
  <c r="H270" i="1" a="1"/>
  <c r="H141" i="1" a="1"/>
  <c r="H81" i="1" a="1"/>
  <c r="H146" i="1" a="1"/>
  <c r="H207" i="1" a="1"/>
  <c r="H239" i="1" a="1"/>
  <c r="H271" i="1" a="1"/>
  <c r="H83" i="1" a="1"/>
  <c r="H147" i="1" a="1"/>
  <c r="H280" i="1" a="1"/>
  <c r="H355" i="1" a="1"/>
  <c r="H324" i="1" a="1"/>
  <c r="H388" i="1" a="1"/>
  <c r="H451" i="1" a="1"/>
  <c r="H510" i="1" a="1"/>
  <c r="H321" i="1" a="1"/>
  <c r="H385" i="1" a="1"/>
  <c r="H449" i="1" a="1"/>
  <c r="H294" i="1" a="1"/>
  <c r="H362" i="1" a="1"/>
  <c r="H471" i="1" a="1"/>
  <c r="H550" i="1" a="1"/>
  <c r="H599" i="1" a="1"/>
  <c r="H631" i="1" a="1"/>
  <c r="H391" i="1" a="1"/>
  <c r="H72" i="1" a="1"/>
  <c r="H216" i="1" a="1"/>
  <c r="H102" i="1" a="1"/>
  <c r="H281" i="1" a="1"/>
  <c r="H375" i="1" a="1"/>
  <c r="H520" i="1" a="1"/>
  <c r="H318" i="1" a="1"/>
  <c r="H601" i="1" a="1"/>
  <c r="H399" i="1" a="1"/>
  <c r="H556" i="1" a="1"/>
  <c r="H452" i="1" a="1"/>
  <c r="H541" i="1" a="1"/>
  <c r="H596" i="1" a="1"/>
  <c r="H628" i="1" a="1"/>
  <c r="H660" i="1" a="1"/>
  <c r="H692" i="1" a="1"/>
  <c r="H724" i="1" a="1"/>
  <c r="H756" i="1" a="1"/>
  <c r="H380" i="1" a="1"/>
  <c r="H377" i="1" a="1"/>
  <c r="H455" i="1" a="1"/>
  <c r="H659" i="1" a="1"/>
  <c r="H92" i="1" a="1"/>
  <c r="H89" i="1" a="1"/>
  <c r="H213" i="1" a="1"/>
  <c r="H159" i="1" a="1"/>
  <c r="H400" i="1" a="1"/>
  <c r="H397" i="1" a="1"/>
  <c r="H492" i="1" a="1"/>
  <c r="H61" i="1" a="1"/>
  <c r="H254" i="1" a="1"/>
  <c r="H178" i="1" a="1"/>
  <c r="H115" i="1" a="1"/>
  <c r="H356" i="1" a="1"/>
  <c r="H353" i="1" a="1"/>
  <c r="H406" i="1" a="1"/>
  <c r="H647" i="1" a="1"/>
  <c r="H217" i="1" a="1"/>
  <c r="H507" i="1" a="1"/>
  <c r="H509" i="1" a="1"/>
  <c r="H676" i="1" a="1"/>
  <c r="H48" i="1" a="1"/>
  <c r="H177" i="1" a="1"/>
  <c r="H327" i="1" a="1"/>
  <c r="H486" i="1" a="1"/>
  <c r="H653" i="1" a="1"/>
  <c r="H426" i="1" a="1"/>
  <c r="H590" i="1" a="1"/>
  <c r="H654" i="1" a="1"/>
  <c r="H718" i="1" a="1"/>
  <c r="H758" i="1" a="1"/>
  <c r="H531" i="1" a="1"/>
  <c r="H741" i="1" a="1"/>
  <c r="H817" i="1" a="1"/>
  <c r="H882" i="1" a="1"/>
  <c r="H946" i="1" a="1"/>
  <c r="H1010" i="1" a="1"/>
  <c r="H687" i="1" a="1"/>
  <c r="H790" i="1" a="1"/>
  <c r="H853" i="1" a="1"/>
  <c r="H917" i="1" a="1"/>
  <c r="H981" i="1" a="1"/>
  <c r="H1045" i="1" a="1"/>
  <c r="H729" i="1" a="1"/>
  <c r="H39" i="1" a="1"/>
  <c r="H232" i="1" a="1"/>
  <c r="H134" i="1" a="1"/>
  <c r="H297" i="1" a="1"/>
  <c r="H312" i="1" a="1"/>
  <c r="H309" i="1" a="1"/>
  <c r="H350" i="1" a="1"/>
  <c r="H609" i="1" a="1"/>
  <c r="H431" i="1" a="1"/>
  <c r="H564" i="1" a="1"/>
  <c r="H833" i="1" a="1"/>
  <c r="H898" i="1" a="1"/>
  <c r="H962" i="1" a="1"/>
  <c r="H71" i="1" a="1"/>
  <c r="H264" i="1" a="1"/>
  <c r="H198" i="1" a="1"/>
  <c r="H135" i="1" a="1"/>
  <c r="H376" i="1" a="1"/>
  <c r="H373" i="1" a="1"/>
  <c r="H444" i="1" a="1"/>
  <c r="H625" i="1" a="1"/>
  <c r="H482" i="1" a="1"/>
  <c r="H443" i="1" a="1"/>
  <c r="H441" i="1" a="1"/>
  <c r="H542" i="1" a="1"/>
  <c r="H36" i="1" a="1"/>
  <c r="H156" i="1" a="1"/>
  <c r="H153" i="1" a="1"/>
  <c r="H245" i="1" a="1"/>
  <c r="H303" i="1" a="1"/>
  <c r="H464" i="1" a="1"/>
  <c r="H462" i="1" a="1"/>
  <c r="H561" i="1" a="1"/>
  <c r="H112" i="1" a="1"/>
  <c r="H109" i="1" a="1"/>
  <c r="H223" i="1" a="1"/>
  <c r="H179" i="1" a="1"/>
  <c r="H420" i="1" a="1"/>
  <c r="H417" i="1" a="1"/>
  <c r="H519" i="1" a="1"/>
  <c r="H450" i="1" a="1"/>
  <c r="H167" i="1" a="1"/>
  <c r="H633" i="1" a="1"/>
  <c r="H573" i="1" a="1"/>
  <c r="H708" i="1" a="1"/>
  <c r="H63" i="1" a="1"/>
  <c r="H182" i="1" a="1"/>
  <c r="H360" i="1" a="1"/>
  <c r="H414" i="1" a="1"/>
  <c r="H477" i="1" a="1"/>
  <c r="H495" i="1" a="1"/>
  <c r="H606" i="1" a="1"/>
  <c r="H670" i="1" a="1"/>
  <c r="H726" i="1" a="1"/>
  <c r="H387" i="1" a="1"/>
  <c r="H563" i="1" a="1"/>
  <c r="H769" i="1" a="1"/>
  <c r="H869" i="1" a="1"/>
  <c r="H933" i="1" a="1"/>
  <c r="H997" i="1" a="1"/>
  <c r="H1061" i="1" a="1"/>
  <c r="H761" i="1" a="1"/>
  <c r="H506" i="1" a="1"/>
  <c r="H278" i="1" a="1"/>
  <c r="H595" i="1" a="1"/>
  <c r="H68" i="1" a="1"/>
  <c r="H212" i="1" a="1"/>
  <c r="H94" i="1" a="1"/>
  <c r="H277" i="1" a="1"/>
  <c r="H367" i="1" a="1"/>
  <c r="H516" i="1" a="1"/>
  <c r="H310" i="1" a="1"/>
  <c r="H46" i="1" a="1"/>
  <c r="H176" i="1" a="1"/>
  <c r="H173" i="1" a="1"/>
  <c r="H255" i="1" a="1"/>
  <c r="H323" i="1" a="1"/>
  <c r="H483" i="1" a="1"/>
  <c r="H481" i="1" a="1"/>
  <c r="H582" i="1" a="1"/>
  <c r="H100" i="1" a="1"/>
  <c r="H408" i="1" a="1"/>
  <c r="H498" i="1" a="1"/>
  <c r="H612" i="1" a="1"/>
  <c r="H740" i="1" a="1"/>
  <c r="H180" i="1" a="1"/>
  <c r="H257" i="1" a="1"/>
  <c r="H488" i="1" a="1"/>
  <c r="H585" i="1" a="1"/>
  <c r="H543" i="1" a="1"/>
  <c r="H530" i="1" a="1"/>
  <c r="H622" i="1" a="1"/>
  <c r="H686" i="1" a="1"/>
  <c r="H734" i="1" a="1"/>
  <c r="H453" i="1" a="1"/>
  <c r="H579" i="1" a="1"/>
  <c r="H785" i="1" a="1"/>
  <c r="H849" i="1" a="1"/>
  <c r="H914" i="1" a="1"/>
  <c r="H978" i="1" a="1"/>
  <c r="H1042" i="1" a="1"/>
  <c r="H751" i="1" a="1"/>
  <c r="H822" i="1" a="1"/>
  <c r="H885" i="1" a="1"/>
  <c r="H949" i="1" a="1"/>
  <c r="H1013" i="1" a="1"/>
  <c r="H665" i="1" a="1"/>
  <c r="H779" i="1" a="1"/>
  <c r="H132" i="1" a="1"/>
  <c r="H129" i="1" a="1"/>
  <c r="H233" i="1" a="1"/>
  <c r="H199" i="1" a="1"/>
  <c r="H440" i="1" a="1"/>
  <c r="H437" i="1" a="1"/>
  <c r="H537" i="1" a="1"/>
  <c r="H641" i="1" a="1"/>
  <c r="H532" i="1" a="1"/>
  <c r="H1029" i="1" a="1"/>
  <c r="H697" i="1" a="1"/>
  <c r="H56" i="1" a="1"/>
  <c r="H196" i="1" a="1"/>
  <c r="H193" i="1" a="1"/>
  <c r="H265" i="1" a="1"/>
  <c r="H343" i="1" a="1"/>
  <c r="H504" i="1" a="1"/>
  <c r="H502" i="1" a="1"/>
  <c r="H593" i="1" a="1"/>
  <c r="H657" i="1" a="1"/>
  <c r="H548" i="1" a="1"/>
  <c r="H1026" i="1" a="1"/>
  <c r="H719" i="1" a="1"/>
  <c r="H806" i="1" a="1"/>
  <c r="H313" i="1" a="1"/>
  <c r="H354" i="1" a="1"/>
  <c r="H627" i="1" a="1"/>
  <c r="H51" i="1" a="1"/>
  <c r="H244" i="1" a="1"/>
  <c r="H158" i="1" a="1"/>
  <c r="H95" i="1" a="1"/>
  <c r="H336" i="1" a="1"/>
  <c r="H333" i="1" a="1"/>
  <c r="H374" i="1" a="1"/>
  <c r="H78" i="1" a="1"/>
  <c r="H222" i="1" a="1"/>
  <c r="H114" i="1" a="1"/>
  <c r="H287" i="1" a="1"/>
  <c r="H282" i="1" a="1"/>
  <c r="H276" i="1" a="1"/>
  <c r="H330" i="1" a="1"/>
  <c r="H615" i="1" a="1"/>
  <c r="H97" i="1" a="1"/>
  <c r="H405" i="1" a="1"/>
  <c r="H386" i="1" a="1"/>
  <c r="H644" i="1" a="1"/>
  <c r="H411" i="1" a="1"/>
  <c r="H256" i="1" a="1"/>
  <c r="H119" i="1" a="1"/>
  <c r="H357" i="1" a="1"/>
  <c r="H621" i="1" a="1"/>
  <c r="H575" i="1" a="1"/>
  <c r="H562" i="1" a="1"/>
  <c r="H638" i="1" a="1"/>
  <c r="H702" i="1" a="1"/>
  <c r="H750" i="1" a="1"/>
  <c r="H485" i="1" a="1"/>
  <c r="H677" i="1" a="1"/>
  <c r="H801" i="1" a="1"/>
  <c r="H866" i="1" a="1"/>
  <c r="H930" i="1" a="1"/>
  <c r="H994" i="1" a="1"/>
  <c r="H1058" i="1" a="1"/>
  <c r="H774" i="1" a="1"/>
  <c r="H838" i="1" a="1"/>
  <c r="H901" i="1" a="1"/>
  <c r="H965" i="1" a="1"/>
  <c r="I1997" i="3" l="1"/>
  <c r="I1981" i="3"/>
  <c r="I1965" i="3"/>
  <c r="I1949" i="3"/>
  <c r="I1933" i="3"/>
  <c r="I1917" i="3"/>
  <c r="I1897" i="3"/>
  <c r="I1987" i="3"/>
  <c r="I1971" i="3"/>
  <c r="I1955" i="3"/>
  <c r="I1939" i="3"/>
  <c r="I1923" i="3"/>
  <c r="I1915" i="3"/>
  <c r="I2001" i="3"/>
  <c r="I1993" i="3"/>
  <c r="I1985" i="3"/>
  <c r="I1977" i="3"/>
  <c r="I1969" i="3"/>
  <c r="I1961" i="3"/>
  <c r="I1953" i="3"/>
  <c r="I1945" i="3"/>
  <c r="I1937" i="3"/>
  <c r="I1929" i="3"/>
  <c r="I1921" i="3"/>
  <c r="I1913" i="3"/>
  <c r="I1905" i="3"/>
  <c r="I1989" i="3"/>
  <c r="I1973" i="3"/>
  <c r="I1957" i="3"/>
  <c r="I1941" i="3"/>
  <c r="I1925" i="3"/>
  <c r="I1909" i="3"/>
  <c r="I1995" i="3"/>
  <c r="I1979" i="3"/>
  <c r="I1963" i="3"/>
  <c r="I1947" i="3"/>
  <c r="I1931" i="3"/>
  <c r="I1907" i="3"/>
  <c r="I1999" i="3"/>
  <c r="I1991" i="3"/>
  <c r="I1983" i="3"/>
  <c r="I1975" i="3"/>
  <c r="I1967" i="3"/>
  <c r="I1959" i="3"/>
  <c r="I1951" i="3"/>
  <c r="I1943" i="3"/>
  <c r="I1935" i="3"/>
  <c r="I1927" i="3"/>
  <c r="I1919" i="3"/>
  <c r="I1911" i="3"/>
  <c r="I1903" i="3"/>
  <c r="I1895" i="3"/>
  <c r="I1889" i="3"/>
  <c r="I1879" i="3"/>
  <c r="I1871" i="3"/>
  <c r="I1865" i="3"/>
  <c r="I1861" i="3"/>
  <c r="I1855" i="3"/>
  <c r="I1853" i="3"/>
  <c r="I1851" i="3"/>
  <c r="I1849" i="3"/>
  <c r="I1847" i="3"/>
  <c r="I1845" i="3"/>
  <c r="I1843" i="3"/>
  <c r="I1841" i="3"/>
  <c r="I1839" i="3"/>
  <c r="I1837" i="3"/>
  <c r="I1835" i="3"/>
  <c r="I1833" i="3"/>
  <c r="I1831" i="3"/>
  <c r="I1829" i="3"/>
  <c r="I1827" i="3"/>
  <c r="I1825" i="3"/>
  <c r="I1823" i="3"/>
  <c r="I1821" i="3"/>
  <c r="I1819" i="3"/>
  <c r="I1817" i="3"/>
  <c r="I1815" i="3"/>
  <c r="I1813" i="3"/>
  <c r="I1811" i="3"/>
  <c r="I1809" i="3"/>
  <c r="I1807" i="3"/>
  <c r="I1805" i="3"/>
  <c r="I1803" i="3"/>
  <c r="I1801" i="3"/>
  <c r="I1799" i="3"/>
  <c r="I1796" i="3"/>
  <c r="I1791" i="3"/>
  <c r="I1788" i="3"/>
  <c r="I1783" i="3"/>
  <c r="I1780" i="3"/>
  <c r="I1775" i="3"/>
  <c r="I1772" i="3"/>
  <c r="I1767" i="3"/>
  <c r="I1764" i="3"/>
  <c r="I1759" i="3"/>
  <c r="I1756" i="3"/>
  <c r="I1751" i="3"/>
  <c r="I1727" i="3"/>
  <c r="I1722" i="3"/>
  <c r="I1711" i="3"/>
  <c r="I1706" i="3"/>
  <c r="I1695" i="3"/>
  <c r="I1690" i="3"/>
  <c r="I1679" i="3"/>
  <c r="I1674" i="3"/>
  <c r="I1663" i="3"/>
  <c r="I1658" i="3"/>
  <c r="I1901" i="3"/>
  <c r="I1893" i="3"/>
  <c r="I1885" i="3"/>
  <c r="I1881" i="3"/>
  <c r="I1873" i="3"/>
  <c r="I1863" i="3"/>
  <c r="I1798" i="3"/>
  <c r="I1793" i="3"/>
  <c r="I1790" i="3"/>
  <c r="I1785" i="3"/>
  <c r="I1782" i="3"/>
  <c r="I1777" i="3"/>
  <c r="I1774" i="3"/>
  <c r="I1769" i="3"/>
  <c r="I1766" i="3"/>
  <c r="I1761" i="3"/>
  <c r="I1758" i="3"/>
  <c r="I1753" i="3"/>
  <c r="I1750" i="3"/>
  <c r="I1747" i="3"/>
  <c r="I1743" i="3"/>
  <c r="I1739" i="3"/>
  <c r="I1735" i="3"/>
  <c r="I1731" i="3"/>
  <c r="I1721" i="3"/>
  <c r="I1716" i="3"/>
  <c r="I1705" i="3"/>
  <c r="I1700" i="3"/>
  <c r="I1689" i="3"/>
  <c r="I1684" i="3"/>
  <c r="I1673" i="3"/>
  <c r="I1668" i="3"/>
  <c r="I1657" i="3"/>
  <c r="I1650" i="3"/>
  <c r="I1899" i="3"/>
  <c r="I1891" i="3"/>
  <c r="I1883" i="3"/>
  <c r="I1875" i="3"/>
  <c r="I1869" i="3"/>
  <c r="I1857" i="3"/>
  <c r="I1998" i="3"/>
  <c r="I1994" i="3"/>
  <c r="I1990" i="3"/>
  <c r="I1986" i="3"/>
  <c r="I1982" i="3"/>
  <c r="I1978" i="3"/>
  <c r="I1974" i="3"/>
  <c r="I1970" i="3"/>
  <c r="I1966" i="3"/>
  <c r="I1964" i="3"/>
  <c r="I1960" i="3"/>
  <c r="I1956" i="3"/>
  <c r="I1952" i="3"/>
  <c r="I1948" i="3"/>
  <c r="I1944" i="3"/>
  <c r="I1940" i="3"/>
  <c r="I1936" i="3"/>
  <c r="I1932" i="3"/>
  <c r="I1928" i="3"/>
  <c r="I1924" i="3"/>
  <c r="I1920" i="3"/>
  <c r="I1916" i="3"/>
  <c r="I1912" i="3"/>
  <c r="I1908" i="3"/>
  <c r="I1904" i="3"/>
  <c r="I1900" i="3"/>
  <c r="I1896" i="3"/>
  <c r="I1892" i="3"/>
  <c r="I1888" i="3"/>
  <c r="I1884" i="3"/>
  <c r="I1882" i="3"/>
  <c r="I1876" i="3"/>
  <c r="I1874" i="3"/>
  <c r="I1868" i="3"/>
  <c r="I1866" i="3"/>
  <c r="I1862" i="3"/>
  <c r="I1858" i="3"/>
  <c r="I1854" i="3"/>
  <c r="I1850" i="3"/>
  <c r="I1846" i="3"/>
  <c r="I1842" i="3"/>
  <c r="I1840" i="3"/>
  <c r="I1836" i="3"/>
  <c r="I1834" i="3"/>
  <c r="I1832" i="3"/>
  <c r="I1830" i="3"/>
  <c r="I1828" i="3"/>
  <c r="I1826" i="3"/>
  <c r="I1824" i="3"/>
  <c r="I1822" i="3"/>
  <c r="I1820" i="3"/>
  <c r="I1818" i="3"/>
  <c r="I1816" i="3"/>
  <c r="I1814" i="3"/>
  <c r="I1812" i="3"/>
  <c r="I1810" i="3"/>
  <c r="I1808" i="3"/>
  <c r="I1806" i="3"/>
  <c r="I1804" i="3"/>
  <c r="I1802" i="3"/>
  <c r="I1800" i="3"/>
  <c r="I1795" i="3"/>
  <c r="I1792" i="3"/>
  <c r="I1787" i="3"/>
  <c r="I1784" i="3"/>
  <c r="I1779" i="3"/>
  <c r="I1776" i="3"/>
  <c r="I1771" i="3"/>
  <c r="I1768" i="3"/>
  <c r="I1763" i="3"/>
  <c r="I1760" i="3"/>
  <c r="I1755" i="3"/>
  <c r="I1752" i="3"/>
  <c r="I1719" i="3"/>
  <c r="I1714" i="3"/>
  <c r="I1703" i="3"/>
  <c r="I1698" i="3"/>
  <c r="I1687" i="3"/>
  <c r="I1682" i="3"/>
  <c r="I1671" i="3"/>
  <c r="I1666" i="3"/>
  <c r="I1655" i="3"/>
  <c r="I1647" i="3"/>
  <c r="I1887" i="3"/>
  <c r="I1877" i="3"/>
  <c r="I1867" i="3"/>
  <c r="I1859" i="3"/>
  <c r="I2000" i="3"/>
  <c r="I1996" i="3"/>
  <c r="I1992" i="3"/>
  <c r="I1988" i="3"/>
  <c r="I1984" i="3"/>
  <c r="I1980" i="3"/>
  <c r="I1976" i="3"/>
  <c r="I1972" i="3"/>
  <c r="I1968" i="3"/>
  <c r="I1962" i="3"/>
  <c r="I1958" i="3"/>
  <c r="I1954" i="3"/>
  <c r="I1950" i="3"/>
  <c r="I1946" i="3"/>
  <c r="I1942" i="3"/>
  <c r="I1938" i="3"/>
  <c r="I1934" i="3"/>
  <c r="I1930" i="3"/>
  <c r="I1926" i="3"/>
  <c r="I1922" i="3"/>
  <c r="I1918" i="3"/>
  <c r="I1914" i="3"/>
  <c r="I1910" i="3"/>
  <c r="I1906" i="3"/>
  <c r="I1902" i="3"/>
  <c r="I1898" i="3"/>
  <c r="I1894" i="3"/>
  <c r="I1890" i="3"/>
  <c r="I1886" i="3"/>
  <c r="I1880" i="3"/>
  <c r="I1878" i="3"/>
  <c r="I1872" i="3"/>
  <c r="I1870" i="3"/>
  <c r="I1864" i="3"/>
  <c r="I1860" i="3"/>
  <c r="I1856" i="3"/>
  <c r="I1852" i="3"/>
  <c r="I1848" i="3"/>
  <c r="I1844" i="3"/>
  <c r="I1838" i="3"/>
  <c r="I1797" i="3"/>
  <c r="I1794" i="3"/>
  <c r="I1789" i="3"/>
  <c r="I1786" i="3"/>
  <c r="I1781" i="3"/>
  <c r="I1778" i="3"/>
  <c r="I1773" i="3"/>
  <c r="I1770" i="3"/>
  <c r="I1765" i="3"/>
  <c r="I1762" i="3"/>
  <c r="I1757" i="3"/>
  <c r="I1754" i="3"/>
  <c r="I1749" i="3"/>
  <c r="I1745" i="3"/>
  <c r="I1741" i="3"/>
  <c r="I1737" i="3"/>
  <c r="I1733" i="3"/>
  <c r="I1729" i="3"/>
  <c r="I1724" i="3"/>
  <c r="I1713" i="3"/>
  <c r="I1708" i="3"/>
  <c r="I1697" i="3"/>
  <c r="I1692" i="3"/>
  <c r="I1681" i="3"/>
  <c r="I1676" i="3"/>
  <c r="I1665" i="3"/>
  <c r="I1660" i="3"/>
  <c r="I1652" i="3"/>
  <c r="I1649" i="3"/>
  <c r="I1644" i="3"/>
  <c r="I1641" i="3"/>
  <c r="I1636" i="3"/>
  <c r="I1633" i="3"/>
  <c r="I1628" i="3"/>
  <c r="I1625" i="3"/>
  <c r="I1620" i="3"/>
  <c r="I1617" i="3"/>
  <c r="I1612" i="3"/>
  <c r="I1609" i="3"/>
  <c r="I1604" i="3"/>
  <c r="I1601" i="3"/>
  <c r="I1596" i="3"/>
  <c r="I1593" i="3"/>
  <c r="I1588" i="3"/>
  <c r="I1585" i="3"/>
  <c r="I1580" i="3"/>
  <c r="I1577" i="3"/>
  <c r="I1572" i="3"/>
  <c r="I1569" i="3"/>
  <c r="I1564" i="3"/>
  <c r="I1561" i="3"/>
  <c r="I1556" i="3"/>
  <c r="I1553" i="3"/>
  <c r="I1548" i="3"/>
  <c r="I1545" i="3"/>
  <c r="I1540" i="3"/>
  <c r="I1537" i="3"/>
  <c r="I1532" i="3"/>
  <c r="I1529" i="3"/>
  <c r="I1524" i="3"/>
  <c r="I1521" i="3"/>
  <c r="I1516" i="3"/>
  <c r="I1513" i="3"/>
  <c r="I1508" i="3"/>
  <c r="I1505" i="3"/>
  <c r="I1500" i="3"/>
  <c r="I1497" i="3"/>
  <c r="I1492" i="3"/>
  <c r="I1489" i="3"/>
  <c r="I1484" i="3"/>
  <c r="I1481" i="3"/>
  <c r="I1476" i="3"/>
  <c r="I1473" i="3"/>
  <c r="I1468" i="3"/>
  <c r="I1465" i="3"/>
  <c r="I1460" i="3"/>
  <c r="I1457" i="3"/>
  <c r="I1452" i="3"/>
  <c r="I1449" i="3"/>
  <c r="I1444" i="3"/>
  <c r="I1441" i="3"/>
  <c r="I1436" i="3"/>
  <c r="I1433" i="3"/>
  <c r="I1428" i="3"/>
  <c r="I1425" i="3"/>
  <c r="I1420" i="3"/>
  <c r="I1417" i="3"/>
  <c r="I1412" i="3"/>
  <c r="I1409" i="3"/>
  <c r="I1404" i="3"/>
  <c r="I1401" i="3"/>
  <c r="I1396" i="3"/>
  <c r="I1393" i="3"/>
  <c r="I1388" i="3"/>
  <c r="I1385" i="3"/>
  <c r="I1380" i="3"/>
  <c r="I1377" i="3"/>
  <c r="I1372" i="3"/>
  <c r="I1369" i="3"/>
  <c r="I1364" i="3"/>
  <c r="I1361" i="3"/>
  <c r="I1356" i="3"/>
  <c r="I1353" i="3"/>
  <c r="I1348" i="3"/>
  <c r="I1345" i="3"/>
  <c r="I1340" i="3"/>
  <c r="I1337" i="3"/>
  <c r="I1332" i="3"/>
  <c r="I1328" i="3"/>
  <c r="I1324" i="3"/>
  <c r="I1320" i="3"/>
  <c r="I1316" i="3"/>
  <c r="I1312" i="3"/>
  <c r="I1308" i="3"/>
  <c r="I1304" i="3"/>
  <c r="I1300" i="3"/>
  <c r="I1296" i="3"/>
  <c r="I1292" i="3"/>
  <c r="I1288" i="3"/>
  <c r="I1284" i="3"/>
  <c r="I1280" i="3"/>
  <c r="I1276" i="3"/>
  <c r="I1272" i="3"/>
  <c r="I1267" i="3"/>
  <c r="I1259" i="3"/>
  <c r="I1251" i="3"/>
  <c r="I1243" i="3"/>
  <c r="I1235" i="3"/>
  <c r="I1227" i="3"/>
  <c r="I1219" i="3"/>
  <c r="I1211" i="3"/>
  <c r="I1203" i="3"/>
  <c r="I1195" i="3"/>
  <c r="I1187" i="3"/>
  <c r="I1179" i="3"/>
  <c r="I1171" i="3"/>
  <c r="I1726" i="3"/>
  <c r="I1723" i="3"/>
  <c r="I1718" i="3"/>
  <c r="I1715" i="3"/>
  <c r="I1710" i="3"/>
  <c r="I1707" i="3"/>
  <c r="I1702" i="3"/>
  <c r="I1699" i="3"/>
  <c r="I1694" i="3"/>
  <c r="I1691" i="3"/>
  <c r="I1686" i="3"/>
  <c r="I1683" i="3"/>
  <c r="I1678" i="3"/>
  <c r="I1675" i="3"/>
  <c r="I1670" i="3"/>
  <c r="I1667" i="3"/>
  <c r="I1662" i="3"/>
  <c r="I1659" i="3"/>
  <c r="I1654" i="3"/>
  <c r="I1651" i="3"/>
  <c r="I1646" i="3"/>
  <c r="I1643" i="3"/>
  <c r="I1638" i="3"/>
  <c r="I1635" i="3"/>
  <c r="I1630" i="3"/>
  <c r="I1627" i="3"/>
  <c r="I1622" i="3"/>
  <c r="I1619" i="3"/>
  <c r="I1614" i="3"/>
  <c r="I1611" i="3"/>
  <c r="I1606" i="3"/>
  <c r="I1603" i="3"/>
  <c r="I1598" i="3"/>
  <c r="I1595" i="3"/>
  <c r="I1590" i="3"/>
  <c r="I1587" i="3"/>
  <c r="I1582" i="3"/>
  <c r="I1579" i="3"/>
  <c r="I1574" i="3"/>
  <c r="I1571" i="3"/>
  <c r="I1566" i="3"/>
  <c r="I1563" i="3"/>
  <c r="I1558" i="3"/>
  <c r="I1555" i="3"/>
  <c r="I1550" i="3"/>
  <c r="I1547" i="3"/>
  <c r="I1542" i="3"/>
  <c r="I1539" i="3"/>
  <c r="I1534" i="3"/>
  <c r="I1531" i="3"/>
  <c r="I1526" i="3"/>
  <c r="I1523" i="3"/>
  <c r="I1518" i="3"/>
  <c r="I1515" i="3"/>
  <c r="I1510" i="3"/>
  <c r="I1507" i="3"/>
  <c r="I1502" i="3"/>
  <c r="I1499" i="3"/>
  <c r="I1494" i="3"/>
  <c r="I1491" i="3"/>
  <c r="I1486" i="3"/>
  <c r="I1483" i="3"/>
  <c r="I1478" i="3"/>
  <c r="I1475" i="3"/>
  <c r="I1470" i="3"/>
  <c r="I1467" i="3"/>
  <c r="I1462" i="3"/>
  <c r="I1459" i="3"/>
  <c r="I1454" i="3"/>
  <c r="I1451" i="3"/>
  <c r="I1446" i="3"/>
  <c r="I1443" i="3"/>
  <c r="I1438" i="3"/>
  <c r="I1435" i="3"/>
  <c r="I1430" i="3"/>
  <c r="I1427" i="3"/>
  <c r="I1422" i="3"/>
  <c r="I1419" i="3"/>
  <c r="I1414" i="3"/>
  <c r="I1411" i="3"/>
  <c r="I1406" i="3"/>
  <c r="I1403" i="3"/>
  <c r="I1398" i="3"/>
  <c r="I1395" i="3"/>
  <c r="I1390" i="3"/>
  <c r="I1387" i="3"/>
  <c r="I1382" i="3"/>
  <c r="I1379" i="3"/>
  <c r="I1374" i="3"/>
  <c r="I1371" i="3"/>
  <c r="I1366" i="3"/>
  <c r="I1363" i="3"/>
  <c r="I1358" i="3"/>
  <c r="I1355" i="3"/>
  <c r="I1350" i="3"/>
  <c r="I1347" i="3"/>
  <c r="I1342" i="3"/>
  <c r="I1339" i="3"/>
  <c r="I1334" i="3"/>
  <c r="I1331" i="3"/>
  <c r="I1327" i="3"/>
  <c r="I1323" i="3"/>
  <c r="I1319" i="3"/>
  <c r="I1315" i="3"/>
  <c r="I1311" i="3"/>
  <c r="I1307" i="3"/>
  <c r="I1303" i="3"/>
  <c r="I1299" i="3"/>
  <c r="I1295" i="3"/>
  <c r="I1291" i="3"/>
  <c r="I1287" i="3"/>
  <c r="I1283" i="3"/>
  <c r="I1279" i="3"/>
  <c r="I1275" i="3"/>
  <c r="I1271" i="3"/>
  <c r="I1265" i="3"/>
  <c r="I1257" i="3"/>
  <c r="I1249" i="3"/>
  <c r="I1241" i="3"/>
  <c r="I1233" i="3"/>
  <c r="I1225" i="3"/>
  <c r="I1217" i="3"/>
  <c r="I1209" i="3"/>
  <c r="I1201" i="3"/>
  <c r="I1193" i="3"/>
  <c r="I1185" i="3"/>
  <c r="I1177" i="3"/>
  <c r="I1169" i="3"/>
  <c r="I1748" i="3"/>
  <c r="I1746" i="3"/>
  <c r="I1744" i="3"/>
  <c r="I1742" i="3"/>
  <c r="I1740" i="3"/>
  <c r="I1738" i="3"/>
  <c r="I1736" i="3"/>
  <c r="I1734" i="3"/>
  <c r="I1732" i="3"/>
  <c r="I1730" i="3"/>
  <c r="I1728" i="3"/>
  <c r="I1725" i="3"/>
  <c r="I1720" i="3"/>
  <c r="I1717" i="3"/>
  <c r="I1712" i="3"/>
  <c r="I1709" i="3"/>
  <c r="I1704" i="3"/>
  <c r="I1701" i="3"/>
  <c r="I1696" i="3"/>
  <c r="I1693" i="3"/>
  <c r="I1688" i="3"/>
  <c r="I1685" i="3"/>
  <c r="I1680" i="3"/>
  <c r="I1677" i="3"/>
  <c r="I1672" i="3"/>
  <c r="I1669" i="3"/>
  <c r="I1664" i="3"/>
  <c r="I1661" i="3"/>
  <c r="I1656" i="3"/>
  <c r="I1653" i="3"/>
  <c r="I1648" i="3"/>
  <c r="I1645" i="3"/>
  <c r="I1640" i="3"/>
  <c r="I1637" i="3"/>
  <c r="I1632" i="3"/>
  <c r="I1629" i="3"/>
  <c r="I1624" i="3"/>
  <c r="I1621" i="3"/>
  <c r="I1616" i="3"/>
  <c r="I1613" i="3"/>
  <c r="I1608" i="3"/>
  <c r="I1605" i="3"/>
  <c r="I1600" i="3"/>
  <c r="I1597" i="3"/>
  <c r="I1592" i="3"/>
  <c r="I1589" i="3"/>
  <c r="I1584" i="3"/>
  <c r="I1581" i="3"/>
  <c r="I1576" i="3"/>
  <c r="I1573" i="3"/>
  <c r="I1568" i="3"/>
  <c r="I1565" i="3"/>
  <c r="I1560" i="3"/>
  <c r="I1557" i="3"/>
  <c r="I1552" i="3"/>
  <c r="I1549" i="3"/>
  <c r="I1544" i="3"/>
  <c r="I1541" i="3"/>
  <c r="I1536" i="3"/>
  <c r="I1533" i="3"/>
  <c r="I1528" i="3"/>
  <c r="I1525" i="3"/>
  <c r="I1520" i="3"/>
  <c r="I1517" i="3"/>
  <c r="I1512" i="3"/>
  <c r="I1509" i="3"/>
  <c r="I1504" i="3"/>
  <c r="I1501" i="3"/>
  <c r="I1496" i="3"/>
  <c r="I1493" i="3"/>
  <c r="I1488" i="3"/>
  <c r="I1485" i="3"/>
  <c r="I1480" i="3"/>
  <c r="I1477" i="3"/>
  <c r="I1472" i="3"/>
  <c r="I1469" i="3"/>
  <c r="I1464" i="3"/>
  <c r="I1461" i="3"/>
  <c r="I1456" i="3"/>
  <c r="I1453" i="3"/>
  <c r="I1448" i="3"/>
  <c r="I1445" i="3"/>
  <c r="I1440" i="3"/>
  <c r="I1437" i="3"/>
  <c r="I1432" i="3"/>
  <c r="I1429" i="3"/>
  <c r="I1424" i="3"/>
  <c r="I1421" i="3"/>
  <c r="I1416" i="3"/>
  <c r="I1413" i="3"/>
  <c r="I1408" i="3"/>
  <c r="I1405" i="3"/>
  <c r="I1400" i="3"/>
  <c r="I1397" i="3"/>
  <c r="I1392" i="3"/>
  <c r="I1389" i="3"/>
  <c r="I1384" i="3"/>
  <c r="I1381" i="3"/>
  <c r="I1376" i="3"/>
  <c r="I1373" i="3"/>
  <c r="I1368" i="3"/>
  <c r="I1365" i="3"/>
  <c r="I1360" i="3"/>
  <c r="I1357" i="3"/>
  <c r="I1352" i="3"/>
  <c r="I1349" i="3"/>
  <c r="I1344" i="3"/>
  <c r="I1341" i="3"/>
  <c r="I1336" i="3"/>
  <c r="I1333" i="3"/>
  <c r="I1330" i="3"/>
  <c r="I1326" i="3"/>
  <c r="I1322" i="3"/>
  <c r="I1318" i="3"/>
  <c r="I1314" i="3"/>
  <c r="I1310" i="3"/>
  <c r="I1306" i="3"/>
  <c r="I1302" i="3"/>
  <c r="I1298" i="3"/>
  <c r="I1294" i="3"/>
  <c r="I1290" i="3"/>
  <c r="I1286" i="3"/>
  <c r="I1282" i="3"/>
  <c r="I1278" i="3"/>
  <c r="I1274" i="3"/>
  <c r="I1270" i="3"/>
  <c r="I1263" i="3"/>
  <c r="I1255" i="3"/>
  <c r="I1247" i="3"/>
  <c r="I1239" i="3"/>
  <c r="I1231" i="3"/>
  <c r="I1223" i="3"/>
  <c r="I1215" i="3"/>
  <c r="I1207" i="3"/>
  <c r="I1199" i="3"/>
  <c r="I1191" i="3"/>
  <c r="I1183" i="3"/>
  <c r="I1175" i="3"/>
  <c r="I1167" i="3"/>
  <c r="I1642" i="3"/>
  <c r="I1639" i="3"/>
  <c r="I1634" i="3"/>
  <c r="I1631" i="3"/>
  <c r="I1626" i="3"/>
  <c r="I1623" i="3"/>
  <c r="I1618" i="3"/>
  <c r="I1615" i="3"/>
  <c r="I1610" i="3"/>
  <c r="I1607" i="3"/>
  <c r="I1602" i="3"/>
  <c r="I1599" i="3"/>
  <c r="I1594" i="3"/>
  <c r="I1591" i="3"/>
  <c r="I1586" i="3"/>
  <c r="I1583" i="3"/>
  <c r="I1578" i="3"/>
  <c r="I1575" i="3"/>
  <c r="I1570" i="3"/>
  <c r="I1567" i="3"/>
  <c r="I1562" i="3"/>
  <c r="I1559" i="3"/>
  <c r="I1554" i="3"/>
  <c r="I1551" i="3"/>
  <c r="I1546" i="3"/>
  <c r="I1543" i="3"/>
  <c r="I1538" i="3"/>
  <c r="I1535" i="3"/>
  <c r="I1530" i="3"/>
  <c r="I1527" i="3"/>
  <c r="I1522" i="3"/>
  <c r="I1519" i="3"/>
  <c r="I1514" i="3"/>
  <c r="I1511" i="3"/>
  <c r="I1506" i="3"/>
  <c r="I1503" i="3"/>
  <c r="I1498" i="3"/>
  <c r="I1495" i="3"/>
  <c r="I1490" i="3"/>
  <c r="I1487" i="3"/>
  <c r="I1482" i="3"/>
  <c r="I1479" i="3"/>
  <c r="I1474" i="3"/>
  <c r="I1471" i="3"/>
  <c r="I1466" i="3"/>
  <c r="I1463" i="3"/>
  <c r="I1458" i="3"/>
  <c r="I1455" i="3"/>
  <c r="I1450" i="3"/>
  <c r="I1447" i="3"/>
  <c r="I1442" i="3"/>
  <c r="I1439" i="3"/>
  <c r="I1434" i="3"/>
  <c r="I1431" i="3"/>
  <c r="I1426" i="3"/>
  <c r="I1423" i="3"/>
  <c r="I1418" i="3"/>
  <c r="I1415" i="3"/>
  <c r="I1410" i="3"/>
  <c r="I1407" i="3"/>
  <c r="I1402" i="3"/>
  <c r="I1399" i="3"/>
  <c r="I1394" i="3"/>
  <c r="I1391" i="3"/>
  <c r="I1386" i="3"/>
  <c r="I1383" i="3"/>
  <c r="I1378" i="3"/>
  <c r="I1375" i="3"/>
  <c r="I1370" i="3"/>
  <c r="I1367" i="3"/>
  <c r="I1362" i="3"/>
  <c r="I1359" i="3"/>
  <c r="I1354" i="3"/>
  <c r="I1351" i="3"/>
  <c r="I1346" i="3"/>
  <c r="I1343" i="3"/>
  <c r="I1338" i="3"/>
  <c r="I1335" i="3"/>
  <c r="I1329" i="3"/>
  <c r="I1325" i="3"/>
  <c r="I1321" i="3"/>
  <c r="I1317" i="3"/>
  <c r="I1313" i="3"/>
  <c r="I1309" i="3"/>
  <c r="I1305" i="3"/>
  <c r="I1301" i="3"/>
  <c r="I1297" i="3"/>
  <c r="I1293" i="3"/>
  <c r="I1289" i="3"/>
  <c r="I1285" i="3"/>
  <c r="I1281" i="3"/>
  <c r="I1277" i="3"/>
  <c r="I1273" i="3"/>
  <c r="I1269" i="3"/>
  <c r="I1261" i="3"/>
  <c r="I1253" i="3"/>
  <c r="I1245" i="3"/>
  <c r="I1237" i="3"/>
  <c r="I1229" i="3"/>
  <c r="I1221" i="3"/>
  <c r="I1213" i="3"/>
  <c r="I1205" i="3"/>
  <c r="I1197" i="3"/>
  <c r="I1189" i="3"/>
  <c r="I1181" i="3"/>
  <c r="I1173" i="3"/>
  <c r="I1165" i="3"/>
  <c r="I1100" i="3"/>
  <c r="I1095" i="3"/>
  <c r="I1091" i="3"/>
  <c r="I1086" i="3"/>
  <c r="I1075" i="3"/>
  <c r="I1070" i="3"/>
  <c r="I1059" i="3"/>
  <c r="I1054" i="3"/>
  <c r="I1043" i="3"/>
  <c r="I1038" i="3"/>
  <c r="I1027" i="3"/>
  <c r="I1022" i="3"/>
  <c r="I1011" i="3"/>
  <c r="I1006" i="3"/>
  <c r="I995" i="3"/>
  <c r="I990" i="3"/>
  <c r="I979" i="3"/>
  <c r="I974" i="3"/>
  <c r="I963" i="3"/>
  <c r="I958" i="3"/>
  <c r="I947" i="3"/>
  <c r="I942" i="3"/>
  <c r="I931" i="3"/>
  <c r="I924" i="3"/>
  <c r="I1268" i="3"/>
  <c r="I1266" i="3"/>
  <c r="I1264" i="3"/>
  <c r="I1262" i="3"/>
  <c r="I1260" i="3"/>
  <c r="I1258" i="3"/>
  <c r="I1256" i="3"/>
  <c r="I1254" i="3"/>
  <c r="I1252" i="3"/>
  <c r="I1250" i="3"/>
  <c r="I1248" i="3"/>
  <c r="I1246" i="3"/>
  <c r="I1244" i="3"/>
  <c r="I1242" i="3"/>
  <c r="I1240" i="3"/>
  <c r="I1238" i="3"/>
  <c r="I1236" i="3"/>
  <c r="I1234" i="3"/>
  <c r="I1232" i="3"/>
  <c r="I1230" i="3"/>
  <c r="I1228" i="3"/>
  <c r="I1226" i="3"/>
  <c r="I1224" i="3"/>
  <c r="I1222" i="3"/>
  <c r="I1220" i="3"/>
  <c r="I1218" i="3"/>
  <c r="I1216" i="3"/>
  <c r="I1214" i="3"/>
  <c r="I1212" i="3"/>
  <c r="I1210" i="3"/>
  <c r="I1208" i="3"/>
  <c r="I1206" i="3"/>
  <c r="I1204" i="3"/>
  <c r="I1202" i="3"/>
  <c r="I1200" i="3"/>
  <c r="I1198" i="3"/>
  <c r="I1196" i="3"/>
  <c r="I1194" i="3"/>
  <c r="I1192" i="3"/>
  <c r="I1190" i="3"/>
  <c r="I1188" i="3"/>
  <c r="I1186" i="3"/>
  <c r="I1184" i="3"/>
  <c r="I1182" i="3"/>
  <c r="I1180" i="3"/>
  <c r="I1178" i="3"/>
  <c r="I1176" i="3"/>
  <c r="I1174" i="3"/>
  <c r="I1172" i="3"/>
  <c r="I1170" i="3"/>
  <c r="I1168" i="3"/>
  <c r="I1166" i="3"/>
  <c r="I1164" i="3"/>
  <c r="I1162" i="3"/>
  <c r="I1160" i="3"/>
  <c r="I1158" i="3"/>
  <c r="I1156" i="3"/>
  <c r="I1154" i="3"/>
  <c r="I1152" i="3"/>
  <c r="I1150" i="3"/>
  <c r="I1148" i="3"/>
  <c r="I1146" i="3"/>
  <c r="I1144" i="3"/>
  <c r="I1142" i="3"/>
  <c r="I1140" i="3"/>
  <c r="I1138" i="3"/>
  <c r="I1136" i="3"/>
  <c r="I1134" i="3"/>
  <c r="I1132" i="3"/>
  <c r="I1130" i="3"/>
  <c r="I1128" i="3"/>
  <c r="I1126" i="3"/>
  <c r="I1124" i="3"/>
  <c r="I1122" i="3"/>
  <c r="I1120" i="3"/>
  <c r="I1118" i="3"/>
  <c r="I1116" i="3"/>
  <c r="I1114" i="3"/>
  <c r="I1112" i="3"/>
  <c r="I1110" i="3"/>
  <c r="I1108" i="3"/>
  <c r="I1106" i="3"/>
  <c r="I1104" i="3"/>
  <c r="I1102" i="3"/>
  <c r="I1097" i="3"/>
  <c r="I1089" i="3"/>
  <c r="I1084" i="3"/>
  <c r="I1073" i="3"/>
  <c r="I1068" i="3"/>
  <c r="I1057" i="3"/>
  <c r="I1052" i="3"/>
  <c r="I1041" i="3"/>
  <c r="I1036" i="3"/>
  <c r="I1025" i="3"/>
  <c r="I1020" i="3"/>
  <c r="I1009" i="3"/>
  <c r="I1004" i="3"/>
  <c r="I993" i="3"/>
  <c r="I988" i="3"/>
  <c r="I977" i="3"/>
  <c r="I972" i="3"/>
  <c r="I961" i="3"/>
  <c r="I956" i="3"/>
  <c r="I945" i="3"/>
  <c r="I940" i="3"/>
  <c r="I929" i="3"/>
  <c r="I921" i="3"/>
  <c r="I1099" i="3"/>
  <c r="I1096" i="3"/>
  <c r="I1093" i="3"/>
  <c r="I1083" i="3"/>
  <c r="I1078" i="3"/>
  <c r="I1067" i="3"/>
  <c r="I1062" i="3"/>
  <c r="I1051" i="3"/>
  <c r="I1046" i="3"/>
  <c r="I1035" i="3"/>
  <c r="I1030" i="3"/>
  <c r="I1019" i="3"/>
  <c r="I1014" i="3"/>
  <c r="I1003" i="3"/>
  <c r="I998" i="3"/>
  <c r="I987" i="3"/>
  <c r="I982" i="3"/>
  <c r="I971" i="3"/>
  <c r="I966" i="3"/>
  <c r="I955" i="3"/>
  <c r="I950" i="3"/>
  <c r="I939" i="3"/>
  <c r="I934" i="3"/>
  <c r="I1163" i="3"/>
  <c r="I1161" i="3"/>
  <c r="I1159" i="3"/>
  <c r="I1157" i="3"/>
  <c r="I1155" i="3"/>
  <c r="I1153" i="3"/>
  <c r="I1151" i="3"/>
  <c r="I1149" i="3"/>
  <c r="I1147" i="3"/>
  <c r="I1145" i="3"/>
  <c r="I1143" i="3"/>
  <c r="I1141" i="3"/>
  <c r="I1139" i="3"/>
  <c r="I1137" i="3"/>
  <c r="I1135" i="3"/>
  <c r="I1133" i="3"/>
  <c r="I1131" i="3"/>
  <c r="I1129" i="3"/>
  <c r="I1127" i="3"/>
  <c r="I1125" i="3"/>
  <c r="I1123" i="3"/>
  <c r="I1121" i="3"/>
  <c r="I1119" i="3"/>
  <c r="I1117" i="3"/>
  <c r="I1115" i="3"/>
  <c r="I1113" i="3"/>
  <c r="I1111" i="3"/>
  <c r="I1109" i="3"/>
  <c r="I1107" i="3"/>
  <c r="I1105" i="3"/>
  <c r="I1103" i="3"/>
  <c r="I1101" i="3"/>
  <c r="I1098" i="3"/>
  <c r="I1081" i="3"/>
  <c r="I1076" i="3"/>
  <c r="I1065" i="3"/>
  <c r="I1060" i="3"/>
  <c r="I1049" i="3"/>
  <c r="I1044" i="3"/>
  <c r="I1033" i="3"/>
  <c r="I1028" i="3"/>
  <c r="I1017" i="3"/>
  <c r="I1012" i="3"/>
  <c r="I1001" i="3"/>
  <c r="I996" i="3"/>
  <c r="I985" i="3"/>
  <c r="I980" i="3"/>
  <c r="I969" i="3"/>
  <c r="I964" i="3"/>
  <c r="I953" i="3"/>
  <c r="I948" i="3"/>
  <c r="I937" i="3"/>
  <c r="I932" i="3"/>
  <c r="I916" i="3"/>
  <c r="I926" i="3"/>
  <c r="I923" i="3"/>
  <c r="I918" i="3"/>
  <c r="I915" i="3"/>
  <c r="I910" i="3"/>
  <c r="I907" i="3"/>
  <c r="I902" i="3"/>
  <c r="I899" i="3"/>
  <c r="I894" i="3"/>
  <c r="I891" i="3"/>
  <c r="I886" i="3"/>
  <c r="I883" i="3"/>
  <c r="I878" i="3"/>
  <c r="I875" i="3"/>
  <c r="I870" i="3"/>
  <c r="I867" i="3"/>
  <c r="I862" i="3"/>
  <c r="I859" i="3"/>
  <c r="I854" i="3"/>
  <c r="I851" i="3"/>
  <c r="I846" i="3"/>
  <c r="I843" i="3"/>
  <c r="I838" i="3"/>
  <c r="I835" i="3"/>
  <c r="I830" i="3"/>
  <c r="I827" i="3"/>
  <c r="I822" i="3"/>
  <c r="I819" i="3"/>
  <c r="I814" i="3"/>
  <c r="I811" i="3"/>
  <c r="I806" i="3"/>
  <c r="I803" i="3"/>
  <c r="I798" i="3"/>
  <c r="I795" i="3"/>
  <c r="I790" i="3"/>
  <c r="I787" i="3"/>
  <c r="I782" i="3"/>
  <c r="I779" i="3"/>
  <c r="I774" i="3"/>
  <c r="I771" i="3"/>
  <c r="I766" i="3"/>
  <c r="I763" i="3"/>
  <c r="I758" i="3"/>
  <c r="I755" i="3"/>
  <c r="I750" i="3"/>
  <c r="I747" i="3"/>
  <c r="I742" i="3"/>
  <c r="I739" i="3"/>
  <c r="I734" i="3"/>
  <c r="I731" i="3"/>
  <c r="I726" i="3"/>
  <c r="I723" i="3"/>
  <c r="I718" i="3"/>
  <c r="I715" i="3"/>
  <c r="I710" i="3"/>
  <c r="I707" i="3"/>
  <c r="I702" i="3"/>
  <c r="I699" i="3"/>
  <c r="I694" i="3"/>
  <c r="I691" i="3"/>
  <c r="I686" i="3"/>
  <c r="I683" i="3"/>
  <c r="I678" i="3"/>
  <c r="I675" i="3"/>
  <c r="I670" i="3"/>
  <c r="I667" i="3"/>
  <c r="I661" i="3"/>
  <c r="I657" i="3"/>
  <c r="I653" i="3"/>
  <c r="I649" i="3"/>
  <c r="I643" i="3"/>
  <c r="I635" i="3"/>
  <c r="I627" i="3"/>
  <c r="I619" i="3"/>
  <c r="I611" i="3"/>
  <c r="I603" i="3"/>
  <c r="I595" i="3"/>
  <c r="I587" i="3"/>
  <c r="I579" i="3"/>
  <c r="I571" i="3"/>
  <c r="I563" i="3"/>
  <c r="I1088" i="3"/>
  <c r="I1085" i="3"/>
  <c r="I1080" i="3"/>
  <c r="I1077" i="3"/>
  <c r="I1072" i="3"/>
  <c r="I1069" i="3"/>
  <c r="I1064" i="3"/>
  <c r="I1061" i="3"/>
  <c r="I1056" i="3"/>
  <c r="I1053" i="3"/>
  <c r="I1048" i="3"/>
  <c r="I1045" i="3"/>
  <c r="I1040" i="3"/>
  <c r="I1037" i="3"/>
  <c r="I1032" i="3"/>
  <c r="I1029" i="3"/>
  <c r="I1024" i="3"/>
  <c r="I1021" i="3"/>
  <c r="I1016" i="3"/>
  <c r="I1013" i="3"/>
  <c r="I1008" i="3"/>
  <c r="I1005" i="3"/>
  <c r="I1000" i="3"/>
  <c r="I997" i="3"/>
  <c r="I992" i="3"/>
  <c r="I989" i="3"/>
  <c r="I984" i="3"/>
  <c r="I981" i="3"/>
  <c r="I976" i="3"/>
  <c r="I973" i="3"/>
  <c r="I968" i="3"/>
  <c r="I965" i="3"/>
  <c r="I960" i="3"/>
  <c r="I957" i="3"/>
  <c r="I952" i="3"/>
  <c r="I949" i="3"/>
  <c r="I944" i="3"/>
  <c r="I941" i="3"/>
  <c r="I936" i="3"/>
  <c r="I933" i="3"/>
  <c r="I928" i="3"/>
  <c r="I925" i="3"/>
  <c r="I920" i="3"/>
  <c r="I917" i="3"/>
  <c r="I912" i="3"/>
  <c r="I909" i="3"/>
  <c r="I904" i="3"/>
  <c r="I901" i="3"/>
  <c r="I896" i="3"/>
  <c r="I893" i="3"/>
  <c r="I888" i="3"/>
  <c r="I885" i="3"/>
  <c r="I880" i="3"/>
  <c r="I877" i="3"/>
  <c r="I872" i="3"/>
  <c r="I869" i="3"/>
  <c r="I864" i="3"/>
  <c r="I861" i="3"/>
  <c r="I856" i="3"/>
  <c r="I853" i="3"/>
  <c r="I848" i="3"/>
  <c r="I845" i="3"/>
  <c r="I840" i="3"/>
  <c r="I837" i="3"/>
  <c r="I832" i="3"/>
  <c r="I829" i="3"/>
  <c r="I824" i="3"/>
  <c r="I821" i="3"/>
  <c r="I816" i="3"/>
  <c r="I813" i="3"/>
  <c r="I808" i="3"/>
  <c r="I805" i="3"/>
  <c r="I800" i="3"/>
  <c r="I797" i="3"/>
  <c r="I792" i="3"/>
  <c r="I789" i="3"/>
  <c r="I784" i="3"/>
  <c r="I781" i="3"/>
  <c r="I776" i="3"/>
  <c r="I773" i="3"/>
  <c r="I768" i="3"/>
  <c r="I765" i="3"/>
  <c r="I760" i="3"/>
  <c r="I757" i="3"/>
  <c r="I752" i="3"/>
  <c r="I749" i="3"/>
  <c r="I744" i="3"/>
  <c r="I741" i="3"/>
  <c r="I736" i="3"/>
  <c r="I733" i="3"/>
  <c r="I728" i="3"/>
  <c r="I725" i="3"/>
  <c r="I720" i="3"/>
  <c r="I717" i="3"/>
  <c r="I712" i="3"/>
  <c r="I709" i="3"/>
  <c r="I704" i="3"/>
  <c r="I701" i="3"/>
  <c r="I696" i="3"/>
  <c r="I693" i="3"/>
  <c r="I688" i="3"/>
  <c r="I685" i="3"/>
  <c r="I680" i="3"/>
  <c r="I677" i="3"/>
  <c r="I672" i="3"/>
  <c r="I669" i="3"/>
  <c r="I664" i="3"/>
  <c r="I641" i="3"/>
  <c r="I633" i="3"/>
  <c r="I625" i="3"/>
  <c r="I617" i="3"/>
  <c r="I609" i="3"/>
  <c r="I601" i="3"/>
  <c r="I593" i="3"/>
  <c r="I585" i="3"/>
  <c r="I577" i="3"/>
  <c r="I569" i="3"/>
  <c r="I561" i="3"/>
  <c r="I1094" i="3"/>
  <c r="I1092" i="3"/>
  <c r="I1090" i="3"/>
  <c r="I1087" i="3"/>
  <c r="I1082" i="3"/>
  <c r="I1079" i="3"/>
  <c r="I1074" i="3"/>
  <c r="I1071" i="3"/>
  <c r="I1066" i="3"/>
  <c r="I1063" i="3"/>
  <c r="I1058" i="3"/>
  <c r="I1055" i="3"/>
  <c r="I1050" i="3"/>
  <c r="I1047" i="3"/>
  <c r="I1042" i="3"/>
  <c r="I1039" i="3"/>
  <c r="I1034" i="3"/>
  <c r="I1031" i="3"/>
  <c r="I1026" i="3"/>
  <c r="I1023" i="3"/>
  <c r="I1018" i="3"/>
  <c r="I1015" i="3"/>
  <c r="I1010" i="3"/>
  <c r="I1007" i="3"/>
  <c r="I1002" i="3"/>
  <c r="I999" i="3"/>
  <c r="I994" i="3"/>
  <c r="I991" i="3"/>
  <c r="I986" i="3"/>
  <c r="I983" i="3"/>
  <c r="I978" i="3"/>
  <c r="I975" i="3"/>
  <c r="I970" i="3"/>
  <c r="I967" i="3"/>
  <c r="I962" i="3"/>
  <c r="I959" i="3"/>
  <c r="I954" i="3"/>
  <c r="I951" i="3"/>
  <c r="I946" i="3"/>
  <c r="I943" i="3"/>
  <c r="I938" i="3"/>
  <c r="I935" i="3"/>
  <c r="I930" i="3"/>
  <c r="I927" i="3"/>
  <c r="I922" i="3"/>
  <c r="I919" i="3"/>
  <c r="I914" i="3"/>
  <c r="I911" i="3"/>
  <c r="I906" i="3"/>
  <c r="I903" i="3"/>
  <c r="I898" i="3"/>
  <c r="I895" i="3"/>
  <c r="I890" i="3"/>
  <c r="I887" i="3"/>
  <c r="I882" i="3"/>
  <c r="I879" i="3"/>
  <c r="I874" i="3"/>
  <c r="I871" i="3"/>
  <c r="I866" i="3"/>
  <c r="I863" i="3"/>
  <c r="I858" i="3"/>
  <c r="I855" i="3"/>
  <c r="I850" i="3"/>
  <c r="I847" i="3"/>
  <c r="I842" i="3"/>
  <c r="I839" i="3"/>
  <c r="I834" i="3"/>
  <c r="I831" i="3"/>
  <c r="I826" i="3"/>
  <c r="I823" i="3"/>
  <c r="I818" i="3"/>
  <c r="I815" i="3"/>
  <c r="I810" i="3"/>
  <c r="I807" i="3"/>
  <c r="I802" i="3"/>
  <c r="I799" i="3"/>
  <c r="I794" i="3"/>
  <c r="I791" i="3"/>
  <c r="I786" i="3"/>
  <c r="I783" i="3"/>
  <c r="I778" i="3"/>
  <c r="I775" i="3"/>
  <c r="I770" i="3"/>
  <c r="I767" i="3"/>
  <c r="I762" i="3"/>
  <c r="I759" i="3"/>
  <c r="I754" i="3"/>
  <c r="I751" i="3"/>
  <c r="I746" i="3"/>
  <c r="I743" i="3"/>
  <c r="I738" i="3"/>
  <c r="I735" i="3"/>
  <c r="I730" i="3"/>
  <c r="I727" i="3"/>
  <c r="I722" i="3"/>
  <c r="I719" i="3"/>
  <c r="I714" i="3"/>
  <c r="I711" i="3"/>
  <c r="I706" i="3"/>
  <c r="I703" i="3"/>
  <c r="I698" i="3"/>
  <c r="I695" i="3"/>
  <c r="I690" i="3"/>
  <c r="I687" i="3"/>
  <c r="I682" i="3"/>
  <c r="I679" i="3"/>
  <c r="I674" i="3"/>
  <c r="I671" i="3"/>
  <c r="I666" i="3"/>
  <c r="I663" i="3"/>
  <c r="I659" i="3"/>
  <c r="I655" i="3"/>
  <c r="I651" i="3"/>
  <c r="I647" i="3"/>
  <c r="I639" i="3"/>
  <c r="I631" i="3"/>
  <c r="I623" i="3"/>
  <c r="I615" i="3"/>
  <c r="I607" i="3"/>
  <c r="I599" i="3"/>
  <c r="I591" i="3"/>
  <c r="I583" i="3"/>
  <c r="I575" i="3"/>
  <c r="I567" i="3"/>
  <c r="I559" i="3"/>
  <c r="I913" i="3"/>
  <c r="I908" i="3"/>
  <c r="I905" i="3"/>
  <c r="I900" i="3"/>
  <c r="I897" i="3"/>
  <c r="I892" i="3"/>
  <c r="I889" i="3"/>
  <c r="I884" i="3"/>
  <c r="I881" i="3"/>
  <c r="I876" i="3"/>
  <c r="I873" i="3"/>
  <c r="I868" i="3"/>
  <c r="I865" i="3"/>
  <c r="I860" i="3"/>
  <c r="I857" i="3"/>
  <c r="I852" i="3"/>
  <c r="I849" i="3"/>
  <c r="I844" i="3"/>
  <c r="I841" i="3"/>
  <c r="I836" i="3"/>
  <c r="I833" i="3"/>
  <c r="I828" i="3"/>
  <c r="I825" i="3"/>
  <c r="I820" i="3"/>
  <c r="I817" i="3"/>
  <c r="I812" i="3"/>
  <c r="I809" i="3"/>
  <c r="I804" i="3"/>
  <c r="I801" i="3"/>
  <c r="I796" i="3"/>
  <c r="I793" i="3"/>
  <c r="I788" i="3"/>
  <c r="I785" i="3"/>
  <c r="I780" i="3"/>
  <c r="I777" i="3"/>
  <c r="I772" i="3"/>
  <c r="I769" i="3"/>
  <c r="I764" i="3"/>
  <c r="I761" i="3"/>
  <c r="I756" i="3"/>
  <c r="I753" i="3"/>
  <c r="I748" i="3"/>
  <c r="I745" i="3"/>
  <c r="I740" i="3"/>
  <c r="I737" i="3"/>
  <c r="I732" i="3"/>
  <c r="I729" i="3"/>
  <c r="I724" i="3"/>
  <c r="I721" i="3"/>
  <c r="I716" i="3"/>
  <c r="I713" i="3"/>
  <c r="I708" i="3"/>
  <c r="I705" i="3"/>
  <c r="I700" i="3"/>
  <c r="I697" i="3"/>
  <c r="I692" i="3"/>
  <c r="I689" i="3"/>
  <c r="I684" i="3"/>
  <c r="I681" i="3"/>
  <c r="I676" i="3"/>
  <c r="I673" i="3"/>
  <c r="I668" i="3"/>
  <c r="I665" i="3"/>
  <c r="I645" i="3"/>
  <c r="I637" i="3"/>
  <c r="I629" i="3"/>
  <c r="I621" i="3"/>
  <c r="I613" i="3"/>
  <c r="I605" i="3"/>
  <c r="I597" i="3"/>
  <c r="I589" i="3"/>
  <c r="I581" i="3"/>
  <c r="I573" i="3"/>
  <c r="I565" i="3"/>
  <c r="I557" i="3"/>
  <c r="I534" i="3"/>
  <c r="I502" i="3"/>
  <c r="I491" i="3"/>
  <c r="I486" i="3"/>
  <c r="I475" i="3"/>
  <c r="I470" i="3"/>
  <c r="I459" i="3"/>
  <c r="I454" i="3"/>
  <c r="I443" i="3"/>
  <c r="I438" i="3"/>
  <c r="I427" i="3"/>
  <c r="I422" i="3"/>
  <c r="I411" i="3"/>
  <c r="I406" i="3"/>
  <c r="I395" i="3"/>
  <c r="I390" i="3"/>
  <c r="I379" i="3"/>
  <c r="I371" i="3"/>
  <c r="I350" i="3"/>
  <c r="I662" i="3"/>
  <c r="I660" i="3"/>
  <c r="I658" i="3"/>
  <c r="I656" i="3"/>
  <c r="I654" i="3"/>
  <c r="I652" i="3"/>
  <c r="I650" i="3"/>
  <c r="I648" i="3"/>
  <c r="I646" i="3"/>
  <c r="I644" i="3"/>
  <c r="I642" i="3"/>
  <c r="I640" i="3"/>
  <c r="I638" i="3"/>
  <c r="I636" i="3"/>
  <c r="I634" i="3"/>
  <c r="I632" i="3"/>
  <c r="I630" i="3"/>
  <c r="I628" i="3"/>
  <c r="I626" i="3"/>
  <c r="I624" i="3"/>
  <c r="I622" i="3"/>
  <c r="I620" i="3"/>
  <c r="I618" i="3"/>
  <c r="I616" i="3"/>
  <c r="I614" i="3"/>
  <c r="I612" i="3"/>
  <c r="I610" i="3"/>
  <c r="I608" i="3"/>
  <c r="I606" i="3"/>
  <c r="I604" i="3"/>
  <c r="I602" i="3"/>
  <c r="I600" i="3"/>
  <c r="I598" i="3"/>
  <c r="I596" i="3"/>
  <c r="I594" i="3"/>
  <c r="I592" i="3"/>
  <c r="I590" i="3"/>
  <c r="I588" i="3"/>
  <c r="I586" i="3"/>
  <c r="I584" i="3"/>
  <c r="I582" i="3"/>
  <c r="I580" i="3"/>
  <c r="I578" i="3"/>
  <c r="I576" i="3"/>
  <c r="I574" i="3"/>
  <c r="I572" i="3"/>
  <c r="I570" i="3"/>
  <c r="I568" i="3"/>
  <c r="I566" i="3"/>
  <c r="I564" i="3"/>
  <c r="I562" i="3"/>
  <c r="I560" i="3"/>
  <c r="I558" i="3"/>
  <c r="I556" i="3"/>
  <c r="I554" i="3"/>
  <c r="I552" i="3"/>
  <c r="I550" i="3"/>
  <c r="I548" i="3"/>
  <c r="I546" i="3"/>
  <c r="I544" i="3"/>
  <c r="I542" i="3"/>
  <c r="I540" i="3"/>
  <c r="I538" i="3"/>
  <c r="I536" i="3"/>
  <c r="I533" i="3"/>
  <c r="I530" i="3"/>
  <c r="I526" i="3"/>
  <c r="I522" i="3"/>
  <c r="I518" i="3"/>
  <c r="I514" i="3"/>
  <c r="I510" i="3"/>
  <c r="I506" i="3"/>
  <c r="I501" i="3"/>
  <c r="I496" i="3"/>
  <c r="I485" i="3"/>
  <c r="I480" i="3"/>
  <c r="I469" i="3"/>
  <c r="I464" i="3"/>
  <c r="I453" i="3"/>
  <c r="I448" i="3"/>
  <c r="I437" i="3"/>
  <c r="I432" i="3"/>
  <c r="I421" i="3"/>
  <c r="I416" i="3"/>
  <c r="I405" i="3"/>
  <c r="I400" i="3"/>
  <c r="I389" i="3"/>
  <c r="I384" i="3"/>
  <c r="I358" i="3"/>
  <c r="I347" i="3"/>
  <c r="I535" i="3"/>
  <c r="I499" i="3"/>
  <c r="I494" i="3"/>
  <c r="I483" i="3"/>
  <c r="I478" i="3"/>
  <c r="I467" i="3"/>
  <c r="I462" i="3"/>
  <c r="I451" i="3"/>
  <c r="I446" i="3"/>
  <c r="I435" i="3"/>
  <c r="I430" i="3"/>
  <c r="I419" i="3"/>
  <c r="I414" i="3"/>
  <c r="I403" i="3"/>
  <c r="I398" i="3"/>
  <c r="I387" i="3"/>
  <c r="I382" i="3"/>
  <c r="I366" i="3"/>
  <c r="I355" i="3"/>
  <c r="I555" i="3"/>
  <c r="I553" i="3"/>
  <c r="I551" i="3"/>
  <c r="I549" i="3"/>
  <c r="I547" i="3"/>
  <c r="I545" i="3"/>
  <c r="I543" i="3"/>
  <c r="I541" i="3"/>
  <c r="I539" i="3"/>
  <c r="I537" i="3"/>
  <c r="I532" i="3"/>
  <c r="I528" i="3"/>
  <c r="I524" i="3"/>
  <c r="I520" i="3"/>
  <c r="I516" i="3"/>
  <c r="I512" i="3"/>
  <c r="I508" i="3"/>
  <c r="I504" i="3"/>
  <c r="I493" i="3"/>
  <c r="I488" i="3"/>
  <c r="I477" i="3"/>
  <c r="I472" i="3"/>
  <c r="I461" i="3"/>
  <c r="I456" i="3"/>
  <c r="I445" i="3"/>
  <c r="I440" i="3"/>
  <c r="I429" i="3"/>
  <c r="I424" i="3"/>
  <c r="I413" i="3"/>
  <c r="I408" i="3"/>
  <c r="I397" i="3"/>
  <c r="I392" i="3"/>
  <c r="I381" i="3"/>
  <c r="I374" i="3"/>
  <c r="I363" i="3"/>
  <c r="I342" i="3"/>
  <c r="I376" i="3"/>
  <c r="I373" i="3"/>
  <c r="I368" i="3"/>
  <c r="I365" i="3"/>
  <c r="I360" i="3"/>
  <c r="I357" i="3"/>
  <c r="I352" i="3"/>
  <c r="I349" i="3"/>
  <c r="I344" i="3"/>
  <c r="I341" i="3"/>
  <c r="I336" i="3"/>
  <c r="I333" i="3"/>
  <c r="I328" i="3"/>
  <c r="I325" i="3"/>
  <c r="I320" i="3"/>
  <c r="I317" i="3"/>
  <c r="I312" i="3"/>
  <c r="I309" i="3"/>
  <c r="I304" i="3"/>
  <c r="I301" i="3"/>
  <c r="I296" i="3"/>
  <c r="I503" i="3"/>
  <c r="I498" i="3"/>
  <c r="I495" i="3"/>
  <c r="I490" i="3"/>
  <c r="I487" i="3"/>
  <c r="I482" i="3"/>
  <c r="I479" i="3"/>
  <c r="I474" i="3"/>
  <c r="I471" i="3"/>
  <c r="I466" i="3"/>
  <c r="I463" i="3"/>
  <c r="I458" i="3"/>
  <c r="I455" i="3"/>
  <c r="I450" i="3"/>
  <c r="I447" i="3"/>
  <c r="I442" i="3"/>
  <c r="I439" i="3"/>
  <c r="I434" i="3"/>
  <c r="I431" i="3"/>
  <c r="I426" i="3"/>
  <c r="I423" i="3"/>
  <c r="I418" i="3"/>
  <c r="I415" i="3"/>
  <c r="I410" i="3"/>
  <c r="I407" i="3"/>
  <c r="I402" i="3"/>
  <c r="I399" i="3"/>
  <c r="I394" i="3"/>
  <c r="I391" i="3"/>
  <c r="I386" i="3"/>
  <c r="I383" i="3"/>
  <c r="I378" i="3"/>
  <c r="I375" i="3"/>
  <c r="I370" i="3"/>
  <c r="I367" i="3"/>
  <c r="I362" i="3"/>
  <c r="I359" i="3"/>
  <c r="I354" i="3"/>
  <c r="I351" i="3"/>
  <c r="I346" i="3"/>
  <c r="I343" i="3"/>
  <c r="I338" i="3"/>
  <c r="I335" i="3"/>
  <c r="I330" i="3"/>
  <c r="I327" i="3"/>
  <c r="I322" i="3"/>
  <c r="I319" i="3"/>
  <c r="I314" i="3"/>
  <c r="I311" i="3"/>
  <c r="I306" i="3"/>
  <c r="I303" i="3"/>
  <c r="I298" i="3"/>
  <c r="I295" i="3"/>
  <c r="I291" i="3"/>
  <c r="I287" i="3"/>
  <c r="I283" i="3"/>
  <c r="I279" i="3"/>
  <c r="I275" i="3"/>
  <c r="I271" i="3"/>
  <c r="I267" i="3"/>
  <c r="I263" i="3"/>
  <c r="I259" i="3"/>
  <c r="I255" i="3"/>
  <c r="I251" i="3"/>
  <c r="I531" i="3"/>
  <c r="I529" i="3"/>
  <c r="I527" i="3"/>
  <c r="I525" i="3"/>
  <c r="I523" i="3"/>
  <c r="I521" i="3"/>
  <c r="I519" i="3"/>
  <c r="I517" i="3"/>
  <c r="I515" i="3"/>
  <c r="I513" i="3"/>
  <c r="I511" i="3"/>
  <c r="I509" i="3"/>
  <c r="I507" i="3"/>
  <c r="I505" i="3"/>
  <c r="I500" i="3"/>
  <c r="I497" i="3"/>
  <c r="I492" i="3"/>
  <c r="I489" i="3"/>
  <c r="I484" i="3"/>
  <c r="I481" i="3"/>
  <c r="I476" i="3"/>
  <c r="I473" i="3"/>
  <c r="I468" i="3"/>
  <c r="I465" i="3"/>
  <c r="I460" i="3"/>
  <c r="I457" i="3"/>
  <c r="I452" i="3"/>
  <c r="I449" i="3"/>
  <c r="I444" i="3"/>
  <c r="I441" i="3"/>
  <c r="I436" i="3"/>
  <c r="I433" i="3"/>
  <c r="I428" i="3"/>
  <c r="I425" i="3"/>
  <c r="I420" i="3"/>
  <c r="I417" i="3"/>
  <c r="I412" i="3"/>
  <c r="I409" i="3"/>
  <c r="I404" i="3"/>
  <c r="I401" i="3"/>
  <c r="I396" i="3"/>
  <c r="I393" i="3"/>
  <c r="I388" i="3"/>
  <c r="I385" i="3"/>
  <c r="I380" i="3"/>
  <c r="I377" i="3"/>
  <c r="I372" i="3"/>
  <c r="I369" i="3"/>
  <c r="I364" i="3"/>
  <c r="I361" i="3"/>
  <c r="I356" i="3"/>
  <c r="I353" i="3"/>
  <c r="I348" i="3"/>
  <c r="I345" i="3"/>
  <c r="I340" i="3"/>
  <c r="I337" i="3"/>
  <c r="I332" i="3"/>
  <c r="I329" i="3"/>
  <c r="I324" i="3"/>
  <c r="I321" i="3"/>
  <c r="I316" i="3"/>
  <c r="I313" i="3"/>
  <c r="I308" i="3"/>
  <c r="I305" i="3"/>
  <c r="I300" i="3"/>
  <c r="I297" i="3"/>
  <c r="I339" i="3"/>
  <c r="I334" i="3"/>
  <c r="I331" i="3"/>
  <c r="I326" i="3"/>
  <c r="I323" i="3"/>
  <c r="I318" i="3"/>
  <c r="I315" i="3"/>
  <c r="I310" i="3"/>
  <c r="I307" i="3"/>
  <c r="I302" i="3"/>
  <c r="I299" i="3"/>
  <c r="I293" i="3"/>
  <c r="I289" i="3"/>
  <c r="I285" i="3"/>
  <c r="I281" i="3"/>
  <c r="I277" i="3"/>
  <c r="I273" i="3"/>
  <c r="I269" i="3"/>
  <c r="I265" i="3"/>
  <c r="I261" i="3"/>
  <c r="I257" i="3"/>
  <c r="I253" i="3"/>
  <c r="I196" i="3"/>
  <c r="I193" i="3"/>
  <c r="I188" i="3"/>
  <c r="I185" i="3"/>
  <c r="I180" i="3"/>
  <c r="I177" i="3"/>
  <c r="I172" i="3"/>
  <c r="I169" i="3"/>
  <c r="I164" i="3"/>
  <c r="I161" i="3"/>
  <c r="I158" i="3"/>
  <c r="I154" i="3"/>
  <c r="I150" i="3"/>
  <c r="I146" i="3"/>
  <c r="I142" i="3"/>
  <c r="I138" i="3"/>
  <c r="I134" i="3"/>
  <c r="I130" i="3"/>
  <c r="I294" i="3"/>
  <c r="I292" i="3"/>
  <c r="I290" i="3"/>
  <c r="I288" i="3"/>
  <c r="I286" i="3"/>
  <c r="I284" i="3"/>
  <c r="I282" i="3"/>
  <c r="I280" i="3"/>
  <c r="I278" i="3"/>
  <c r="I276" i="3"/>
  <c r="I274" i="3"/>
  <c r="I272" i="3"/>
  <c r="I270" i="3"/>
  <c r="I268" i="3"/>
  <c r="I266" i="3"/>
  <c r="I264" i="3"/>
  <c r="I262" i="3"/>
  <c r="I260" i="3"/>
  <c r="I258" i="3"/>
  <c r="I256" i="3"/>
  <c r="I254" i="3"/>
  <c r="I252" i="3"/>
  <c r="I250" i="3"/>
  <c r="I248" i="3"/>
  <c r="I246" i="3"/>
  <c r="I244" i="3"/>
  <c r="I242" i="3"/>
  <c r="I240" i="3"/>
  <c r="I238" i="3"/>
  <c r="I236" i="3"/>
  <c r="I234" i="3"/>
  <c r="I232" i="3"/>
  <c r="I230" i="3"/>
  <c r="I228" i="3"/>
  <c r="I226" i="3"/>
  <c r="I224" i="3"/>
  <c r="I222" i="3"/>
  <c r="I220" i="3"/>
  <c r="I218" i="3"/>
  <c r="I216" i="3"/>
  <c r="I214" i="3"/>
  <c r="I212" i="3"/>
  <c r="I210" i="3"/>
  <c r="I208" i="3"/>
  <c r="I206" i="3"/>
  <c r="I204" i="3"/>
  <c r="I202" i="3"/>
  <c r="I200" i="3"/>
  <c r="I198" i="3"/>
  <c r="I195" i="3"/>
  <c r="I190" i="3"/>
  <c r="I187" i="3"/>
  <c r="I182" i="3"/>
  <c r="I179" i="3"/>
  <c r="I174" i="3"/>
  <c r="I171" i="3"/>
  <c r="I166" i="3"/>
  <c r="I163" i="3"/>
  <c r="I157" i="3"/>
  <c r="I153" i="3"/>
  <c r="I149" i="3"/>
  <c r="I145" i="3"/>
  <c r="I141" i="3"/>
  <c r="I137" i="3"/>
  <c r="I133" i="3"/>
  <c r="I129" i="3"/>
  <c r="I197" i="3"/>
  <c r="I192" i="3"/>
  <c r="I189" i="3"/>
  <c r="I184" i="3"/>
  <c r="I181" i="3"/>
  <c r="I176" i="3"/>
  <c r="I173" i="3"/>
  <c r="I168" i="3"/>
  <c r="I165" i="3"/>
  <c r="I160" i="3"/>
  <c r="I156" i="3"/>
  <c r="I152" i="3"/>
  <c r="I148" i="3"/>
  <c r="I144" i="3"/>
  <c r="I140" i="3"/>
  <c r="I136" i="3"/>
  <c r="I132" i="3"/>
  <c r="I128" i="3"/>
  <c r="I249" i="3"/>
  <c r="I247" i="3"/>
  <c r="I245" i="3"/>
  <c r="I243" i="3"/>
  <c r="I241" i="3"/>
  <c r="I239" i="3"/>
  <c r="I237" i="3"/>
  <c r="I235" i="3"/>
  <c r="I233" i="3"/>
  <c r="I231" i="3"/>
  <c r="I229" i="3"/>
  <c r="I227" i="3"/>
  <c r="I225" i="3"/>
  <c r="I223" i="3"/>
  <c r="I221" i="3"/>
  <c r="I219" i="3"/>
  <c r="I217" i="3"/>
  <c r="I215" i="3"/>
  <c r="I213" i="3"/>
  <c r="I211" i="3"/>
  <c r="I209" i="3"/>
  <c r="I207" i="3"/>
  <c r="I205" i="3"/>
  <c r="I203" i="3"/>
  <c r="I201" i="3"/>
  <c r="I199" i="3"/>
  <c r="I194" i="3"/>
  <c r="I191" i="3"/>
  <c r="I186" i="3"/>
  <c r="I183" i="3"/>
  <c r="I178" i="3"/>
  <c r="I175" i="3"/>
  <c r="I170" i="3"/>
  <c r="I167" i="3"/>
  <c r="I162" i="3"/>
  <c r="I159" i="3"/>
  <c r="I155" i="3"/>
  <c r="I151" i="3"/>
  <c r="I147" i="3"/>
  <c r="I143" i="3"/>
  <c r="I139" i="3"/>
  <c r="I135" i="3"/>
  <c r="I131" i="3"/>
  <c r="I127" i="3"/>
  <c r="I126" i="3"/>
  <c r="I124" i="3"/>
  <c r="I122" i="3"/>
  <c r="I120" i="3"/>
  <c r="I118" i="3"/>
  <c r="I116" i="3"/>
  <c r="I114" i="3"/>
  <c r="I112" i="3"/>
  <c r="I110" i="3"/>
  <c r="I108" i="3"/>
  <c r="I106" i="3"/>
  <c r="I104" i="3"/>
  <c r="I102" i="3"/>
  <c r="I100" i="3"/>
  <c r="I98" i="3"/>
  <c r="I96" i="3"/>
  <c r="I94" i="3"/>
  <c r="I92" i="3"/>
  <c r="I90" i="3"/>
  <c r="I88" i="3"/>
  <c r="I86" i="3"/>
  <c r="I84" i="3"/>
  <c r="I82" i="3"/>
  <c r="I80" i="3"/>
  <c r="I78" i="3"/>
  <c r="I76" i="3"/>
  <c r="I74" i="3"/>
  <c r="I72" i="3"/>
  <c r="I70" i="3"/>
  <c r="I68" i="3"/>
  <c r="I66" i="3"/>
  <c r="I64" i="3"/>
  <c r="I62" i="3"/>
  <c r="I60" i="3"/>
  <c r="I58" i="3"/>
  <c r="I56" i="3"/>
  <c r="I54" i="3"/>
  <c r="I52" i="3"/>
  <c r="I50" i="3"/>
  <c r="I48" i="3"/>
  <c r="I46" i="3"/>
  <c r="I44" i="3"/>
  <c r="I42" i="3"/>
  <c r="I40" i="3"/>
  <c r="I38" i="3"/>
  <c r="I36" i="3"/>
  <c r="I34" i="3"/>
  <c r="I32" i="3"/>
  <c r="I30" i="3"/>
  <c r="I125" i="3"/>
  <c r="I123" i="3"/>
  <c r="I121" i="3"/>
  <c r="I119" i="3"/>
  <c r="I117" i="3"/>
  <c r="I115" i="3"/>
  <c r="I113" i="3"/>
  <c r="I111" i="3"/>
  <c r="I109" i="3"/>
  <c r="I107" i="3"/>
  <c r="I105" i="3"/>
  <c r="I103" i="3"/>
  <c r="I101" i="3"/>
  <c r="I99" i="3"/>
  <c r="I97" i="3"/>
  <c r="I95" i="3"/>
  <c r="I93" i="3"/>
  <c r="I91" i="3"/>
  <c r="I89" i="3"/>
  <c r="I87" i="3"/>
  <c r="I85" i="3"/>
  <c r="I83" i="3"/>
  <c r="I81" i="3"/>
  <c r="I79" i="3"/>
  <c r="I77" i="3"/>
  <c r="I75" i="3"/>
  <c r="I73" i="3"/>
  <c r="I71" i="3"/>
  <c r="I69" i="3"/>
  <c r="I67" i="3"/>
  <c r="I65" i="3"/>
  <c r="I63" i="3"/>
  <c r="I61" i="3"/>
  <c r="I59" i="3"/>
  <c r="I57" i="3"/>
  <c r="I55" i="3"/>
  <c r="I53" i="3"/>
  <c r="I51" i="3"/>
  <c r="I49" i="3"/>
  <c r="I47" i="3"/>
  <c r="I45" i="3"/>
  <c r="I43" i="3"/>
  <c r="I41" i="3"/>
  <c r="I39" i="3"/>
  <c r="I37" i="3"/>
  <c r="I35" i="3"/>
  <c r="I33" i="3"/>
  <c r="I31" i="3"/>
  <c r="I29" i="3"/>
  <c r="I2" i="3"/>
  <c r="I27" i="3"/>
  <c r="I25" i="3"/>
  <c r="I28" i="3"/>
  <c r="I26" i="3"/>
  <c r="I24" i="3"/>
  <c r="I5" i="3"/>
  <c r="I23" i="3"/>
  <c r="I21" i="3"/>
  <c r="I19" i="3"/>
  <c r="I17" i="3"/>
  <c r="I15" i="3"/>
  <c r="I13" i="3"/>
  <c r="I11" i="3"/>
  <c r="I9" i="3"/>
  <c r="I7" i="3"/>
  <c r="I3" i="3"/>
  <c r="I22" i="3"/>
  <c r="I20" i="3"/>
  <c r="I18" i="3"/>
  <c r="I16" i="3"/>
  <c r="I14" i="3"/>
  <c r="I12" i="3"/>
  <c r="I10" i="3"/>
  <c r="I8" i="3"/>
  <c r="I6" i="3"/>
  <c r="I4" i="3"/>
  <c r="H2001" i="3"/>
  <c r="H1997" i="3"/>
  <c r="H1993" i="3"/>
  <c r="H1989" i="3"/>
  <c r="H1985" i="3"/>
  <c r="H1981" i="3"/>
  <c r="H1977" i="3"/>
  <c r="H1973" i="3"/>
  <c r="H1969" i="3"/>
  <c r="H1965" i="3"/>
  <c r="H1961" i="3"/>
  <c r="H1957" i="3"/>
  <c r="H1953" i="3"/>
  <c r="H1949" i="3"/>
  <c r="H1945" i="3"/>
  <c r="H1941" i="3"/>
  <c r="H1937" i="3"/>
  <c r="H1933" i="3"/>
  <c r="H1929" i="3"/>
  <c r="H1925" i="3"/>
  <c r="H1921" i="3"/>
  <c r="H1917" i="3"/>
  <c r="H1913" i="3"/>
  <c r="H1909" i="3"/>
  <c r="H1905" i="3"/>
  <c r="H1901" i="3"/>
  <c r="H1897" i="3"/>
  <c r="H1893" i="3"/>
  <c r="H1889" i="3"/>
  <c r="H1885" i="3"/>
  <c r="H1883" i="3"/>
  <c r="H1879" i="3"/>
  <c r="H1875" i="3"/>
  <c r="H1871" i="3"/>
  <c r="H1867" i="3"/>
  <c r="H1863" i="3"/>
  <c r="H1859" i="3"/>
  <c r="H1855" i="3"/>
  <c r="H1851" i="3"/>
  <c r="H1847" i="3"/>
  <c r="H1843" i="3"/>
  <c r="H1839" i="3"/>
  <c r="H1835" i="3"/>
  <c r="H1831" i="3"/>
  <c r="H1827" i="3"/>
  <c r="H1823" i="3"/>
  <c r="H1819" i="3"/>
  <c r="H1815" i="3"/>
  <c r="H1811" i="3"/>
  <c r="H1807" i="3"/>
  <c r="H1803" i="3"/>
  <c r="H1799" i="3"/>
  <c r="H1795" i="3"/>
  <c r="H1791" i="3"/>
  <c r="H1787" i="3"/>
  <c r="H1783" i="3"/>
  <c r="H1779" i="3"/>
  <c r="H1775" i="3"/>
  <c r="H1771" i="3"/>
  <c r="H1767" i="3"/>
  <c r="H1763" i="3"/>
  <c r="H1759" i="3"/>
  <c r="H1757" i="3"/>
  <c r="H1753" i="3"/>
  <c r="H1749" i="3"/>
  <c r="H1745" i="3"/>
  <c r="H1741" i="3"/>
  <c r="H1737" i="3"/>
  <c r="H1733" i="3"/>
  <c r="H1729" i="3"/>
  <c r="H1725" i="3"/>
  <c r="H1721" i="3"/>
  <c r="H1717" i="3"/>
  <c r="H1713" i="3"/>
  <c r="H1709" i="3"/>
  <c r="H1705" i="3"/>
  <c r="H1701" i="3"/>
  <c r="H1699" i="3"/>
  <c r="H1695" i="3"/>
  <c r="H1691" i="3"/>
  <c r="H1687" i="3"/>
  <c r="H1683" i="3"/>
  <c r="H1679" i="3"/>
  <c r="H1675" i="3"/>
  <c r="H1671" i="3"/>
  <c r="H1669" i="3"/>
  <c r="H1665" i="3"/>
  <c r="H1661" i="3"/>
  <c r="H1655" i="3"/>
  <c r="H1641" i="3"/>
  <c r="H1486" i="3"/>
  <c r="H1483" i="3"/>
  <c r="H1480" i="3"/>
  <c r="H1476" i="3"/>
  <c r="H1472" i="3"/>
  <c r="H1468" i="3"/>
  <c r="H1464" i="3"/>
  <c r="H1460" i="3"/>
  <c r="H1456" i="3"/>
  <c r="H1452" i="3"/>
  <c r="H1448" i="3"/>
  <c r="H1444" i="3"/>
  <c r="H1440" i="3"/>
  <c r="H1436" i="3"/>
  <c r="H1432" i="3"/>
  <c r="H1428" i="3"/>
  <c r="H1424" i="3"/>
  <c r="H1420" i="3"/>
  <c r="H1416" i="3"/>
  <c r="H1412" i="3"/>
  <c r="H1408" i="3"/>
  <c r="H1404" i="3"/>
  <c r="H1400" i="3"/>
  <c r="H1396" i="3"/>
  <c r="H1392" i="3"/>
  <c r="H1388" i="3"/>
  <c r="H1384" i="3"/>
  <c r="H1380" i="3"/>
  <c r="H1376" i="3"/>
  <c r="H1372" i="3"/>
  <c r="H1368" i="3"/>
  <c r="H2000" i="3"/>
  <c r="H1996" i="3"/>
  <c r="H1992" i="3"/>
  <c r="H1988" i="3"/>
  <c r="H1984" i="3"/>
  <c r="H1980" i="3"/>
  <c r="H1976" i="3"/>
  <c r="H1972" i="3"/>
  <c r="H1968" i="3"/>
  <c r="H1964" i="3"/>
  <c r="H1960" i="3"/>
  <c r="H1956" i="3"/>
  <c r="H1952" i="3"/>
  <c r="H1948" i="3"/>
  <c r="H1944" i="3"/>
  <c r="H1940" i="3"/>
  <c r="H1936" i="3"/>
  <c r="H1932" i="3"/>
  <c r="H1928" i="3"/>
  <c r="H1924" i="3"/>
  <c r="H1920" i="3"/>
  <c r="H1916" i="3"/>
  <c r="H1912" i="3"/>
  <c r="H1908" i="3"/>
  <c r="H1904" i="3"/>
  <c r="H1900" i="3"/>
  <c r="H1896" i="3"/>
  <c r="H1890" i="3"/>
  <c r="H1886" i="3"/>
  <c r="H1882" i="3"/>
  <c r="H1878" i="3"/>
  <c r="H1874" i="3"/>
  <c r="H1870" i="3"/>
  <c r="H1866" i="3"/>
  <c r="H1862" i="3"/>
  <c r="H1858" i="3"/>
  <c r="H1854" i="3"/>
  <c r="H1850" i="3"/>
  <c r="H1846" i="3"/>
  <c r="H1842" i="3"/>
  <c r="H1838" i="3"/>
  <c r="H1834" i="3"/>
  <c r="H1830" i="3"/>
  <c r="H1826" i="3"/>
  <c r="H1822" i="3"/>
  <c r="H1818" i="3"/>
  <c r="H1814" i="3"/>
  <c r="H1810" i="3"/>
  <c r="H1806" i="3"/>
  <c r="H1802" i="3"/>
  <c r="H1798" i="3"/>
  <c r="H1794" i="3"/>
  <c r="H1790" i="3"/>
  <c r="H1786" i="3"/>
  <c r="H1782" i="3"/>
  <c r="H1778" i="3"/>
  <c r="H1774" i="3"/>
  <c r="H1770" i="3"/>
  <c r="H1766" i="3"/>
  <c r="H1762" i="3"/>
  <c r="H1758" i="3"/>
  <c r="H1752" i="3"/>
  <c r="H1748" i="3"/>
  <c r="H1744" i="3"/>
  <c r="H1740" i="3"/>
  <c r="H1736" i="3"/>
  <c r="H1732" i="3"/>
  <c r="H1728" i="3"/>
  <c r="H1724" i="3"/>
  <c r="H1720" i="3"/>
  <c r="H1716" i="3"/>
  <c r="H1712" i="3"/>
  <c r="H1708" i="3"/>
  <c r="H1704" i="3"/>
  <c r="H1700" i="3"/>
  <c r="H1696" i="3"/>
  <c r="H1692" i="3"/>
  <c r="H1688" i="3"/>
  <c r="H1684" i="3"/>
  <c r="H1680" i="3"/>
  <c r="H1676" i="3"/>
  <c r="H1672" i="3"/>
  <c r="H1668" i="3"/>
  <c r="H1664" i="3"/>
  <c r="H1660" i="3"/>
  <c r="H1656" i="3"/>
  <c r="H1652" i="3"/>
  <c r="H1648" i="3"/>
  <c r="H1646" i="3"/>
  <c r="H1644" i="3"/>
  <c r="H1642" i="3"/>
  <c r="H1640" i="3"/>
  <c r="H1638" i="3"/>
  <c r="H1636" i="3"/>
  <c r="H1632" i="3"/>
  <c r="H1630" i="3"/>
  <c r="H1628" i="3"/>
  <c r="H1626" i="3"/>
  <c r="H1624" i="3"/>
  <c r="H1622" i="3"/>
  <c r="H1620" i="3"/>
  <c r="H1618" i="3"/>
  <c r="H1616" i="3"/>
  <c r="H1614" i="3"/>
  <c r="H1612" i="3"/>
  <c r="H1610" i="3"/>
  <c r="H1608" i="3"/>
  <c r="H1606" i="3"/>
  <c r="H1604" i="3"/>
  <c r="H1602" i="3"/>
  <c r="H1600" i="3"/>
  <c r="H1598" i="3"/>
  <c r="H1596" i="3"/>
  <c r="H1594" i="3"/>
  <c r="H1592" i="3"/>
  <c r="H1590" i="3"/>
  <c r="H1588" i="3"/>
  <c r="H1586" i="3"/>
  <c r="H1584" i="3"/>
  <c r="H1582" i="3"/>
  <c r="H1580" i="3"/>
  <c r="H1578" i="3"/>
  <c r="H1576" i="3"/>
  <c r="H1574" i="3"/>
  <c r="H1572" i="3"/>
  <c r="H1570" i="3"/>
  <c r="H1568" i="3"/>
  <c r="H1566" i="3"/>
  <c r="H1564" i="3"/>
  <c r="H1562" i="3"/>
  <c r="H1560" i="3"/>
  <c r="H1558" i="3"/>
  <c r="H1556" i="3"/>
  <c r="H1554" i="3"/>
  <c r="H1552" i="3"/>
  <c r="H1550" i="3"/>
  <c r="H1548" i="3"/>
  <c r="H1546" i="3"/>
  <c r="H1544" i="3"/>
  <c r="H1542" i="3"/>
  <c r="H1540" i="3"/>
  <c r="H1538" i="3"/>
  <c r="H1536" i="3"/>
  <c r="H1534" i="3"/>
  <c r="H1532" i="3"/>
  <c r="H1530" i="3"/>
  <c r="H1528" i="3"/>
  <c r="H1526" i="3"/>
  <c r="H1524" i="3"/>
  <c r="H1522" i="3"/>
  <c r="H1520" i="3"/>
  <c r="H1518" i="3"/>
  <c r="H1516" i="3"/>
  <c r="H1514" i="3"/>
  <c r="H1512" i="3"/>
  <c r="H1510" i="3"/>
  <c r="H1508" i="3"/>
  <c r="H1506" i="3"/>
  <c r="H1504" i="3"/>
  <c r="H1502" i="3"/>
  <c r="H1500" i="3"/>
  <c r="H1498" i="3"/>
  <c r="H1496" i="3"/>
  <c r="H1494" i="3"/>
  <c r="H1492" i="3"/>
  <c r="H1490" i="3"/>
  <c r="H1488" i="3"/>
  <c r="H1485" i="3"/>
  <c r="H1479" i="3"/>
  <c r="H1475" i="3"/>
  <c r="H1471" i="3"/>
  <c r="H1467" i="3"/>
  <c r="H1463" i="3"/>
  <c r="H1459" i="3"/>
  <c r="H1455" i="3"/>
  <c r="H1451" i="3"/>
  <c r="H1447" i="3"/>
  <c r="H1443" i="3"/>
  <c r="H1439" i="3"/>
  <c r="H1435" i="3"/>
  <c r="H1431" i="3"/>
  <c r="H1427" i="3"/>
  <c r="H1423" i="3"/>
  <c r="H1419" i="3"/>
  <c r="H1415" i="3"/>
  <c r="H1411" i="3"/>
  <c r="H1407" i="3"/>
  <c r="H1403" i="3"/>
  <c r="H1399" i="3"/>
  <c r="H1395" i="3"/>
  <c r="H1391" i="3"/>
  <c r="H1387" i="3"/>
  <c r="H1383" i="3"/>
  <c r="H1379" i="3"/>
  <c r="H1375" i="3"/>
  <c r="H1371" i="3"/>
  <c r="H1367" i="3"/>
  <c r="H1998" i="3"/>
  <c r="H1994" i="3"/>
  <c r="H1990" i="3"/>
  <c r="H1986" i="3"/>
  <c r="H1982" i="3"/>
  <c r="H1978" i="3"/>
  <c r="H1974" i="3"/>
  <c r="H1970" i="3"/>
  <c r="H1966" i="3"/>
  <c r="H1962" i="3"/>
  <c r="H1958" i="3"/>
  <c r="H1954" i="3"/>
  <c r="H1950" i="3"/>
  <c r="H1946" i="3"/>
  <c r="H1942" i="3"/>
  <c r="H1938" i="3"/>
  <c r="H1934" i="3"/>
  <c r="H1930" i="3"/>
  <c r="H1926" i="3"/>
  <c r="H1922" i="3"/>
  <c r="H1918" i="3"/>
  <c r="H1914" i="3"/>
  <c r="H1910" i="3"/>
  <c r="H1906" i="3"/>
  <c r="H1902" i="3"/>
  <c r="H1898" i="3"/>
  <c r="H1894" i="3"/>
  <c r="H1892" i="3"/>
  <c r="H1888" i="3"/>
  <c r="H1884" i="3"/>
  <c r="H1880" i="3"/>
  <c r="H1876" i="3"/>
  <c r="H1872" i="3"/>
  <c r="H1868" i="3"/>
  <c r="H1864" i="3"/>
  <c r="H1860" i="3"/>
  <c r="H1856" i="3"/>
  <c r="H1852" i="3"/>
  <c r="H1848" i="3"/>
  <c r="H1844" i="3"/>
  <c r="H1840" i="3"/>
  <c r="H1836" i="3"/>
  <c r="H1832" i="3"/>
  <c r="H1828" i="3"/>
  <c r="H1824" i="3"/>
  <c r="H1820" i="3"/>
  <c r="H1816" i="3"/>
  <c r="H1812" i="3"/>
  <c r="H1808" i="3"/>
  <c r="H1804" i="3"/>
  <c r="H1800" i="3"/>
  <c r="H1796" i="3"/>
  <c r="H1792" i="3"/>
  <c r="H1788" i="3"/>
  <c r="H1784" i="3"/>
  <c r="H1780" i="3"/>
  <c r="H1776" i="3"/>
  <c r="H1772" i="3"/>
  <c r="H1768" i="3"/>
  <c r="H1764" i="3"/>
  <c r="H1760" i="3"/>
  <c r="H1756" i="3"/>
  <c r="H1754" i="3"/>
  <c r="H1750" i="3"/>
  <c r="H1746" i="3"/>
  <c r="H1742" i="3"/>
  <c r="H1738" i="3"/>
  <c r="H1734" i="3"/>
  <c r="H1730" i="3"/>
  <c r="H1726" i="3"/>
  <c r="H1722" i="3"/>
  <c r="H1718" i="3"/>
  <c r="H1714" i="3"/>
  <c r="H1710" i="3"/>
  <c r="H1706" i="3"/>
  <c r="H1702" i="3"/>
  <c r="H1698" i="3"/>
  <c r="H1694" i="3"/>
  <c r="H1690" i="3"/>
  <c r="H1686" i="3"/>
  <c r="H1682" i="3"/>
  <c r="H1678" i="3"/>
  <c r="H1674" i="3"/>
  <c r="H1670" i="3"/>
  <c r="H1666" i="3"/>
  <c r="H1662" i="3"/>
  <c r="H1658" i="3"/>
  <c r="H1654" i="3"/>
  <c r="H1650" i="3"/>
  <c r="H1634" i="3"/>
  <c r="H1487" i="3"/>
  <c r="H1482" i="3"/>
  <c r="H1478" i="3"/>
  <c r="H1474" i="3"/>
  <c r="H1470" i="3"/>
  <c r="H1466" i="3"/>
  <c r="H1462" i="3"/>
  <c r="H1458" i="3"/>
  <c r="H1454" i="3"/>
  <c r="H1450" i="3"/>
  <c r="H1446" i="3"/>
  <c r="H1442" i="3"/>
  <c r="H1438" i="3"/>
  <c r="H1434" i="3"/>
  <c r="H1430" i="3"/>
  <c r="H1426" i="3"/>
  <c r="H1422" i="3"/>
  <c r="H1418" i="3"/>
  <c r="H1414" i="3"/>
  <c r="H1410" i="3"/>
  <c r="H1406" i="3"/>
  <c r="H1402" i="3"/>
  <c r="H1398" i="3"/>
  <c r="H1394" i="3"/>
  <c r="H1390" i="3"/>
  <c r="H1386" i="3"/>
  <c r="H1382" i="3"/>
  <c r="H1378" i="3"/>
  <c r="H1374" i="3"/>
  <c r="H1370" i="3"/>
  <c r="H1366" i="3"/>
  <c r="H1999" i="3"/>
  <c r="H1995" i="3"/>
  <c r="H1991" i="3"/>
  <c r="H1987" i="3"/>
  <c r="H1983" i="3"/>
  <c r="H1979" i="3"/>
  <c r="H1975" i="3"/>
  <c r="H1971" i="3"/>
  <c r="H1967" i="3"/>
  <c r="H1963" i="3"/>
  <c r="H1959" i="3"/>
  <c r="H1955" i="3"/>
  <c r="H1951" i="3"/>
  <c r="H1947" i="3"/>
  <c r="H1943" i="3"/>
  <c r="H1939" i="3"/>
  <c r="H1935" i="3"/>
  <c r="H1931" i="3"/>
  <c r="H1927" i="3"/>
  <c r="H1923" i="3"/>
  <c r="H1919" i="3"/>
  <c r="H1915" i="3"/>
  <c r="H1911" i="3"/>
  <c r="H1907" i="3"/>
  <c r="H1903" i="3"/>
  <c r="H1899" i="3"/>
  <c r="H1895" i="3"/>
  <c r="H1891" i="3"/>
  <c r="H1887" i="3"/>
  <c r="H1881" i="3"/>
  <c r="H1877" i="3"/>
  <c r="H1873" i="3"/>
  <c r="H1869" i="3"/>
  <c r="H1865" i="3"/>
  <c r="H1861" i="3"/>
  <c r="H1857" i="3"/>
  <c r="H1853" i="3"/>
  <c r="H1849" i="3"/>
  <c r="H1845" i="3"/>
  <c r="H1841" i="3"/>
  <c r="H1837" i="3"/>
  <c r="H1833" i="3"/>
  <c r="H1829" i="3"/>
  <c r="H1825" i="3"/>
  <c r="H1821" i="3"/>
  <c r="H1817" i="3"/>
  <c r="H1813" i="3"/>
  <c r="H1809" i="3"/>
  <c r="H1805" i="3"/>
  <c r="H1801" i="3"/>
  <c r="H1797" i="3"/>
  <c r="H1793" i="3"/>
  <c r="H1789" i="3"/>
  <c r="H1785" i="3"/>
  <c r="H1781" i="3"/>
  <c r="H1777" i="3"/>
  <c r="H1773" i="3"/>
  <c r="H1769" i="3"/>
  <c r="H1765" i="3"/>
  <c r="H1761" i="3"/>
  <c r="H1755" i="3"/>
  <c r="H1751" i="3"/>
  <c r="H1747" i="3"/>
  <c r="H1743" i="3"/>
  <c r="H1739" i="3"/>
  <c r="H1735" i="3"/>
  <c r="H1731" i="3"/>
  <c r="H1727" i="3"/>
  <c r="H1723" i="3"/>
  <c r="H1719" i="3"/>
  <c r="H1715" i="3"/>
  <c r="H1711" i="3"/>
  <c r="H1707" i="3"/>
  <c r="H1703" i="3"/>
  <c r="H1697" i="3"/>
  <c r="H1693" i="3"/>
  <c r="H1689" i="3"/>
  <c r="H1685" i="3"/>
  <c r="H1681" i="3"/>
  <c r="H1677" i="3"/>
  <c r="H1673" i="3"/>
  <c r="H1667" i="3"/>
  <c r="H1663" i="3"/>
  <c r="H1659" i="3"/>
  <c r="H1657" i="3"/>
  <c r="H1653" i="3"/>
  <c r="H1651" i="3"/>
  <c r="H1649" i="3"/>
  <c r="H1647" i="3"/>
  <c r="H1645" i="3"/>
  <c r="H1643" i="3"/>
  <c r="H1639" i="3"/>
  <c r="H1637" i="3"/>
  <c r="H1635" i="3"/>
  <c r="H1633" i="3"/>
  <c r="H1631" i="3"/>
  <c r="H1629" i="3"/>
  <c r="H1627" i="3"/>
  <c r="H1625" i="3"/>
  <c r="H1623" i="3"/>
  <c r="H1621" i="3"/>
  <c r="H1619" i="3"/>
  <c r="H1617" i="3"/>
  <c r="H1615" i="3"/>
  <c r="H1613" i="3"/>
  <c r="H1611" i="3"/>
  <c r="H1609" i="3"/>
  <c r="H1607" i="3"/>
  <c r="H1605" i="3"/>
  <c r="H1603" i="3"/>
  <c r="H1601" i="3"/>
  <c r="H1599" i="3"/>
  <c r="H1597" i="3"/>
  <c r="H1595" i="3"/>
  <c r="H1593" i="3"/>
  <c r="H1591" i="3"/>
  <c r="H1589" i="3"/>
  <c r="H1587" i="3"/>
  <c r="H1585" i="3"/>
  <c r="H1583" i="3"/>
  <c r="H1581" i="3"/>
  <c r="H1579" i="3"/>
  <c r="H1577" i="3"/>
  <c r="H1575" i="3"/>
  <c r="H1573" i="3"/>
  <c r="H1571" i="3"/>
  <c r="H1569" i="3"/>
  <c r="H1567" i="3"/>
  <c r="H1565" i="3"/>
  <c r="H1563" i="3"/>
  <c r="H1561" i="3"/>
  <c r="H1559" i="3"/>
  <c r="H1557" i="3"/>
  <c r="H1555" i="3"/>
  <c r="H1553" i="3"/>
  <c r="H1551" i="3"/>
  <c r="H1549" i="3"/>
  <c r="H1547" i="3"/>
  <c r="H1545" i="3"/>
  <c r="H1543" i="3"/>
  <c r="H1541" i="3"/>
  <c r="H1539" i="3"/>
  <c r="H1537" i="3"/>
  <c r="H1535" i="3"/>
  <c r="H1533" i="3"/>
  <c r="H1531" i="3"/>
  <c r="H1529" i="3"/>
  <c r="H1527" i="3"/>
  <c r="H1525" i="3"/>
  <c r="H1523" i="3"/>
  <c r="H1521" i="3"/>
  <c r="H1519" i="3"/>
  <c r="H1517" i="3"/>
  <c r="H1515" i="3"/>
  <c r="H1513" i="3"/>
  <c r="H1511" i="3"/>
  <c r="H1509" i="3"/>
  <c r="H1507" i="3"/>
  <c r="H1505" i="3"/>
  <c r="H1503" i="3"/>
  <c r="H1501" i="3"/>
  <c r="H1499" i="3"/>
  <c r="H1497" i="3"/>
  <c r="H1495" i="3"/>
  <c r="H1493" i="3"/>
  <c r="H1491" i="3"/>
  <c r="H1489" i="3"/>
  <c r="H1484" i="3"/>
  <c r="H1481" i="3"/>
  <c r="H1477" i="3"/>
  <c r="H1473" i="3"/>
  <c r="H1469" i="3"/>
  <c r="H1465" i="3"/>
  <c r="H1461" i="3"/>
  <c r="H1457" i="3"/>
  <c r="H1453" i="3"/>
  <c r="H1449" i="3"/>
  <c r="H1445" i="3"/>
  <c r="H1441" i="3"/>
  <c r="H1437" i="3"/>
  <c r="H1433" i="3"/>
  <c r="H1429" i="3"/>
  <c r="H1425" i="3"/>
  <c r="H1421" i="3"/>
  <c r="H1417" i="3"/>
  <c r="H1413" i="3"/>
  <c r="H1409" i="3"/>
  <c r="H1405" i="3"/>
  <c r="H1401" i="3"/>
  <c r="H1397" i="3"/>
  <c r="H1393" i="3"/>
  <c r="H1389" i="3"/>
  <c r="H1385" i="3"/>
  <c r="H1381" i="3"/>
  <c r="H1377" i="3"/>
  <c r="H1373" i="3"/>
  <c r="H1369" i="3"/>
  <c r="H1365" i="3"/>
  <c r="H1364" i="3"/>
  <c r="H1362" i="3"/>
  <c r="H1360" i="3"/>
  <c r="H1358" i="3"/>
  <c r="H1356" i="3"/>
  <c r="H1354" i="3"/>
  <c r="H1352" i="3"/>
  <c r="H1350" i="3"/>
  <c r="H1348" i="3"/>
  <c r="H1346" i="3"/>
  <c r="H1344" i="3"/>
  <c r="H1342" i="3"/>
  <c r="H1340" i="3"/>
  <c r="H1338" i="3"/>
  <c r="H1336" i="3"/>
  <c r="H1334" i="3"/>
  <c r="H1332" i="3"/>
  <c r="H1330" i="3"/>
  <c r="H1328" i="3"/>
  <c r="H1326" i="3"/>
  <c r="H1324" i="3"/>
  <c r="H1322" i="3"/>
  <c r="H1320" i="3"/>
  <c r="H1318" i="3"/>
  <c r="H1316" i="3"/>
  <c r="H1314" i="3"/>
  <c r="H1312" i="3"/>
  <c r="H1310" i="3"/>
  <c r="H1308" i="3"/>
  <c r="H1306" i="3"/>
  <c r="H1304" i="3"/>
  <c r="H1302" i="3"/>
  <c r="H1300" i="3"/>
  <c r="H1298" i="3"/>
  <c r="H1294" i="3"/>
  <c r="H1290" i="3"/>
  <c r="H1286" i="3"/>
  <c r="H1282" i="3"/>
  <c r="H1278" i="3"/>
  <c r="H1274" i="3"/>
  <c r="H1270" i="3"/>
  <c r="H1266" i="3"/>
  <c r="H1262" i="3"/>
  <c r="H1258" i="3"/>
  <c r="H1254" i="3"/>
  <c r="H1250" i="3"/>
  <c r="H1246" i="3"/>
  <c r="H1242" i="3"/>
  <c r="H1238" i="3"/>
  <c r="H1234" i="3"/>
  <c r="H1230" i="3"/>
  <c r="H1226" i="3"/>
  <c r="H1222" i="3"/>
  <c r="H1218" i="3"/>
  <c r="H1214" i="3"/>
  <c r="H1210" i="3"/>
  <c r="H1206" i="3"/>
  <c r="H1202" i="3"/>
  <c r="H1198" i="3"/>
  <c r="H1194" i="3"/>
  <c r="H1190" i="3"/>
  <c r="H1186" i="3"/>
  <c r="H1182" i="3"/>
  <c r="H1178" i="3"/>
  <c r="H1174" i="3"/>
  <c r="H1170" i="3"/>
  <c r="H1166" i="3"/>
  <c r="H1162" i="3"/>
  <c r="H1158" i="3"/>
  <c r="H1154" i="3"/>
  <c r="H1150" i="3"/>
  <c r="H1146" i="3"/>
  <c r="H1142" i="3"/>
  <c r="H1138" i="3"/>
  <c r="H1134" i="3"/>
  <c r="H1130" i="3"/>
  <c r="H1126" i="3"/>
  <c r="H1122" i="3"/>
  <c r="H1118" i="3"/>
  <c r="H1114" i="3"/>
  <c r="H1110" i="3"/>
  <c r="H1106" i="3"/>
  <c r="H1102" i="3"/>
  <c r="H1098" i="3"/>
  <c r="H1094" i="3"/>
  <c r="H1090" i="3"/>
  <c r="H1086" i="3"/>
  <c r="H1082" i="3"/>
  <c r="H1078" i="3"/>
  <c r="H1074" i="3"/>
  <c r="H1070" i="3"/>
  <c r="H1066" i="3"/>
  <c r="H1062" i="3"/>
  <c r="H1058" i="3"/>
  <c r="H1054" i="3"/>
  <c r="H1050" i="3"/>
  <c r="H1046" i="3"/>
  <c r="H1042" i="3"/>
  <c r="H1038" i="3"/>
  <c r="H1034" i="3"/>
  <c r="H1030" i="3"/>
  <c r="H1026" i="3"/>
  <c r="H1022" i="3"/>
  <c r="H1018" i="3"/>
  <c r="H1014" i="3"/>
  <c r="H1010" i="3"/>
  <c r="H1006" i="3"/>
  <c r="H1002" i="3"/>
  <c r="H998" i="3"/>
  <c r="H994" i="3"/>
  <c r="H990" i="3"/>
  <c r="H986" i="3"/>
  <c r="H982" i="3"/>
  <c r="H978" i="3"/>
  <c r="H974" i="3"/>
  <c r="H970" i="3"/>
  <c r="H966" i="3"/>
  <c r="H962" i="3"/>
  <c r="H958" i="3"/>
  <c r="H954" i="3"/>
  <c r="H950" i="3"/>
  <c r="H946" i="3"/>
  <c r="H942" i="3"/>
  <c r="H938" i="3"/>
  <c r="H934" i="3"/>
  <c r="H930" i="3"/>
  <c r="H926" i="3"/>
  <c r="H922" i="3"/>
  <c r="H918" i="3"/>
  <c r="H914" i="3"/>
  <c r="H910" i="3"/>
  <c r="H906" i="3"/>
  <c r="H902" i="3"/>
  <c r="H898" i="3"/>
  <c r="H894" i="3"/>
  <c r="H890" i="3"/>
  <c r="H886" i="3"/>
  <c r="H882" i="3"/>
  <c r="H878" i="3"/>
  <c r="H874" i="3"/>
  <c r="H870" i="3"/>
  <c r="H866" i="3"/>
  <c r="H862" i="3"/>
  <c r="H858" i="3"/>
  <c r="H854" i="3"/>
  <c r="H850" i="3"/>
  <c r="H1297" i="3"/>
  <c r="H1293" i="3"/>
  <c r="H1289" i="3"/>
  <c r="H1285" i="3"/>
  <c r="H1281" i="3"/>
  <c r="H1277" i="3"/>
  <c r="H1273" i="3"/>
  <c r="H1269" i="3"/>
  <c r="H1265" i="3"/>
  <c r="H1261" i="3"/>
  <c r="H1257" i="3"/>
  <c r="H1253" i="3"/>
  <c r="H1249" i="3"/>
  <c r="H1245" i="3"/>
  <c r="H1241" i="3"/>
  <c r="H1237" i="3"/>
  <c r="H1233" i="3"/>
  <c r="H1229" i="3"/>
  <c r="H1225" i="3"/>
  <c r="H1221" i="3"/>
  <c r="H1217" i="3"/>
  <c r="H1213" i="3"/>
  <c r="H1209" i="3"/>
  <c r="H1205" i="3"/>
  <c r="H1201" i="3"/>
  <c r="H1197" i="3"/>
  <c r="H1193" i="3"/>
  <c r="H1189" i="3"/>
  <c r="H1185" i="3"/>
  <c r="H1181" i="3"/>
  <c r="H1177" i="3"/>
  <c r="H1173" i="3"/>
  <c r="H1169" i="3"/>
  <c r="H1165" i="3"/>
  <c r="H1161" i="3"/>
  <c r="H1157" i="3"/>
  <c r="H1153" i="3"/>
  <c r="H1149" i="3"/>
  <c r="H1145" i="3"/>
  <c r="H1141" i="3"/>
  <c r="H1137" i="3"/>
  <c r="H1133" i="3"/>
  <c r="H1129" i="3"/>
  <c r="H1125" i="3"/>
  <c r="H1121" i="3"/>
  <c r="H1117" i="3"/>
  <c r="H1113" i="3"/>
  <c r="H1109" i="3"/>
  <c r="H1105" i="3"/>
  <c r="H1101" i="3"/>
  <c r="H1097" i="3"/>
  <c r="H1093" i="3"/>
  <c r="H1089" i="3"/>
  <c r="H1085" i="3"/>
  <c r="H1081" i="3"/>
  <c r="H1077" i="3"/>
  <c r="H1073" i="3"/>
  <c r="H1069" i="3"/>
  <c r="H1065" i="3"/>
  <c r="H1061" i="3"/>
  <c r="H1057" i="3"/>
  <c r="H1053" i="3"/>
  <c r="H1049" i="3"/>
  <c r="H1045" i="3"/>
  <c r="H1041" i="3"/>
  <c r="H1037" i="3"/>
  <c r="H1033" i="3"/>
  <c r="H1029" i="3"/>
  <c r="H1025" i="3"/>
  <c r="H1021" i="3"/>
  <c r="H1017" i="3"/>
  <c r="H1013" i="3"/>
  <c r="H1009" i="3"/>
  <c r="H1005" i="3"/>
  <c r="H1001" i="3"/>
  <c r="H997" i="3"/>
  <c r="H993" i="3"/>
  <c r="H989" i="3"/>
  <c r="H985" i="3"/>
  <c r="H981" i="3"/>
  <c r="H977" i="3"/>
  <c r="H973" i="3"/>
  <c r="H969" i="3"/>
  <c r="H965" i="3"/>
  <c r="H961" i="3"/>
  <c r="H957" i="3"/>
  <c r="H953" i="3"/>
  <c r="H949" i="3"/>
  <c r="H945" i="3"/>
  <c r="H941" i="3"/>
  <c r="H937" i="3"/>
  <c r="H933" i="3"/>
  <c r="H929" i="3"/>
  <c r="H925" i="3"/>
  <c r="H921" i="3"/>
  <c r="H917" i="3"/>
  <c r="H913" i="3"/>
  <c r="H909" i="3"/>
  <c r="H905" i="3"/>
  <c r="H901" i="3"/>
  <c r="H897" i="3"/>
  <c r="H893" i="3"/>
  <c r="H889" i="3"/>
  <c r="H885" i="3"/>
  <c r="H881" i="3"/>
  <c r="H877" i="3"/>
  <c r="H873" i="3"/>
  <c r="H869" i="3"/>
  <c r="H865" i="3"/>
  <c r="H861" i="3"/>
  <c r="H857" i="3"/>
  <c r="H853" i="3"/>
  <c r="H849" i="3"/>
  <c r="H1363" i="3"/>
  <c r="H1361" i="3"/>
  <c r="H1359" i="3"/>
  <c r="H1357" i="3"/>
  <c r="H1355" i="3"/>
  <c r="H1353" i="3"/>
  <c r="H1351" i="3"/>
  <c r="H1349" i="3"/>
  <c r="H1347" i="3"/>
  <c r="H1345" i="3"/>
  <c r="H1343" i="3"/>
  <c r="H1341" i="3"/>
  <c r="H1339" i="3"/>
  <c r="H1337" i="3"/>
  <c r="H1335" i="3"/>
  <c r="H1333" i="3"/>
  <c r="H1331" i="3"/>
  <c r="H1329" i="3"/>
  <c r="H1327" i="3"/>
  <c r="H1325" i="3"/>
  <c r="H1323" i="3"/>
  <c r="H1321" i="3"/>
  <c r="H1319" i="3"/>
  <c r="H1317" i="3"/>
  <c r="H1315" i="3"/>
  <c r="H1313" i="3"/>
  <c r="H1311" i="3"/>
  <c r="H1309" i="3"/>
  <c r="H1307" i="3"/>
  <c r="H1305" i="3"/>
  <c r="H1303" i="3"/>
  <c r="H1301" i="3"/>
  <c r="H1299" i="3"/>
  <c r="H1296" i="3"/>
  <c r="H1292" i="3"/>
  <c r="H1288" i="3"/>
  <c r="H1284" i="3"/>
  <c r="H1280" i="3"/>
  <c r="H1276" i="3"/>
  <c r="H1272" i="3"/>
  <c r="H1268" i="3"/>
  <c r="H1264" i="3"/>
  <c r="H1260" i="3"/>
  <c r="H1256" i="3"/>
  <c r="H1252" i="3"/>
  <c r="H1248" i="3"/>
  <c r="H1244" i="3"/>
  <c r="H1240" i="3"/>
  <c r="H1236" i="3"/>
  <c r="H1232" i="3"/>
  <c r="H1228" i="3"/>
  <c r="H1224" i="3"/>
  <c r="H1220" i="3"/>
  <c r="H1216" i="3"/>
  <c r="H1212" i="3"/>
  <c r="H1208" i="3"/>
  <c r="H1204" i="3"/>
  <c r="H1200" i="3"/>
  <c r="H1196" i="3"/>
  <c r="H1192" i="3"/>
  <c r="H1188" i="3"/>
  <c r="H1184" i="3"/>
  <c r="H1180" i="3"/>
  <c r="H1176" i="3"/>
  <c r="H1172" i="3"/>
  <c r="H1168" i="3"/>
  <c r="H1164" i="3"/>
  <c r="H1160" i="3"/>
  <c r="H1156" i="3"/>
  <c r="H1152" i="3"/>
  <c r="H1148" i="3"/>
  <c r="H1144" i="3"/>
  <c r="H1140" i="3"/>
  <c r="H1136" i="3"/>
  <c r="H1132" i="3"/>
  <c r="H1128" i="3"/>
  <c r="H1124" i="3"/>
  <c r="H1120" i="3"/>
  <c r="H1116" i="3"/>
  <c r="H1112" i="3"/>
  <c r="H1108" i="3"/>
  <c r="H1104" i="3"/>
  <c r="H1100" i="3"/>
  <c r="H1096" i="3"/>
  <c r="H1092" i="3"/>
  <c r="H1088" i="3"/>
  <c r="H1084" i="3"/>
  <c r="H1080" i="3"/>
  <c r="H1076" i="3"/>
  <c r="H1072" i="3"/>
  <c r="H1068" i="3"/>
  <c r="H1064" i="3"/>
  <c r="H1060" i="3"/>
  <c r="H1056" i="3"/>
  <c r="H1052" i="3"/>
  <c r="H1048" i="3"/>
  <c r="H1044" i="3"/>
  <c r="H1040" i="3"/>
  <c r="H1036" i="3"/>
  <c r="H1032" i="3"/>
  <c r="H1028" i="3"/>
  <c r="H1024" i="3"/>
  <c r="H1020" i="3"/>
  <c r="H1016" i="3"/>
  <c r="H1012" i="3"/>
  <c r="H1008" i="3"/>
  <c r="H1004" i="3"/>
  <c r="H1000" i="3"/>
  <c r="H996" i="3"/>
  <c r="H992" i="3"/>
  <c r="H988" i="3"/>
  <c r="H984" i="3"/>
  <c r="H980" i="3"/>
  <c r="H976" i="3"/>
  <c r="H972" i="3"/>
  <c r="H968" i="3"/>
  <c r="H964" i="3"/>
  <c r="H960" i="3"/>
  <c r="H956" i="3"/>
  <c r="H952" i="3"/>
  <c r="H948" i="3"/>
  <c r="H944" i="3"/>
  <c r="H940" i="3"/>
  <c r="H936" i="3"/>
  <c r="H932" i="3"/>
  <c r="H928" i="3"/>
  <c r="H924" i="3"/>
  <c r="H920" i="3"/>
  <c r="H916" i="3"/>
  <c r="H912" i="3"/>
  <c r="H908" i="3"/>
  <c r="H904" i="3"/>
  <c r="H900" i="3"/>
  <c r="H896" i="3"/>
  <c r="H892" i="3"/>
  <c r="H888" i="3"/>
  <c r="H884" i="3"/>
  <c r="H880" i="3"/>
  <c r="H876" i="3"/>
  <c r="H872" i="3"/>
  <c r="H868" i="3"/>
  <c r="H864" i="3"/>
  <c r="H860" i="3"/>
  <c r="H856" i="3"/>
  <c r="H852" i="3"/>
  <c r="H848" i="3"/>
  <c r="H1295" i="3"/>
  <c r="H1291" i="3"/>
  <c r="H1287" i="3"/>
  <c r="H1283" i="3"/>
  <c r="H1279" i="3"/>
  <c r="H1275" i="3"/>
  <c r="H1271" i="3"/>
  <c r="H1267" i="3"/>
  <c r="H1263" i="3"/>
  <c r="H1259" i="3"/>
  <c r="H1255" i="3"/>
  <c r="H1251" i="3"/>
  <c r="H1247" i="3"/>
  <c r="H1243" i="3"/>
  <c r="H1239" i="3"/>
  <c r="H1235" i="3"/>
  <c r="H1231" i="3"/>
  <c r="H1227" i="3"/>
  <c r="H1223" i="3"/>
  <c r="H1219" i="3"/>
  <c r="H1215" i="3"/>
  <c r="H1211" i="3"/>
  <c r="H1207" i="3"/>
  <c r="H1203" i="3"/>
  <c r="H1199" i="3"/>
  <c r="H1195" i="3"/>
  <c r="H1191" i="3"/>
  <c r="H1187" i="3"/>
  <c r="H1183" i="3"/>
  <c r="H1179" i="3"/>
  <c r="H1175" i="3"/>
  <c r="H1171" i="3"/>
  <c r="H1167" i="3"/>
  <c r="H1163" i="3"/>
  <c r="H1159" i="3"/>
  <c r="H1155" i="3"/>
  <c r="H1151" i="3"/>
  <c r="H1147" i="3"/>
  <c r="H1143" i="3"/>
  <c r="H1139" i="3"/>
  <c r="H1135" i="3"/>
  <c r="H1131" i="3"/>
  <c r="H1127" i="3"/>
  <c r="H1123" i="3"/>
  <c r="H1119" i="3"/>
  <c r="H1115" i="3"/>
  <c r="H1111" i="3"/>
  <c r="H1107" i="3"/>
  <c r="H1103" i="3"/>
  <c r="H1099" i="3"/>
  <c r="H1095" i="3"/>
  <c r="H1091" i="3"/>
  <c r="H1087" i="3"/>
  <c r="H1083" i="3"/>
  <c r="H1079" i="3"/>
  <c r="H1075" i="3"/>
  <c r="H1071" i="3"/>
  <c r="H1067" i="3"/>
  <c r="H1063" i="3"/>
  <c r="H1059" i="3"/>
  <c r="H1055" i="3"/>
  <c r="H1051" i="3"/>
  <c r="H1047" i="3"/>
  <c r="H1043" i="3"/>
  <c r="H1039" i="3"/>
  <c r="H1035" i="3"/>
  <c r="H1031" i="3"/>
  <c r="H1027" i="3"/>
  <c r="H1023" i="3"/>
  <c r="H1019" i="3"/>
  <c r="H1015" i="3"/>
  <c r="H1011" i="3"/>
  <c r="H1007" i="3"/>
  <c r="H1003" i="3"/>
  <c r="H999" i="3"/>
  <c r="H995" i="3"/>
  <c r="H991" i="3"/>
  <c r="H987" i="3"/>
  <c r="H983" i="3"/>
  <c r="H979" i="3"/>
  <c r="H975" i="3"/>
  <c r="H971" i="3"/>
  <c r="H967" i="3"/>
  <c r="H963" i="3"/>
  <c r="H959" i="3"/>
  <c r="H955" i="3"/>
  <c r="H951" i="3"/>
  <c r="H947" i="3"/>
  <c r="H943" i="3"/>
  <c r="H939" i="3"/>
  <c r="H935" i="3"/>
  <c r="H931" i="3"/>
  <c r="H927" i="3"/>
  <c r="H923" i="3"/>
  <c r="H919" i="3"/>
  <c r="H915" i="3"/>
  <c r="H911" i="3"/>
  <c r="H907" i="3"/>
  <c r="H903" i="3"/>
  <c r="H899" i="3"/>
  <c r="H895" i="3"/>
  <c r="H891" i="3"/>
  <c r="H887" i="3"/>
  <c r="H883" i="3"/>
  <c r="H879" i="3"/>
  <c r="H875" i="3"/>
  <c r="H871" i="3"/>
  <c r="H867" i="3"/>
  <c r="H863" i="3"/>
  <c r="H859" i="3"/>
  <c r="H855" i="3"/>
  <c r="H851" i="3"/>
  <c r="H847" i="3"/>
  <c r="H662" i="3"/>
  <c r="H658" i="3"/>
  <c r="H654" i="3"/>
  <c r="H650" i="3"/>
  <c r="H646" i="3"/>
  <c r="H642" i="3"/>
  <c r="H638" i="3"/>
  <c r="H634" i="3"/>
  <c r="H630" i="3"/>
  <c r="H626" i="3"/>
  <c r="H622" i="3"/>
  <c r="H618" i="3"/>
  <c r="H614" i="3"/>
  <c r="H610" i="3"/>
  <c r="H606" i="3"/>
  <c r="H602" i="3"/>
  <c r="H598" i="3"/>
  <c r="H594" i="3"/>
  <c r="H590" i="3"/>
  <c r="H586" i="3"/>
  <c r="H582" i="3"/>
  <c r="H578" i="3"/>
  <c r="H570" i="3"/>
  <c r="H555" i="3"/>
  <c r="H539" i="3"/>
  <c r="H523" i="3"/>
  <c r="H507" i="3"/>
  <c r="H491" i="3"/>
  <c r="H475" i="3"/>
  <c r="H459" i="3"/>
  <c r="H443" i="3"/>
  <c r="H427" i="3"/>
  <c r="H411" i="3"/>
  <c r="H395" i="3"/>
  <c r="H379" i="3"/>
  <c r="H363" i="3"/>
  <c r="H845" i="3"/>
  <c r="H843" i="3"/>
  <c r="H841" i="3"/>
  <c r="H839" i="3"/>
  <c r="H837" i="3"/>
  <c r="H835" i="3"/>
  <c r="H833" i="3"/>
  <c r="H831" i="3"/>
  <c r="H829" i="3"/>
  <c r="H827" i="3"/>
  <c r="H825" i="3"/>
  <c r="H823" i="3"/>
  <c r="H821" i="3"/>
  <c r="H819" i="3"/>
  <c r="H817" i="3"/>
  <c r="H815" i="3"/>
  <c r="H813" i="3"/>
  <c r="H811" i="3"/>
  <c r="H809" i="3"/>
  <c r="H807" i="3"/>
  <c r="H805" i="3"/>
  <c r="H803" i="3"/>
  <c r="H801" i="3"/>
  <c r="H799" i="3"/>
  <c r="H797" i="3"/>
  <c r="H795" i="3"/>
  <c r="H793" i="3"/>
  <c r="H791" i="3"/>
  <c r="H789" i="3"/>
  <c r="H787" i="3"/>
  <c r="H785" i="3"/>
  <c r="H783" i="3"/>
  <c r="H781" i="3"/>
  <c r="H779" i="3"/>
  <c r="H777" i="3"/>
  <c r="H775" i="3"/>
  <c r="H773" i="3"/>
  <c r="H771" i="3"/>
  <c r="H769" i="3"/>
  <c r="H767" i="3"/>
  <c r="H765" i="3"/>
  <c r="H763" i="3"/>
  <c r="H761" i="3"/>
  <c r="H759" i="3"/>
  <c r="H757" i="3"/>
  <c r="H755" i="3"/>
  <c r="H753" i="3"/>
  <c r="H751" i="3"/>
  <c r="H749" i="3"/>
  <c r="H747" i="3"/>
  <c r="H745" i="3"/>
  <c r="H743" i="3"/>
  <c r="H741" i="3"/>
  <c r="H739" i="3"/>
  <c r="H737" i="3"/>
  <c r="H735" i="3"/>
  <c r="H733" i="3"/>
  <c r="H731" i="3"/>
  <c r="H729" i="3"/>
  <c r="H727" i="3"/>
  <c r="H725" i="3"/>
  <c r="H723" i="3"/>
  <c r="H721" i="3"/>
  <c r="H719" i="3"/>
  <c r="H717" i="3"/>
  <c r="H715" i="3"/>
  <c r="H713" i="3"/>
  <c r="H711" i="3"/>
  <c r="H709" i="3"/>
  <c r="H707" i="3"/>
  <c r="H705" i="3"/>
  <c r="H703" i="3"/>
  <c r="H701" i="3"/>
  <c r="H699" i="3"/>
  <c r="H697" i="3"/>
  <c r="H695" i="3"/>
  <c r="H693" i="3"/>
  <c r="H691" i="3"/>
  <c r="H689" i="3"/>
  <c r="H687" i="3"/>
  <c r="H685" i="3"/>
  <c r="H683" i="3"/>
  <c r="H681" i="3"/>
  <c r="H679" i="3"/>
  <c r="H677" i="3"/>
  <c r="H675" i="3"/>
  <c r="H673" i="3"/>
  <c r="H671" i="3"/>
  <c r="H669" i="3"/>
  <c r="H667" i="3"/>
  <c r="H665" i="3"/>
  <c r="H661" i="3"/>
  <c r="H657" i="3"/>
  <c r="H653" i="3"/>
  <c r="H649" i="3"/>
  <c r="H645" i="3"/>
  <c r="H641" i="3"/>
  <c r="H637" i="3"/>
  <c r="H633" i="3"/>
  <c r="H629" i="3"/>
  <c r="H625" i="3"/>
  <c r="H621" i="3"/>
  <c r="H617" i="3"/>
  <c r="H613" i="3"/>
  <c r="H609" i="3"/>
  <c r="H605" i="3"/>
  <c r="H601" i="3"/>
  <c r="H597" i="3"/>
  <c r="H593" i="3"/>
  <c r="H589" i="3"/>
  <c r="H585" i="3"/>
  <c r="H581" i="3"/>
  <c r="H576" i="3"/>
  <c r="H567" i="3"/>
  <c r="H551" i="3"/>
  <c r="H535" i="3"/>
  <c r="H519" i="3"/>
  <c r="H503" i="3"/>
  <c r="H487" i="3"/>
  <c r="H471" i="3"/>
  <c r="H455" i="3"/>
  <c r="H439" i="3"/>
  <c r="H423" i="3"/>
  <c r="H407" i="3"/>
  <c r="H391" i="3"/>
  <c r="H375" i="3"/>
  <c r="H359" i="3"/>
  <c r="H664" i="3"/>
  <c r="H660" i="3"/>
  <c r="H656" i="3"/>
  <c r="H652" i="3"/>
  <c r="H648" i="3"/>
  <c r="H644" i="3"/>
  <c r="H640" i="3"/>
  <c r="H636" i="3"/>
  <c r="H632" i="3"/>
  <c r="H628" i="3"/>
  <c r="H624" i="3"/>
  <c r="H620" i="3"/>
  <c r="H616" i="3"/>
  <c r="H612" i="3"/>
  <c r="H608" i="3"/>
  <c r="H604" i="3"/>
  <c r="H600" i="3"/>
  <c r="H596" i="3"/>
  <c r="H592" i="3"/>
  <c r="H588" i="3"/>
  <c r="H584" i="3"/>
  <c r="H580" i="3"/>
  <c r="H574" i="3"/>
  <c r="H563" i="3"/>
  <c r="H547" i="3"/>
  <c r="H531" i="3"/>
  <c r="H515" i="3"/>
  <c r="H499" i="3"/>
  <c r="H483" i="3"/>
  <c r="H467" i="3"/>
  <c r="H451" i="3"/>
  <c r="H435" i="3"/>
  <c r="H419" i="3"/>
  <c r="H403" i="3"/>
  <c r="H387" i="3"/>
  <c r="H371" i="3"/>
  <c r="H355" i="3"/>
  <c r="H846" i="3"/>
  <c r="H844" i="3"/>
  <c r="H842" i="3"/>
  <c r="H840" i="3"/>
  <c r="H838" i="3"/>
  <c r="H836" i="3"/>
  <c r="H834" i="3"/>
  <c r="H832" i="3"/>
  <c r="H830" i="3"/>
  <c r="H828" i="3"/>
  <c r="H826" i="3"/>
  <c r="H824" i="3"/>
  <c r="H822" i="3"/>
  <c r="H820" i="3"/>
  <c r="H818" i="3"/>
  <c r="H816" i="3"/>
  <c r="H814" i="3"/>
  <c r="H812" i="3"/>
  <c r="H810" i="3"/>
  <c r="H808" i="3"/>
  <c r="H806" i="3"/>
  <c r="H804" i="3"/>
  <c r="H802" i="3"/>
  <c r="H800" i="3"/>
  <c r="H798" i="3"/>
  <c r="H796" i="3"/>
  <c r="H794" i="3"/>
  <c r="H792" i="3"/>
  <c r="H790" i="3"/>
  <c r="H788" i="3"/>
  <c r="H786" i="3"/>
  <c r="H784" i="3"/>
  <c r="H782" i="3"/>
  <c r="H780" i="3"/>
  <c r="H778" i="3"/>
  <c r="H776" i="3"/>
  <c r="H774" i="3"/>
  <c r="H772" i="3"/>
  <c r="H770" i="3"/>
  <c r="H768" i="3"/>
  <c r="H766" i="3"/>
  <c r="H764" i="3"/>
  <c r="H762" i="3"/>
  <c r="H760" i="3"/>
  <c r="H758" i="3"/>
  <c r="H756" i="3"/>
  <c r="H754" i="3"/>
  <c r="H752" i="3"/>
  <c r="H750" i="3"/>
  <c r="H748" i="3"/>
  <c r="H746" i="3"/>
  <c r="H744" i="3"/>
  <c r="H742" i="3"/>
  <c r="H740" i="3"/>
  <c r="H738" i="3"/>
  <c r="H736" i="3"/>
  <c r="H734" i="3"/>
  <c r="H732" i="3"/>
  <c r="H730" i="3"/>
  <c r="H728" i="3"/>
  <c r="H726" i="3"/>
  <c r="H724" i="3"/>
  <c r="H722" i="3"/>
  <c r="H720" i="3"/>
  <c r="H718" i="3"/>
  <c r="H716" i="3"/>
  <c r="H714" i="3"/>
  <c r="H712" i="3"/>
  <c r="H710" i="3"/>
  <c r="H708" i="3"/>
  <c r="H706" i="3"/>
  <c r="H704" i="3"/>
  <c r="H702" i="3"/>
  <c r="H700" i="3"/>
  <c r="H698" i="3"/>
  <c r="H696" i="3"/>
  <c r="H694" i="3"/>
  <c r="H692" i="3"/>
  <c r="H690" i="3"/>
  <c r="H688" i="3"/>
  <c r="H686" i="3"/>
  <c r="H684" i="3"/>
  <c r="H682" i="3"/>
  <c r="H680" i="3"/>
  <c r="H678" i="3"/>
  <c r="H676" i="3"/>
  <c r="H674" i="3"/>
  <c r="H672" i="3"/>
  <c r="H670" i="3"/>
  <c r="H668" i="3"/>
  <c r="H666" i="3"/>
  <c r="H663" i="3"/>
  <c r="H659" i="3"/>
  <c r="H655" i="3"/>
  <c r="H651" i="3"/>
  <c r="H647" i="3"/>
  <c r="H643" i="3"/>
  <c r="H639" i="3"/>
  <c r="H635" i="3"/>
  <c r="H631" i="3"/>
  <c r="H627" i="3"/>
  <c r="H623" i="3"/>
  <c r="H619" i="3"/>
  <c r="H615" i="3"/>
  <c r="H611" i="3"/>
  <c r="H607" i="3"/>
  <c r="H603" i="3"/>
  <c r="H599" i="3"/>
  <c r="H595" i="3"/>
  <c r="H591" i="3"/>
  <c r="H587" i="3"/>
  <c r="H583" i="3"/>
  <c r="H579" i="3"/>
  <c r="H572" i="3"/>
  <c r="H559" i="3"/>
  <c r="H543" i="3"/>
  <c r="H527" i="3"/>
  <c r="H511" i="3"/>
  <c r="H495" i="3"/>
  <c r="H479" i="3"/>
  <c r="H463" i="3"/>
  <c r="H447" i="3"/>
  <c r="H431" i="3"/>
  <c r="H415" i="3"/>
  <c r="H399" i="3"/>
  <c r="H383" i="3"/>
  <c r="H367" i="3"/>
  <c r="H348" i="3"/>
  <c r="H577" i="3"/>
  <c r="H575" i="3"/>
  <c r="H573" i="3"/>
  <c r="H571" i="3"/>
  <c r="H569" i="3"/>
  <c r="H565" i="3"/>
  <c r="H561" i="3"/>
  <c r="H557" i="3"/>
  <c r="H553" i="3"/>
  <c r="H549" i="3"/>
  <c r="H545" i="3"/>
  <c r="H541" i="3"/>
  <c r="H537" i="3"/>
  <c r="H533" i="3"/>
  <c r="H529" i="3"/>
  <c r="H525" i="3"/>
  <c r="H521" i="3"/>
  <c r="H517" i="3"/>
  <c r="H513" i="3"/>
  <c r="H509" i="3"/>
  <c r="H505" i="3"/>
  <c r="H501" i="3"/>
  <c r="H497" i="3"/>
  <c r="H493" i="3"/>
  <c r="H489" i="3"/>
  <c r="H485" i="3"/>
  <c r="H481" i="3"/>
  <c r="H477" i="3"/>
  <c r="H473" i="3"/>
  <c r="H469" i="3"/>
  <c r="H465" i="3"/>
  <c r="H461" i="3"/>
  <c r="H457" i="3"/>
  <c r="H453" i="3"/>
  <c r="H449" i="3"/>
  <c r="H445" i="3"/>
  <c r="H441" i="3"/>
  <c r="H437" i="3"/>
  <c r="H433" i="3"/>
  <c r="H429" i="3"/>
  <c r="H425" i="3"/>
  <c r="H421" i="3"/>
  <c r="H417" i="3"/>
  <c r="H413" i="3"/>
  <c r="H409" i="3"/>
  <c r="H405" i="3"/>
  <c r="H401" i="3"/>
  <c r="H397" i="3"/>
  <c r="H393" i="3"/>
  <c r="H389" i="3"/>
  <c r="H385" i="3"/>
  <c r="H381" i="3"/>
  <c r="H377" i="3"/>
  <c r="H373" i="3"/>
  <c r="H369" i="3"/>
  <c r="H365" i="3"/>
  <c r="H361" i="3"/>
  <c r="H357" i="3"/>
  <c r="H352" i="3"/>
  <c r="H568" i="3"/>
  <c r="H564" i="3"/>
  <c r="H560" i="3"/>
  <c r="H556" i="3"/>
  <c r="H552" i="3"/>
  <c r="H548" i="3"/>
  <c r="H544" i="3"/>
  <c r="H540" i="3"/>
  <c r="H536" i="3"/>
  <c r="H532" i="3"/>
  <c r="H528" i="3"/>
  <c r="H524" i="3"/>
  <c r="H520" i="3"/>
  <c r="H516" i="3"/>
  <c r="H512" i="3"/>
  <c r="H508" i="3"/>
  <c r="H504" i="3"/>
  <c r="H500" i="3"/>
  <c r="H496" i="3"/>
  <c r="H492" i="3"/>
  <c r="H488" i="3"/>
  <c r="H484" i="3"/>
  <c r="H480" i="3"/>
  <c r="H476" i="3"/>
  <c r="H472" i="3"/>
  <c r="H468" i="3"/>
  <c r="H464" i="3"/>
  <c r="H460" i="3"/>
  <c r="H456" i="3"/>
  <c r="H452" i="3"/>
  <c r="H448" i="3"/>
  <c r="H444" i="3"/>
  <c r="H440" i="3"/>
  <c r="H436" i="3"/>
  <c r="H432" i="3"/>
  <c r="H428" i="3"/>
  <c r="H424" i="3"/>
  <c r="H420" i="3"/>
  <c r="H416" i="3"/>
  <c r="H412" i="3"/>
  <c r="H408" i="3"/>
  <c r="H404" i="3"/>
  <c r="H400" i="3"/>
  <c r="H396" i="3"/>
  <c r="H392" i="3"/>
  <c r="H388" i="3"/>
  <c r="H384" i="3"/>
  <c r="H380" i="3"/>
  <c r="H376" i="3"/>
  <c r="H372" i="3"/>
  <c r="H368" i="3"/>
  <c r="H364" i="3"/>
  <c r="H360" i="3"/>
  <c r="H356" i="3"/>
  <c r="H350" i="3"/>
  <c r="H566" i="3"/>
  <c r="H562" i="3"/>
  <c r="H558" i="3"/>
  <c r="H554" i="3"/>
  <c r="H550" i="3"/>
  <c r="H546" i="3"/>
  <c r="H542" i="3"/>
  <c r="H538" i="3"/>
  <c r="H534" i="3"/>
  <c r="H530" i="3"/>
  <c r="H526" i="3"/>
  <c r="H522" i="3"/>
  <c r="H518" i="3"/>
  <c r="H514" i="3"/>
  <c r="H510" i="3"/>
  <c r="H506" i="3"/>
  <c r="H502" i="3"/>
  <c r="H498" i="3"/>
  <c r="H494" i="3"/>
  <c r="H490" i="3"/>
  <c r="H486" i="3"/>
  <c r="H482" i="3"/>
  <c r="H478" i="3"/>
  <c r="H474" i="3"/>
  <c r="H470" i="3"/>
  <c r="H466" i="3"/>
  <c r="H462" i="3"/>
  <c r="H458" i="3"/>
  <c r="H454" i="3"/>
  <c r="H450" i="3"/>
  <c r="H446" i="3"/>
  <c r="H442" i="3"/>
  <c r="H438" i="3"/>
  <c r="H434" i="3"/>
  <c r="H430" i="3"/>
  <c r="H426" i="3"/>
  <c r="H422" i="3"/>
  <c r="H418" i="3"/>
  <c r="H414" i="3"/>
  <c r="H410" i="3"/>
  <c r="H406" i="3"/>
  <c r="H402" i="3"/>
  <c r="H398" i="3"/>
  <c r="H394" i="3"/>
  <c r="H390" i="3"/>
  <c r="H386" i="3"/>
  <c r="H382" i="3"/>
  <c r="H378" i="3"/>
  <c r="H374" i="3"/>
  <c r="H370" i="3"/>
  <c r="H366" i="3"/>
  <c r="H362" i="3"/>
  <c r="H358" i="3"/>
  <c r="H354" i="3"/>
  <c r="H346" i="3"/>
  <c r="H248" i="3"/>
  <c r="H245" i="3"/>
  <c r="H241" i="3"/>
  <c r="H237" i="3"/>
  <c r="H233" i="3"/>
  <c r="H229" i="3"/>
  <c r="H225" i="3"/>
  <c r="H221" i="3"/>
  <c r="H217" i="3"/>
  <c r="H213" i="3"/>
  <c r="H209" i="3"/>
  <c r="H205" i="3"/>
  <c r="H201" i="3"/>
  <c r="H197" i="3"/>
  <c r="H193" i="3"/>
  <c r="H344" i="3"/>
  <c r="H342" i="3"/>
  <c r="H340" i="3"/>
  <c r="H338" i="3"/>
  <c r="H336" i="3"/>
  <c r="H334" i="3"/>
  <c r="H332" i="3"/>
  <c r="H330" i="3"/>
  <c r="H328" i="3"/>
  <c r="H326" i="3"/>
  <c r="H324" i="3"/>
  <c r="H322" i="3"/>
  <c r="H320" i="3"/>
  <c r="H318" i="3"/>
  <c r="H316" i="3"/>
  <c r="H314" i="3"/>
  <c r="H312" i="3"/>
  <c r="H310" i="3"/>
  <c r="H308" i="3"/>
  <c r="H306" i="3"/>
  <c r="H304" i="3"/>
  <c r="H302" i="3"/>
  <c r="H300" i="3"/>
  <c r="H298" i="3"/>
  <c r="H296" i="3"/>
  <c r="H294" i="3"/>
  <c r="H292" i="3"/>
  <c r="H290" i="3"/>
  <c r="H288" i="3"/>
  <c r="H286" i="3"/>
  <c r="H284" i="3"/>
  <c r="H282" i="3"/>
  <c r="H280" i="3"/>
  <c r="H278" i="3"/>
  <c r="H276" i="3"/>
  <c r="H274" i="3"/>
  <c r="H272" i="3"/>
  <c r="H270" i="3"/>
  <c r="H268" i="3"/>
  <c r="H266" i="3"/>
  <c r="H264" i="3"/>
  <c r="H262" i="3"/>
  <c r="H260" i="3"/>
  <c r="H258" i="3"/>
  <c r="H256" i="3"/>
  <c r="H254" i="3"/>
  <c r="H252" i="3"/>
  <c r="H250" i="3"/>
  <c r="H247" i="3"/>
  <c r="H244" i="3"/>
  <c r="H240" i="3"/>
  <c r="H236" i="3"/>
  <c r="H232" i="3"/>
  <c r="H228" i="3"/>
  <c r="H224" i="3"/>
  <c r="H220" i="3"/>
  <c r="H216" i="3"/>
  <c r="H212" i="3"/>
  <c r="H208" i="3"/>
  <c r="H204" i="3"/>
  <c r="H200" i="3"/>
  <c r="H196" i="3"/>
  <c r="H192" i="3"/>
  <c r="H249" i="3"/>
  <c r="H243" i="3"/>
  <c r="H239" i="3"/>
  <c r="H235" i="3"/>
  <c r="H231" i="3"/>
  <c r="H227" i="3"/>
  <c r="H223" i="3"/>
  <c r="H219" i="3"/>
  <c r="H215" i="3"/>
  <c r="H211" i="3"/>
  <c r="H207" i="3"/>
  <c r="H203" i="3"/>
  <c r="H199" i="3"/>
  <c r="H195" i="3"/>
  <c r="H191" i="3"/>
  <c r="H353" i="3"/>
  <c r="H351" i="3"/>
  <c r="H349" i="3"/>
  <c r="H347" i="3"/>
  <c r="H345" i="3"/>
  <c r="H343" i="3"/>
  <c r="H341" i="3"/>
  <c r="H339" i="3"/>
  <c r="H337" i="3"/>
  <c r="H335" i="3"/>
  <c r="H333" i="3"/>
  <c r="H331" i="3"/>
  <c r="H329" i="3"/>
  <c r="H327" i="3"/>
  <c r="H325" i="3"/>
  <c r="H323" i="3"/>
  <c r="H321" i="3"/>
  <c r="H319" i="3"/>
  <c r="H317" i="3"/>
  <c r="H315" i="3"/>
  <c r="H313" i="3"/>
  <c r="H311" i="3"/>
  <c r="H309" i="3"/>
  <c r="H307" i="3"/>
  <c r="H305" i="3"/>
  <c r="H303" i="3"/>
  <c r="H301" i="3"/>
  <c r="H299" i="3"/>
  <c r="H297" i="3"/>
  <c r="H295" i="3"/>
  <c r="H293" i="3"/>
  <c r="H291" i="3"/>
  <c r="H289" i="3"/>
  <c r="H287" i="3"/>
  <c r="H285" i="3"/>
  <c r="H283" i="3"/>
  <c r="H281" i="3"/>
  <c r="H279" i="3"/>
  <c r="H277" i="3"/>
  <c r="H275" i="3"/>
  <c r="H273" i="3"/>
  <c r="H271" i="3"/>
  <c r="H269" i="3"/>
  <c r="H267" i="3"/>
  <c r="H265" i="3"/>
  <c r="H263" i="3"/>
  <c r="H261" i="3"/>
  <c r="H259" i="3"/>
  <c r="H257" i="3"/>
  <c r="H255" i="3"/>
  <c r="H253" i="3"/>
  <c r="H251" i="3"/>
  <c r="H246" i="3"/>
  <c r="H242" i="3"/>
  <c r="H238" i="3"/>
  <c r="H234" i="3"/>
  <c r="H230" i="3"/>
  <c r="H226" i="3"/>
  <c r="H222" i="3"/>
  <c r="H218" i="3"/>
  <c r="H214" i="3"/>
  <c r="H210" i="3"/>
  <c r="H206" i="3"/>
  <c r="H202" i="3"/>
  <c r="H198" i="3"/>
  <c r="H194" i="3"/>
  <c r="H189" i="3"/>
  <c r="H171" i="3"/>
  <c r="H166" i="3"/>
  <c r="H163" i="3"/>
  <c r="H158" i="3"/>
  <c r="H155" i="3"/>
  <c r="H150" i="3"/>
  <c r="H147" i="3"/>
  <c r="H142" i="3"/>
  <c r="H139" i="3"/>
  <c r="H134" i="3"/>
  <c r="H131" i="3"/>
  <c r="H126" i="3"/>
  <c r="H123" i="3"/>
  <c r="H118" i="3"/>
  <c r="H115" i="3"/>
  <c r="H110" i="3"/>
  <c r="H107" i="3"/>
  <c r="H102" i="3"/>
  <c r="H99" i="3"/>
  <c r="H94" i="3"/>
  <c r="H91" i="3"/>
  <c r="H86" i="3"/>
  <c r="H83" i="3"/>
  <c r="H78" i="3"/>
  <c r="H75" i="3"/>
  <c r="H70" i="3"/>
  <c r="H67" i="3"/>
  <c r="H62" i="3"/>
  <c r="H59" i="3"/>
  <c r="H54" i="3"/>
  <c r="H51" i="3"/>
  <c r="H46" i="3"/>
  <c r="H43" i="3"/>
  <c r="H38" i="3"/>
  <c r="H35" i="3"/>
  <c r="H30" i="3"/>
  <c r="H27" i="3"/>
  <c r="H187" i="3"/>
  <c r="H185" i="3"/>
  <c r="H183" i="3"/>
  <c r="H181" i="3"/>
  <c r="H179" i="3"/>
  <c r="H177" i="3"/>
  <c r="H175" i="3"/>
  <c r="H173" i="3"/>
  <c r="H168" i="3"/>
  <c r="H165" i="3"/>
  <c r="H160" i="3"/>
  <c r="H157" i="3"/>
  <c r="H152" i="3"/>
  <c r="H149" i="3"/>
  <c r="H144" i="3"/>
  <c r="H141" i="3"/>
  <c r="H136" i="3"/>
  <c r="H133" i="3"/>
  <c r="H128" i="3"/>
  <c r="H125" i="3"/>
  <c r="H120" i="3"/>
  <c r="H117" i="3"/>
  <c r="H112" i="3"/>
  <c r="H109" i="3"/>
  <c r="H104" i="3"/>
  <c r="H101" i="3"/>
  <c r="H96" i="3"/>
  <c r="H93" i="3"/>
  <c r="H88" i="3"/>
  <c r="H85" i="3"/>
  <c r="H80" i="3"/>
  <c r="H77" i="3"/>
  <c r="H72" i="3"/>
  <c r="H69" i="3"/>
  <c r="H64" i="3"/>
  <c r="H61" i="3"/>
  <c r="H56" i="3"/>
  <c r="H53" i="3"/>
  <c r="H48" i="3"/>
  <c r="H45" i="3"/>
  <c r="H40" i="3"/>
  <c r="H37" i="3"/>
  <c r="H32" i="3"/>
  <c r="H29" i="3"/>
  <c r="H24" i="3"/>
  <c r="H170" i="3"/>
  <c r="H167" i="3"/>
  <c r="H162" i="3"/>
  <c r="H159" i="3"/>
  <c r="H154" i="3"/>
  <c r="H151" i="3"/>
  <c r="H146" i="3"/>
  <c r="H143" i="3"/>
  <c r="H138" i="3"/>
  <c r="H135" i="3"/>
  <c r="H130" i="3"/>
  <c r="H127" i="3"/>
  <c r="H122" i="3"/>
  <c r="H119" i="3"/>
  <c r="H114" i="3"/>
  <c r="H111" i="3"/>
  <c r="H106" i="3"/>
  <c r="H103" i="3"/>
  <c r="H98" i="3"/>
  <c r="H95" i="3"/>
  <c r="H90" i="3"/>
  <c r="H87" i="3"/>
  <c r="H82" i="3"/>
  <c r="H79" i="3"/>
  <c r="H74" i="3"/>
  <c r="H71" i="3"/>
  <c r="H66" i="3"/>
  <c r="H63" i="3"/>
  <c r="H58" i="3"/>
  <c r="H55" i="3"/>
  <c r="H50" i="3"/>
  <c r="H47" i="3"/>
  <c r="H42" i="3"/>
  <c r="H39" i="3"/>
  <c r="H34" i="3"/>
  <c r="H31" i="3"/>
  <c r="H26" i="3"/>
  <c r="H190" i="3"/>
  <c r="H188" i="3"/>
  <c r="H186" i="3"/>
  <c r="H184" i="3"/>
  <c r="H182" i="3"/>
  <c r="H180" i="3"/>
  <c r="H178" i="3"/>
  <c r="H176" i="3"/>
  <c r="H174" i="3"/>
  <c r="H172" i="3"/>
  <c r="H169" i="3"/>
  <c r="H164" i="3"/>
  <c r="H161" i="3"/>
  <c r="H156" i="3"/>
  <c r="H153" i="3"/>
  <c r="H148" i="3"/>
  <c r="H145" i="3"/>
  <c r="H140" i="3"/>
  <c r="H137" i="3"/>
  <c r="H132" i="3"/>
  <c r="H129" i="3"/>
  <c r="H124" i="3"/>
  <c r="H121" i="3"/>
  <c r="H116" i="3"/>
  <c r="H113" i="3"/>
  <c r="H108" i="3"/>
  <c r="H105" i="3"/>
  <c r="H100" i="3"/>
  <c r="H97" i="3"/>
  <c r="H92" i="3"/>
  <c r="H89" i="3"/>
  <c r="H84" i="3"/>
  <c r="H81" i="3"/>
  <c r="H76" i="3"/>
  <c r="H73" i="3"/>
  <c r="H68" i="3"/>
  <c r="H65" i="3"/>
  <c r="H60" i="3"/>
  <c r="H57" i="3"/>
  <c r="H52" i="3"/>
  <c r="H49" i="3"/>
  <c r="H44" i="3"/>
  <c r="H41" i="3"/>
  <c r="H36" i="3"/>
  <c r="H33" i="3"/>
  <c r="H28" i="3"/>
  <c r="H25" i="3"/>
  <c r="H22" i="3"/>
  <c r="H20" i="3"/>
  <c r="H18" i="3"/>
  <c r="H16" i="3"/>
  <c r="H14" i="3"/>
  <c r="H12" i="3"/>
  <c r="H10" i="3"/>
  <c r="H8" i="3"/>
  <c r="H6" i="3"/>
  <c r="H4" i="3"/>
  <c r="H23" i="3"/>
  <c r="H21" i="3"/>
  <c r="H19" i="3"/>
  <c r="H17" i="3"/>
  <c r="H15" i="3"/>
  <c r="H13" i="3"/>
  <c r="H11" i="3"/>
  <c r="H9" i="3"/>
  <c r="H7" i="3"/>
  <c r="H5" i="3"/>
  <c r="H3" i="3"/>
  <c r="H2" i="3"/>
  <c r="H564" i="1"/>
  <c r="H548" i="1"/>
  <c r="H532" i="1"/>
  <c r="H482" i="1"/>
  <c r="H431" i="1"/>
  <c r="H657" i="1"/>
  <c r="H641" i="1"/>
  <c r="H625" i="1"/>
  <c r="H609" i="1"/>
  <c r="H593" i="1"/>
  <c r="H537" i="1"/>
  <c r="H444" i="1"/>
  <c r="H350" i="1"/>
  <c r="H502" i="1"/>
  <c r="H437" i="1"/>
  <c r="H373" i="1"/>
  <c r="H309" i="1"/>
  <c r="H504" i="1"/>
  <c r="H440" i="1"/>
  <c r="H376" i="1"/>
  <c r="H312" i="1"/>
  <c r="H343" i="1"/>
  <c r="H199" i="1"/>
  <c r="H135" i="1"/>
  <c r="H297" i="1"/>
  <c r="H265" i="1"/>
  <c r="H233" i="1"/>
  <c r="H198" i="1"/>
  <c r="H134" i="1"/>
  <c r="H193" i="1"/>
  <c r="H129" i="1"/>
  <c r="H264" i="1"/>
  <c r="H232" i="1"/>
  <c r="H196" i="1"/>
  <c r="H132" i="1"/>
  <c r="H71" i="1"/>
  <c r="H39" i="1"/>
  <c r="H56" i="1"/>
  <c r="H779" i="1"/>
  <c r="H761" i="1"/>
  <c r="H729" i="1"/>
  <c r="H697" i="1"/>
  <c r="H665" i="1"/>
  <c r="H1061" i="1"/>
  <c r="H1045" i="1"/>
  <c r="H1029" i="1"/>
  <c r="H1013" i="1"/>
  <c r="H997" i="1"/>
  <c r="H981" i="1"/>
  <c r="H965" i="1"/>
  <c r="H949" i="1"/>
  <c r="H933" i="1"/>
  <c r="H917" i="1"/>
  <c r="H901" i="1"/>
  <c r="H885" i="1"/>
  <c r="H869" i="1"/>
  <c r="H853" i="1"/>
  <c r="H838" i="1"/>
  <c r="H822" i="1"/>
  <c r="H806" i="1"/>
  <c r="H790" i="1"/>
  <c r="H774" i="1"/>
  <c r="H751" i="1"/>
  <c r="H719" i="1"/>
  <c r="H687" i="1"/>
  <c r="H1058" i="1"/>
  <c r="H1042" i="1"/>
  <c r="H1026" i="1"/>
  <c r="H1010" i="1"/>
  <c r="H994" i="1"/>
  <c r="H978" i="1"/>
  <c r="H962" i="1"/>
  <c r="H946" i="1"/>
  <c r="H930" i="1"/>
  <c r="H914" i="1"/>
  <c r="H898" i="1"/>
  <c r="H882" i="1"/>
  <c r="H866" i="1"/>
  <c r="H849" i="1"/>
  <c r="H833" i="1"/>
  <c r="H817" i="1"/>
  <c r="H801" i="1"/>
  <c r="H785" i="1"/>
  <c r="H769" i="1"/>
  <c r="H741" i="1"/>
  <c r="H709" i="1"/>
  <c r="H677" i="1"/>
  <c r="H579" i="1"/>
  <c r="H563" i="1"/>
  <c r="H547" i="1"/>
  <c r="H531" i="1"/>
  <c r="H485" i="1"/>
  <c r="H453" i="1"/>
  <c r="H419" i="1"/>
  <c r="H387" i="1"/>
  <c r="H758" i="1"/>
  <c r="H750" i="1"/>
  <c r="H742" i="1"/>
  <c r="H734" i="1"/>
  <c r="H726" i="1"/>
  <c r="H718" i="1"/>
  <c r="H710" i="1"/>
  <c r="H702" i="1"/>
  <c r="H694" i="1"/>
  <c r="H686" i="1"/>
  <c r="H678" i="1"/>
  <c r="H670" i="1"/>
  <c r="H662" i="1"/>
  <c r="H654" i="1"/>
  <c r="H646" i="1"/>
  <c r="H638" i="1"/>
  <c r="H630" i="1"/>
  <c r="H622" i="1"/>
  <c r="H614" i="1"/>
  <c r="H606" i="1"/>
  <c r="H598" i="1"/>
  <c r="H590" i="1"/>
  <c r="H578" i="1"/>
  <c r="H562" i="1"/>
  <c r="H546" i="1"/>
  <c r="H530" i="1"/>
  <c r="H513" i="1"/>
  <c r="H495" i="1"/>
  <c r="H463" i="1"/>
  <c r="H426" i="1"/>
  <c r="H394" i="1"/>
  <c r="H575" i="1"/>
  <c r="H559" i="1"/>
  <c r="H543" i="1"/>
  <c r="H527" i="1"/>
  <c r="H477" i="1"/>
  <c r="H415" i="1"/>
  <c r="H653" i="1"/>
  <c r="H637" i="1"/>
  <c r="H621" i="1"/>
  <c r="H605" i="1"/>
  <c r="H585" i="1"/>
  <c r="H523" i="1"/>
  <c r="H414" i="1"/>
  <c r="H334" i="1"/>
  <c r="H486" i="1"/>
  <c r="H421" i="1"/>
  <c r="H357" i="1"/>
  <c r="H284" i="1"/>
  <c r="H488" i="1"/>
  <c r="H424" i="1"/>
  <c r="H360" i="1"/>
  <c r="H290" i="1"/>
  <c r="H327" i="1"/>
  <c r="H183" i="1"/>
  <c r="H119" i="1"/>
  <c r="H289" i="1"/>
  <c r="H257" i="1"/>
  <c r="H225" i="1"/>
  <c r="H182" i="1"/>
  <c r="H118" i="1"/>
  <c r="H177" i="1"/>
  <c r="H113" i="1"/>
  <c r="H256" i="1"/>
  <c r="H224" i="1"/>
  <c r="H180" i="1"/>
  <c r="H116" i="1"/>
  <c r="H63" i="1"/>
  <c r="H80" i="1"/>
  <c r="H48" i="1"/>
  <c r="H442" i="1"/>
  <c r="H411" i="1"/>
  <c r="H764" i="1"/>
  <c r="H756" i="1"/>
  <c r="H748" i="1"/>
  <c r="H740" i="1"/>
  <c r="H732" i="1"/>
  <c r="H724" i="1"/>
  <c r="H716" i="1"/>
  <c r="H708" i="1"/>
  <c r="H700" i="1"/>
  <c r="H692" i="1"/>
  <c r="H684" i="1"/>
  <c r="H676" i="1"/>
  <c r="H668" i="1"/>
  <c r="H660" i="1"/>
  <c r="H652" i="1"/>
  <c r="H644" i="1"/>
  <c r="H636" i="1"/>
  <c r="H628" i="1"/>
  <c r="H620" i="1"/>
  <c r="H612" i="1"/>
  <c r="H604" i="1"/>
  <c r="H596" i="1"/>
  <c r="H588" i="1"/>
  <c r="H573" i="1"/>
  <c r="H557" i="1"/>
  <c r="H541" i="1"/>
  <c r="H525" i="1"/>
  <c r="H509" i="1"/>
  <c r="H484" i="1"/>
  <c r="H452" i="1"/>
  <c r="H418" i="1"/>
  <c r="H386" i="1"/>
  <c r="H572" i="1"/>
  <c r="H556" i="1"/>
  <c r="H540" i="1"/>
  <c r="H498" i="1"/>
  <c r="H461" i="1"/>
  <c r="H399" i="1"/>
  <c r="H649" i="1"/>
  <c r="H633" i="1"/>
  <c r="H617" i="1"/>
  <c r="H601" i="1"/>
  <c r="H569" i="1"/>
  <c r="H507" i="1"/>
  <c r="H382" i="1"/>
  <c r="H318" i="1"/>
  <c r="H470" i="1"/>
  <c r="H405" i="1"/>
  <c r="H341" i="1"/>
  <c r="H520" i="1"/>
  <c r="H472" i="1"/>
  <c r="H408" i="1"/>
  <c r="H344" i="1"/>
  <c r="H375" i="1"/>
  <c r="H311" i="1"/>
  <c r="H167" i="1"/>
  <c r="H103" i="1"/>
  <c r="H281" i="1"/>
  <c r="H249" i="1"/>
  <c r="H217" i="1"/>
  <c r="H166" i="1"/>
  <c r="H102" i="1"/>
  <c r="H161" i="1"/>
  <c r="H97" i="1"/>
  <c r="H248" i="1"/>
  <c r="H216" i="1"/>
  <c r="H164" i="1"/>
  <c r="H100" i="1"/>
  <c r="H55" i="1"/>
  <c r="H72" i="1"/>
  <c r="H40" i="1"/>
  <c r="H450" i="1"/>
  <c r="H423" i="1"/>
  <c r="H391" i="1"/>
  <c r="H655" i="1"/>
  <c r="H647" i="1"/>
  <c r="H639" i="1"/>
  <c r="H631" i="1"/>
  <c r="H623" i="1"/>
  <c r="H615" i="1"/>
  <c r="H607" i="1"/>
  <c r="H599" i="1"/>
  <c r="H591" i="1"/>
  <c r="H582" i="1"/>
  <c r="H566" i="1"/>
  <c r="H550" i="1"/>
  <c r="H534" i="1"/>
  <c r="H519" i="1"/>
  <c r="H503" i="1"/>
  <c r="H471" i="1"/>
  <c r="H438" i="1"/>
  <c r="H406" i="1"/>
  <c r="H378" i="1"/>
  <c r="H362" i="1"/>
  <c r="H346" i="1"/>
  <c r="H330" i="1"/>
  <c r="H314" i="1"/>
  <c r="H294" i="1"/>
  <c r="H497" i="1"/>
  <c r="H481" i="1"/>
  <c r="H465" i="1"/>
  <c r="H449" i="1"/>
  <c r="H433" i="1"/>
  <c r="H417" i="1"/>
  <c r="H401" i="1"/>
  <c r="H385" i="1"/>
  <c r="H369" i="1"/>
  <c r="H353" i="1"/>
  <c r="H337" i="1"/>
  <c r="H321" i="1"/>
  <c r="H305" i="1"/>
  <c r="H276" i="1"/>
  <c r="H518" i="1"/>
  <c r="H510" i="1"/>
  <c r="H499" i="1"/>
  <c r="H483" i="1"/>
  <c r="H467" i="1"/>
  <c r="H451" i="1"/>
  <c r="H436" i="1"/>
  <c r="H420" i="1"/>
  <c r="H404" i="1"/>
  <c r="H388" i="1"/>
  <c r="H372" i="1"/>
  <c r="H356" i="1"/>
  <c r="H340" i="1"/>
  <c r="H324" i="1"/>
  <c r="H308" i="1"/>
  <c r="H282" i="1"/>
  <c r="H371" i="1"/>
  <c r="H355" i="1"/>
  <c r="H339" i="1"/>
  <c r="H323" i="1"/>
  <c r="H307" i="1"/>
  <c r="H280" i="1"/>
  <c r="H195" i="1"/>
  <c r="H179" i="1"/>
  <c r="H163" i="1"/>
  <c r="H147" i="1"/>
  <c r="H131" i="1"/>
  <c r="H115" i="1"/>
  <c r="H99" i="1"/>
  <c r="H83" i="1"/>
  <c r="H295" i="1"/>
  <c r="H287" i="1"/>
  <c r="H279" i="1"/>
  <c r="H271" i="1"/>
  <c r="H263" i="1"/>
  <c r="H255" i="1"/>
  <c r="H247" i="1"/>
  <c r="H239" i="1"/>
  <c r="H231" i="1"/>
  <c r="H223" i="1"/>
  <c r="H215" i="1"/>
  <c r="H207" i="1"/>
  <c r="H194" i="1"/>
  <c r="H178" i="1"/>
  <c r="H162" i="1"/>
  <c r="H146" i="1"/>
  <c r="H130" i="1"/>
  <c r="H114" i="1"/>
  <c r="H98" i="1"/>
  <c r="H81" i="1"/>
  <c r="H189" i="1"/>
  <c r="H173" i="1"/>
  <c r="H157" i="1"/>
  <c r="H141" i="1"/>
  <c r="H125" i="1"/>
  <c r="H109" i="1"/>
  <c r="H93" i="1"/>
  <c r="H270" i="1"/>
  <c r="H262" i="1"/>
  <c r="H254" i="1"/>
  <c r="H246" i="1"/>
  <c r="H238" i="1"/>
  <c r="H230" i="1"/>
  <c r="H222" i="1"/>
  <c r="H214" i="1"/>
  <c r="H206" i="1"/>
  <c r="H192" i="1"/>
  <c r="H176" i="1"/>
  <c r="H160" i="1"/>
  <c r="H144" i="1"/>
  <c r="H128" i="1"/>
  <c r="H112" i="1"/>
  <c r="H96" i="1"/>
  <c r="H77" i="1"/>
  <c r="H69" i="1"/>
  <c r="H61" i="1"/>
  <c r="H53" i="1"/>
  <c r="H45" i="1"/>
  <c r="H37" i="1"/>
  <c r="H78" i="1"/>
  <c r="H70" i="1"/>
  <c r="H62" i="1"/>
  <c r="H54" i="1"/>
  <c r="H46" i="1"/>
  <c r="H38" i="1"/>
  <c r="H589" i="1"/>
  <c r="H577" i="1"/>
  <c r="H561" i="1"/>
  <c r="H545" i="1"/>
  <c r="H529" i="1"/>
  <c r="H515" i="1"/>
  <c r="H492" i="1"/>
  <c r="H460" i="1"/>
  <c r="H430" i="1"/>
  <c r="H398" i="1"/>
  <c r="H374" i="1"/>
  <c r="H358" i="1"/>
  <c r="H342" i="1"/>
  <c r="H326" i="1"/>
  <c r="H310" i="1"/>
  <c r="H286" i="1"/>
  <c r="H494" i="1"/>
  <c r="H478" i="1"/>
  <c r="H462" i="1"/>
  <c r="H446" i="1"/>
  <c r="H429" i="1"/>
  <c r="H413" i="1"/>
  <c r="H397" i="1"/>
  <c r="H381" i="1"/>
  <c r="H365" i="1"/>
  <c r="H349" i="1"/>
  <c r="H333" i="1"/>
  <c r="H317" i="1"/>
  <c r="H300" i="1"/>
  <c r="H524" i="1"/>
  <c r="H516" i="1"/>
  <c r="H508" i="1"/>
  <c r="H496" i="1"/>
  <c r="H480" i="1"/>
  <c r="H464" i="1"/>
  <c r="H448" i="1"/>
  <c r="H432" i="1"/>
  <c r="H416" i="1"/>
  <c r="H400" i="1"/>
  <c r="H384" i="1"/>
  <c r="H368" i="1"/>
  <c r="H352" i="1"/>
  <c r="H336" i="1"/>
  <c r="H320" i="1"/>
  <c r="H304" i="1"/>
  <c r="H274" i="1"/>
  <c r="H367" i="1"/>
  <c r="H351" i="1"/>
  <c r="H335" i="1"/>
  <c r="H319" i="1"/>
  <c r="H303" i="1"/>
  <c r="H272" i="1"/>
  <c r="H191" i="1"/>
  <c r="H175" i="1"/>
  <c r="H159" i="1"/>
  <c r="H143" i="1"/>
  <c r="H127" i="1"/>
  <c r="H111" i="1"/>
  <c r="H95" i="1"/>
  <c r="H301" i="1"/>
  <c r="H293" i="1"/>
  <c r="H285" i="1"/>
  <c r="H277" i="1"/>
  <c r="H269" i="1"/>
  <c r="H261" i="1"/>
  <c r="H253" i="1"/>
  <c r="H245" i="1"/>
  <c r="H237" i="1"/>
  <c r="H229" i="1"/>
  <c r="H221" i="1"/>
  <c r="H213" i="1"/>
  <c r="H205" i="1"/>
  <c r="H190" i="1"/>
  <c r="H174" i="1"/>
  <c r="H158" i="1"/>
  <c r="H142" i="1"/>
  <c r="H126" i="1"/>
  <c r="H110" i="1"/>
  <c r="H94" i="1"/>
  <c r="H201" i="1"/>
  <c r="H185" i="1"/>
  <c r="H169" i="1"/>
  <c r="H153" i="1"/>
  <c r="H137" i="1"/>
  <c r="H121" i="1"/>
  <c r="H105" i="1"/>
  <c r="H89" i="1"/>
  <c r="H268" i="1"/>
  <c r="H260" i="1"/>
  <c r="H252" i="1"/>
  <c r="H244" i="1"/>
  <c r="H236" i="1"/>
  <c r="H228" i="1"/>
  <c r="H220" i="1"/>
  <c r="H212" i="1"/>
  <c r="H204" i="1"/>
  <c r="H188" i="1"/>
  <c r="H172" i="1"/>
  <c r="H156" i="1"/>
  <c r="H140" i="1"/>
  <c r="H124" i="1"/>
  <c r="H108" i="1"/>
  <c r="H92" i="1"/>
  <c r="H75" i="1"/>
  <c r="H67" i="1"/>
  <c r="H59" i="1"/>
  <c r="H51" i="1"/>
  <c r="H43" i="1"/>
  <c r="H35" i="1"/>
  <c r="H76" i="1"/>
  <c r="H68" i="1"/>
  <c r="H60" i="1"/>
  <c r="H52" i="1"/>
  <c r="H44" i="1"/>
  <c r="H36" i="1"/>
  <c r="H466" i="1"/>
  <c r="H439" i="1"/>
  <c r="H407" i="1"/>
  <c r="H659" i="1"/>
  <c r="H651" i="1"/>
  <c r="H643" i="1"/>
  <c r="H635" i="1"/>
  <c r="H627" i="1"/>
  <c r="H619" i="1"/>
  <c r="H611" i="1"/>
  <c r="H603" i="1"/>
  <c r="H595" i="1"/>
  <c r="H587" i="1"/>
  <c r="H574" i="1"/>
  <c r="H558" i="1"/>
  <c r="H542" i="1"/>
  <c r="H526" i="1"/>
  <c r="H511" i="1"/>
  <c r="H487" i="1"/>
  <c r="H455" i="1"/>
  <c r="H422" i="1"/>
  <c r="H390" i="1"/>
  <c r="H370" i="1"/>
  <c r="H354" i="1"/>
  <c r="H338" i="1"/>
  <c r="H322" i="1"/>
  <c r="H306" i="1"/>
  <c r="H278" i="1"/>
  <c r="H489" i="1"/>
  <c r="H473" i="1"/>
  <c r="H457" i="1"/>
  <c r="H441" i="1"/>
  <c r="H425" i="1"/>
  <c r="H409" i="1"/>
  <c r="H393" i="1"/>
  <c r="H377" i="1"/>
  <c r="H361" i="1"/>
  <c r="H345" i="1"/>
  <c r="H329" i="1"/>
  <c r="H313" i="1"/>
  <c r="H292" i="1"/>
  <c r="H522" i="1"/>
  <c r="H514" i="1"/>
  <c r="H506" i="1"/>
  <c r="H491" i="1"/>
  <c r="H475" i="1"/>
  <c r="H459" i="1"/>
  <c r="H443" i="1"/>
  <c r="H428" i="1"/>
  <c r="H412" i="1"/>
  <c r="H396" i="1"/>
  <c r="H380" i="1"/>
  <c r="H364" i="1"/>
  <c r="H348" i="1"/>
  <c r="H332" i="1"/>
  <c r="H316" i="1"/>
  <c r="H298" i="1"/>
  <c r="H379" i="1"/>
  <c r="H363" i="1"/>
  <c r="H347" i="1"/>
  <c r="H331" i="1"/>
  <c r="H315" i="1"/>
  <c r="H296" i="1"/>
  <c r="H203" i="1"/>
  <c r="H187" i="1"/>
  <c r="H171" i="1"/>
  <c r="H155" i="1"/>
  <c r="H139" i="1"/>
  <c r="H123" i="1"/>
  <c r="H107" i="1"/>
  <c r="H91" i="1"/>
  <c r="H299" i="1"/>
  <c r="H291" i="1"/>
  <c r="H283" i="1"/>
  <c r="H275" i="1"/>
  <c r="H267" i="1"/>
  <c r="H259" i="1"/>
  <c r="H251" i="1"/>
  <c r="H243" i="1"/>
  <c r="H235" i="1"/>
  <c r="H227" i="1"/>
  <c r="H219" i="1"/>
  <c r="H211" i="1"/>
  <c r="H202" i="1"/>
  <c r="H186" i="1"/>
  <c r="H170" i="1"/>
  <c r="H154" i="1"/>
  <c r="H138" i="1"/>
  <c r="H122" i="1"/>
  <c r="H106" i="1"/>
  <c r="H90" i="1"/>
  <c r="H197" i="1"/>
  <c r="H181" i="1"/>
  <c r="H165" i="1"/>
  <c r="H149" i="1"/>
  <c r="H133" i="1"/>
  <c r="H117" i="1"/>
  <c r="H101" i="1"/>
  <c r="H85" i="1"/>
  <c r="H266" i="1"/>
  <c r="H258" i="1"/>
  <c r="H250" i="1"/>
  <c r="H242" i="1"/>
  <c r="H234" i="1"/>
  <c r="H226" i="1"/>
  <c r="H218" i="1"/>
  <c r="H210" i="1"/>
  <c r="H200" i="1"/>
  <c r="H184" i="1"/>
  <c r="H168" i="1"/>
  <c r="H152" i="1"/>
  <c r="H136" i="1"/>
  <c r="H120" i="1"/>
  <c r="H104" i="1"/>
  <c r="H88" i="1"/>
  <c r="H73" i="1"/>
  <c r="H65" i="1"/>
  <c r="H57" i="1"/>
  <c r="H49" i="1"/>
  <c r="H41" i="1"/>
  <c r="H82" i="1"/>
  <c r="H74" i="1"/>
  <c r="H66" i="1"/>
  <c r="H58" i="1"/>
  <c r="H50" i="1"/>
  <c r="H42" i="1"/>
  <c r="H34" i="1"/>
  <c r="H402" i="1" a="1"/>
  <c r="H517" i="1" a="1"/>
  <c r="H581" i="1" a="1"/>
  <c r="H616" i="1" a="1"/>
  <c r="H648" i="1" a="1"/>
  <c r="H680" i="1" a="1"/>
  <c r="H712" i="1" a="1"/>
  <c r="H744" i="1" a="1"/>
  <c r="H427" i="1" a="1"/>
  <c r="H552" i="1" a="1"/>
  <c r="H717" i="1" a="1"/>
  <c r="H805" i="1" a="1"/>
  <c r="H871" i="1" a="1"/>
  <c r="H935" i="1" a="1"/>
  <c r="H999" i="1" a="1"/>
  <c r="H663" i="1" a="1"/>
  <c r="H778" i="1" a="1"/>
  <c r="H842" i="1" a="1"/>
  <c r="H904" i="1" a="1"/>
  <c r="H968" i="1" a="1"/>
  <c r="H1032" i="1" a="1"/>
  <c r="H705" i="1" a="1"/>
  <c r="H64" i="1" a="1"/>
  <c r="H208" i="1" a="1"/>
  <c r="H86" i="1" a="1"/>
  <c r="H273" i="1" a="1"/>
  <c r="H359" i="1" a="1"/>
  <c r="H512" i="1" a="1"/>
  <c r="H302" i="1" a="1"/>
  <c r="H597" i="1" a="1"/>
  <c r="H383" i="1" a="1"/>
  <c r="H551" i="1" a="1"/>
  <c r="H447" i="1" a="1"/>
  <c r="H538" i="1" a="1"/>
  <c r="H594" i="1" a="1"/>
  <c r="H626" i="1" a="1"/>
  <c r="H658" i="1" a="1"/>
  <c r="H690" i="1" a="1"/>
  <c r="H722" i="1" a="1"/>
  <c r="H754" i="1" a="1"/>
  <c r="H576" i="1" a="1"/>
  <c r="H829" i="1" a="1"/>
  <c r="H959" i="1" a="1"/>
  <c r="H711" i="1" a="1"/>
  <c r="H864" i="1" a="1"/>
  <c r="H992" i="1" a="1"/>
  <c r="H753" i="1" a="1"/>
  <c r="H839" i="1" a="1"/>
  <c r="H902" i="1" a="1"/>
  <c r="H966" i="1" a="1"/>
  <c r="H1030" i="1" a="1"/>
  <c r="H1085" i="1" a="1"/>
  <c r="H1117" i="1" a="1"/>
  <c r="H1149" i="1" a="1"/>
  <c r="H755" i="1" a="1"/>
  <c r="H824" i="1" a="1"/>
  <c r="H889" i="1" a="1"/>
  <c r="H953" i="1" a="1"/>
  <c r="H1017" i="1" a="1"/>
  <c r="H1168" i="1" a="1"/>
  <c r="H1232" i="1" a="1"/>
  <c r="H1296" i="1" a="1"/>
  <c r="H1357" i="1" a="1"/>
  <c r="H1389" i="1" a="1"/>
  <c r="H1421" i="1" a="1"/>
  <c r="H1453" i="1" a="1"/>
  <c r="H1485" i="1" a="1"/>
  <c r="H1517" i="1" a="1"/>
  <c r="H1106" i="1" a="1"/>
  <c r="H1169" i="1" a="1"/>
  <c r="H1233" i="1" a="1"/>
  <c r="H1297" i="1" a="1"/>
  <c r="H1159" i="1" a="1"/>
  <c r="H1223" i="1" a="1"/>
  <c r="H1287" i="1" a="1"/>
  <c r="H1351" i="1" a="1"/>
  <c r="H1386" i="1" a="1"/>
  <c r="H1418" i="1" a="1"/>
  <c r="H1450" i="1" a="1"/>
  <c r="H1482" i="1" a="1"/>
  <c r="H1514" i="1" a="1"/>
  <c r="H1546" i="1" a="1"/>
  <c r="H1578" i="1" a="1"/>
  <c r="H1071" i="1" a="1"/>
  <c r="H1136" i="1" a="1"/>
  <c r="H1202" i="1" a="1"/>
  <c r="H1266" i="1" a="1"/>
  <c r="H1330" i="1" a="1"/>
  <c r="H1603" i="1" a="1"/>
  <c r="H555" i="1" a="1"/>
  <c r="H809" i="1" a="1"/>
  <c r="H938" i="1" a="1"/>
  <c r="H671" i="1" a="1"/>
  <c r="H846" i="1" a="1"/>
  <c r="H973" i="1" a="1"/>
  <c r="H713" i="1" a="1"/>
  <c r="H827" i="1" a="1"/>
  <c r="H891" i="1" a="1"/>
  <c r="H955" i="1" a="1"/>
  <c r="H1019" i="1" a="1"/>
  <c r="H1079" i="1" a="1"/>
  <c r="H1111" i="1" a="1"/>
  <c r="H1143" i="1" a="1"/>
  <c r="H731" i="1" a="1"/>
  <c r="H812" i="1" a="1"/>
  <c r="H876" i="1" a="1"/>
  <c r="H940" i="1" a="1"/>
  <c r="H1004" i="1" a="1"/>
  <c r="H1073" i="1" a="1"/>
  <c r="H1219" i="1" a="1"/>
  <c r="H1283" i="1" a="1"/>
  <c r="H1347" i="1" a="1"/>
  <c r="H1383" i="1" a="1"/>
  <c r="H1415" i="1" a="1"/>
  <c r="H1447" i="1" a="1"/>
  <c r="H1479" i="1" a="1"/>
  <c r="H1511" i="1" a="1"/>
  <c r="H1094" i="1" a="1"/>
  <c r="H1158" i="1" a="1"/>
  <c r="H1222" i="1" a="1"/>
  <c r="H1286" i="1" a="1"/>
  <c r="H1350" i="1" a="1"/>
  <c r="H1212" i="1" a="1"/>
  <c r="H1276" i="1" a="1"/>
  <c r="H1340" i="1" a="1"/>
  <c r="H1380" i="1" a="1"/>
  <c r="H1412" i="1" a="1"/>
  <c r="H434" i="1" a="1"/>
  <c r="H533" i="1" a="1"/>
  <c r="H592" i="1" a="1"/>
  <c r="H624" i="1" a="1"/>
  <c r="H656" i="1" a="1"/>
  <c r="H688" i="1" a="1"/>
  <c r="H720" i="1" a="1"/>
  <c r="H752" i="1" a="1"/>
  <c r="H458" i="1" a="1"/>
  <c r="H568" i="1" a="1"/>
  <c r="H749" i="1" a="1"/>
  <c r="H821" i="1" a="1"/>
  <c r="H887" i="1" a="1"/>
  <c r="H951" i="1" a="1"/>
  <c r="H1015" i="1" a="1"/>
  <c r="H695" i="1" a="1"/>
  <c r="H794" i="1" a="1"/>
  <c r="H856" i="1" a="1"/>
  <c r="H920" i="1" a="1"/>
  <c r="H984" i="1" a="1"/>
  <c r="H1048" i="1" a="1"/>
  <c r="H737" i="1" a="1"/>
  <c r="H47" i="1" a="1"/>
  <c r="H240" i="1" a="1"/>
  <c r="H150" i="1" a="1"/>
  <c r="H87" i="1" a="1"/>
  <c r="H328" i="1" a="1"/>
  <c r="H325" i="1" a="1"/>
  <c r="H366" i="1" a="1"/>
  <c r="H613" i="1" a="1"/>
  <c r="H445" i="1" a="1"/>
  <c r="H567" i="1" a="1"/>
  <c r="H479" i="1" a="1"/>
  <c r="H554" i="1" a="1"/>
  <c r="H602" i="1" a="1"/>
  <c r="H634" i="1" a="1"/>
  <c r="H666" i="1" a="1"/>
  <c r="H698" i="1" a="1"/>
  <c r="H730" i="1" a="1"/>
  <c r="H762" i="1" a="1"/>
  <c r="H701" i="1" a="1"/>
  <c r="H863" i="1" a="1"/>
  <c r="H991" i="1" a="1"/>
  <c r="H770" i="1" a="1"/>
  <c r="H896" i="1" a="1"/>
  <c r="H1024" i="1" a="1"/>
  <c r="H791" i="1" a="1"/>
  <c r="H854" i="1" a="1"/>
  <c r="H918" i="1" a="1"/>
  <c r="H982" i="1" a="1"/>
  <c r="H1046" i="1" a="1"/>
  <c r="H1093" i="1" a="1"/>
  <c r="H1125" i="1" a="1"/>
  <c r="H1157" i="1" a="1"/>
  <c r="H776" i="1" a="1"/>
  <c r="H840" i="1" a="1"/>
  <c r="H905" i="1" a="1"/>
  <c r="H969" i="1" a="1"/>
  <c r="H1033" i="1" a="1"/>
  <c r="H1184" i="1" a="1"/>
  <c r="H1248" i="1" a="1"/>
  <c r="H1312" i="1" a="1"/>
  <c r="H1365" i="1" a="1"/>
  <c r="H1397" i="1" a="1"/>
  <c r="H1429" i="1" a="1"/>
  <c r="H1461" i="1" a="1"/>
  <c r="H1493" i="1" a="1"/>
  <c r="H1525" i="1" a="1"/>
  <c r="H1122" i="1" a="1"/>
  <c r="H1185" i="1" a="1"/>
  <c r="H1249" i="1" a="1"/>
  <c r="H1313" i="1" a="1"/>
  <c r="H1175" i="1" a="1"/>
  <c r="H1239" i="1" a="1"/>
  <c r="H1303" i="1" a="1"/>
  <c r="H1362" i="1" a="1"/>
  <c r="H1394" i="1" a="1"/>
  <c r="H1426" i="1" a="1"/>
  <c r="H1458" i="1" a="1"/>
  <c r="H1490" i="1" a="1"/>
  <c r="H1522" i="1" a="1"/>
  <c r="H1554" i="1" a="1"/>
  <c r="H1586" i="1" a="1"/>
  <c r="H1088" i="1" a="1"/>
  <c r="H1152" i="1" a="1"/>
  <c r="H1218" i="1" a="1"/>
  <c r="H1282" i="1" a="1"/>
  <c r="H1346" i="1" a="1"/>
  <c r="H1621" i="1" a="1"/>
  <c r="H661" i="1" a="1"/>
  <c r="H841" i="1" a="1"/>
  <c r="H970" i="1" a="1"/>
  <c r="H735" i="1" a="1"/>
  <c r="H877" i="1" a="1"/>
  <c r="H1005" i="1" a="1"/>
  <c r="H771" i="1" a="1"/>
  <c r="H843" i="1" a="1"/>
  <c r="H907" i="1" a="1"/>
  <c r="H971" i="1" a="1"/>
  <c r="H1035" i="1" a="1"/>
  <c r="H1087" i="1" a="1"/>
  <c r="H1119" i="1" a="1"/>
  <c r="H1151" i="1" a="1"/>
  <c r="H763" i="1" a="1"/>
  <c r="H828" i="1" a="1"/>
  <c r="H892" i="1" a="1"/>
  <c r="H956" i="1" a="1"/>
  <c r="H1020" i="1" a="1"/>
  <c r="H1171" i="1" a="1"/>
  <c r="H1235" i="1" a="1"/>
  <c r="H1299" i="1" a="1"/>
  <c r="H1359" i="1" a="1"/>
  <c r="H1391" i="1" a="1"/>
  <c r="H1423" i="1" a="1"/>
  <c r="H1455" i="1" a="1"/>
  <c r="H1487" i="1" a="1"/>
  <c r="H1519" i="1" a="1"/>
  <c r="H1110" i="1" a="1"/>
  <c r="H1174" i="1" a="1"/>
  <c r="H1238" i="1" a="1"/>
  <c r="H1302" i="1" a="1"/>
  <c r="H1164" i="1" a="1"/>
  <c r="H1228" i="1" a="1"/>
  <c r="H1292" i="1" a="1"/>
  <c r="H1356" i="1" a="1"/>
  <c r="H1388" i="1" a="1"/>
  <c r="H1420" i="1" a="1"/>
  <c r="H468" i="1" a="1"/>
  <c r="H549" i="1" a="1"/>
  <c r="H600" i="1" a="1"/>
  <c r="H632" i="1" a="1"/>
  <c r="H664" i="1" a="1"/>
  <c r="H696" i="1" a="1"/>
  <c r="H728" i="1" a="1"/>
  <c r="H760" i="1" a="1"/>
  <c r="H490" i="1" a="1"/>
  <c r="H584" i="1" a="1"/>
  <c r="H773" i="1" a="1"/>
  <c r="H837" i="1" a="1"/>
  <c r="H903" i="1" a="1"/>
  <c r="H967" i="1" a="1"/>
  <c r="H1031" i="1" a="1"/>
  <c r="H727" i="1" a="1"/>
  <c r="H810" i="1" a="1"/>
  <c r="H872" i="1" a="1"/>
  <c r="H936" i="1" a="1"/>
  <c r="H1000" i="1" a="1"/>
  <c r="H1064" i="1" a="1"/>
  <c r="H767" i="1" a="1"/>
  <c r="H84" i="1" a="1"/>
  <c r="H79" i="1" a="1"/>
  <c r="H209" i="1" a="1"/>
  <c r="H151" i="1" a="1"/>
  <c r="H392" i="1" a="1"/>
  <c r="H389" i="1" a="1"/>
  <c r="H476" i="1" a="1"/>
  <c r="H629" i="1" a="1"/>
  <c r="H493" i="1" a="1"/>
  <c r="H583" i="1" a="1"/>
  <c r="H505" i="1" a="1"/>
  <c r="H570" i="1" a="1"/>
  <c r="H610" i="1" a="1"/>
  <c r="H642" i="1" a="1"/>
  <c r="H674" i="1" a="1"/>
  <c r="H706" i="1" a="1"/>
  <c r="H738" i="1" a="1"/>
  <c r="H474" i="1" a="1"/>
  <c r="H765" i="1" a="1"/>
  <c r="H895" i="1" a="1"/>
  <c r="H1023" i="1" a="1"/>
  <c r="H802" i="1" a="1"/>
  <c r="H928" i="1" a="1"/>
  <c r="H1056" i="1" a="1"/>
  <c r="H807" i="1" a="1"/>
  <c r="H870" i="1" a="1"/>
  <c r="H934" i="1" a="1"/>
  <c r="H998" i="1" a="1"/>
  <c r="H1062" i="1" a="1"/>
  <c r="H1101" i="1" a="1"/>
  <c r="H1133" i="1" a="1"/>
  <c r="H691" i="1" a="1"/>
  <c r="H792" i="1" a="1"/>
  <c r="H857" i="1" a="1"/>
  <c r="H921" i="1" a="1"/>
  <c r="H985" i="1" a="1"/>
  <c r="H1049" i="1" a="1"/>
  <c r="H1200" i="1" a="1"/>
  <c r="H1264" i="1" a="1"/>
  <c r="H1328" i="1" a="1"/>
  <c r="H1373" i="1" a="1"/>
  <c r="H1405" i="1" a="1"/>
  <c r="H1437" i="1" a="1"/>
  <c r="H1469" i="1" a="1"/>
  <c r="H1501" i="1" a="1"/>
  <c r="H1074" i="1" a="1"/>
  <c r="H1138" i="1" a="1"/>
  <c r="H1201" i="1" a="1"/>
  <c r="H1265" i="1" a="1"/>
  <c r="H1329" i="1" a="1"/>
  <c r="H1191" i="1" a="1"/>
  <c r="H1255" i="1" a="1"/>
  <c r="H1319" i="1" a="1"/>
  <c r="H1370" i="1" a="1"/>
  <c r="H1402" i="1" a="1"/>
  <c r="H1434" i="1" a="1"/>
  <c r="H1466" i="1" a="1"/>
  <c r="H1498" i="1" a="1"/>
  <c r="H1530" i="1" a="1"/>
  <c r="H1562" i="1" a="1"/>
  <c r="H1594" i="1" a="1"/>
  <c r="H1104" i="1" a="1"/>
  <c r="H1170" i="1" a="1"/>
  <c r="H1234" i="1" a="1"/>
  <c r="H1298" i="1" a="1"/>
  <c r="H1539" i="1" a="1"/>
  <c r="H403" i="1" a="1"/>
  <c r="H725" i="1" a="1"/>
  <c r="H874" i="1" a="1"/>
  <c r="H1002" i="1" a="1"/>
  <c r="H782" i="1" a="1"/>
  <c r="H909" i="1" a="1"/>
  <c r="H1037" i="1" a="1"/>
  <c r="H795" i="1" a="1"/>
  <c r="H859" i="1" a="1"/>
  <c r="H923" i="1" a="1"/>
  <c r="H987" i="1" a="1"/>
  <c r="H1051" i="1" a="1"/>
  <c r="H1095" i="1" a="1"/>
  <c r="H1127" i="1" a="1"/>
  <c r="H667" i="1" a="1"/>
  <c r="H780" i="1" a="1"/>
  <c r="H844" i="1" a="1"/>
  <c r="H908" i="1" a="1"/>
  <c r="H972" i="1" a="1"/>
  <c r="H1036" i="1" a="1"/>
  <c r="H1187" i="1" a="1"/>
  <c r="H1251" i="1" a="1"/>
  <c r="H1315" i="1" a="1"/>
  <c r="H1367" i="1" a="1"/>
  <c r="H1399" i="1" a="1"/>
  <c r="H1431" i="1" a="1"/>
  <c r="H1463" i="1" a="1"/>
  <c r="H1495" i="1" a="1"/>
  <c r="H1527" i="1" a="1"/>
  <c r="H1126" i="1" a="1"/>
  <c r="H1190" i="1" a="1"/>
  <c r="H1254" i="1" a="1"/>
  <c r="H1318" i="1" a="1"/>
  <c r="H1180" i="1" a="1"/>
  <c r="H1244" i="1" a="1"/>
  <c r="H1308" i="1" a="1"/>
  <c r="H1364" i="1" a="1"/>
  <c r="H1396" i="1" a="1"/>
  <c r="H1428" i="1" a="1"/>
  <c r="H580" i="1" a="1"/>
  <c r="H500" i="1" a="1"/>
  <c r="H565" i="1" a="1"/>
  <c r="H608" i="1" a="1"/>
  <c r="H640" i="1" a="1"/>
  <c r="H672" i="1" a="1"/>
  <c r="H704" i="1" a="1"/>
  <c r="H736" i="1" a="1"/>
  <c r="H395" i="1" a="1"/>
  <c r="H536" i="1" a="1"/>
  <c r="H685" i="1" a="1"/>
  <c r="H789" i="1" a="1"/>
  <c r="H855" i="1" a="1"/>
  <c r="H919" i="1" a="1"/>
  <c r="H983" i="1" a="1"/>
  <c r="H1047" i="1" a="1"/>
  <c r="H759" i="1" a="1"/>
  <c r="H826" i="1" a="1"/>
  <c r="H888" i="1" a="1"/>
  <c r="H952" i="1" a="1"/>
  <c r="H1016" i="1" a="1"/>
  <c r="H673" i="1" a="1"/>
  <c r="H783" i="1" a="1"/>
  <c r="H148" i="1" a="1"/>
  <c r="H145" i="1" a="1"/>
  <c r="H241" i="1" a="1"/>
  <c r="H288" i="1" a="1"/>
  <c r="H456" i="1" a="1"/>
  <c r="H454" i="1" a="1"/>
  <c r="H553" i="1" a="1"/>
  <c r="H645" i="1" a="1"/>
  <c r="H535" i="1" a="1"/>
  <c r="H410" i="1" a="1"/>
  <c r="H521" i="1" a="1"/>
  <c r="H586" i="1" a="1"/>
  <c r="H618" i="1" a="1"/>
  <c r="H650" i="1" a="1"/>
  <c r="H682" i="1" a="1"/>
  <c r="H714" i="1" a="1"/>
  <c r="H746" i="1" a="1"/>
  <c r="H544" i="1" a="1"/>
  <c r="H797" i="1" a="1"/>
  <c r="H927" i="1" a="1"/>
  <c r="H1055" i="1" a="1"/>
  <c r="H834" i="1" a="1"/>
  <c r="H960" i="1" a="1"/>
  <c r="H689" i="1" a="1"/>
  <c r="H823" i="1" a="1"/>
  <c r="H886" i="1" a="1"/>
  <c r="H950" i="1" a="1"/>
  <c r="H1014" i="1" a="1"/>
  <c r="H1077" i="1" a="1"/>
  <c r="H1109" i="1" a="1"/>
  <c r="H1141" i="1" a="1"/>
  <c r="H723" i="1" a="1"/>
  <c r="H808" i="1" a="1"/>
  <c r="H873" i="1" a="1"/>
  <c r="H937" i="1" a="1"/>
  <c r="H1001" i="1" a="1"/>
  <c r="H1068" i="1" a="1"/>
  <c r="H1216" i="1" a="1"/>
  <c r="H1280" i="1" a="1"/>
  <c r="H1344" i="1" a="1"/>
  <c r="H1381" i="1" a="1"/>
  <c r="H1413" i="1" a="1"/>
  <c r="H1445" i="1" a="1"/>
  <c r="H1477" i="1" a="1"/>
  <c r="H1509" i="1" a="1"/>
  <c r="H1090" i="1" a="1"/>
  <c r="H1154" i="1" a="1"/>
  <c r="H1217" i="1" a="1"/>
  <c r="H1281" i="1" a="1"/>
  <c r="H1345" i="1" a="1"/>
  <c r="H1207" i="1" a="1"/>
  <c r="H1271" i="1" a="1"/>
  <c r="H1335" i="1" a="1"/>
  <c r="H1378" i="1" a="1"/>
  <c r="H1410" i="1" a="1"/>
  <c r="H1442" i="1" a="1"/>
  <c r="H1474" i="1" a="1"/>
  <c r="H1506" i="1" a="1"/>
  <c r="H1538" i="1" a="1"/>
  <c r="H1570" i="1" a="1"/>
  <c r="H1602" i="1" a="1"/>
  <c r="H1120" i="1" a="1"/>
  <c r="H1186" i="1" a="1"/>
  <c r="H1250" i="1" a="1"/>
  <c r="H1314" i="1" a="1"/>
  <c r="H1571" i="1" a="1"/>
  <c r="H501" i="1" a="1"/>
  <c r="H777" i="1" a="1"/>
  <c r="H906" i="1" a="1"/>
  <c r="H1034" i="1" a="1"/>
  <c r="H814" i="1" a="1"/>
  <c r="H941" i="1" a="1"/>
  <c r="H1069" i="1" a="1"/>
  <c r="H811" i="1" a="1"/>
  <c r="H875" i="1" a="1"/>
  <c r="H939" i="1" a="1"/>
  <c r="H1003" i="1" a="1"/>
  <c r="H1067" i="1" a="1"/>
  <c r="H1103" i="1" a="1"/>
  <c r="H1135" i="1" a="1"/>
  <c r="H699" i="1" a="1"/>
  <c r="H796" i="1" a="1"/>
  <c r="H860" i="1" a="1"/>
  <c r="H924" i="1" a="1"/>
  <c r="H988" i="1" a="1"/>
  <c r="H1052" i="1" a="1"/>
  <c r="H1203" i="1" a="1"/>
  <c r="H1267" i="1" a="1"/>
  <c r="H1331" i="1" a="1"/>
  <c r="H1375" i="1" a="1"/>
  <c r="H1407" i="1" a="1"/>
  <c r="H1439" i="1" a="1"/>
  <c r="H1471" i="1" a="1"/>
  <c r="H1503" i="1" a="1"/>
  <c r="H1078" i="1" a="1"/>
  <c r="H1142" i="1" a="1"/>
  <c r="H1206" i="1" a="1"/>
  <c r="H1270" i="1" a="1"/>
  <c r="H1334" i="1" a="1"/>
  <c r="H1196" i="1" a="1"/>
  <c r="H1260" i="1" a="1"/>
  <c r="H1324" i="1" a="1"/>
  <c r="H1372" i="1" a="1"/>
  <c r="H1404" i="1" a="1"/>
  <c r="H1436" i="1" a="1"/>
  <c r="H1468" i="1" a="1"/>
  <c r="H1500" i="1" a="1"/>
  <c r="H1532" i="1" a="1"/>
  <c r="H1564" i="1" a="1"/>
  <c r="H1596" i="1" a="1"/>
  <c r="H1108" i="1" a="1"/>
  <c r="H1173" i="1" a="1"/>
  <c r="H1237" i="1" a="1"/>
  <c r="H1301" i="1" a="1"/>
  <c r="H1547" i="1" a="1"/>
  <c r="H528" i="1" a="1"/>
  <c r="H781" i="1" a="1"/>
  <c r="H911" i="1" a="1"/>
  <c r="H1039" i="1" a="1"/>
  <c r="H818" i="1" a="1"/>
  <c r="H944" i="1" a="1"/>
  <c r="H1072" i="1" a="1"/>
  <c r="H815" i="1" a="1"/>
  <c r="H878" i="1" a="1"/>
  <c r="H942" i="1" a="1"/>
  <c r="H1006" i="1" a="1"/>
  <c r="H1070" i="1" a="1"/>
  <c r="H1105" i="1" a="1"/>
  <c r="H1137" i="1" a="1"/>
  <c r="H707" i="1" a="1"/>
  <c r="H800" i="1" a="1"/>
  <c r="H865" i="1" a="1"/>
  <c r="H929" i="1" a="1"/>
  <c r="H993" i="1" a="1"/>
  <c r="H1057" i="1" a="1"/>
  <c r="H1208" i="1" a="1"/>
  <c r="H1272" i="1" a="1"/>
  <c r="H1336" i="1" a="1"/>
  <c r="H1377" i="1" a="1"/>
  <c r="H1409" i="1" a="1"/>
  <c r="H1441" i="1" a="1"/>
  <c r="H1473" i="1" a="1"/>
  <c r="H1505" i="1" a="1"/>
  <c r="H1082" i="1" a="1"/>
  <c r="H1146" i="1" a="1"/>
  <c r="H1209" i="1" a="1"/>
  <c r="H1273" i="1" a="1"/>
  <c r="H1337" i="1" a="1"/>
  <c r="H693" i="1" a="1"/>
  <c r="H858" i="1" a="1"/>
  <c r="H986" i="1" a="1"/>
  <c r="H766" i="1" a="1"/>
  <c r="H893" i="1" a="1"/>
  <c r="H1021" i="1" a="1"/>
  <c r="H787" i="1" a="1"/>
  <c r="H851" i="1" a="1"/>
  <c r="H915" i="1" a="1"/>
  <c r="H979" i="1" a="1"/>
  <c r="H1043" i="1" a="1"/>
  <c r="H1091" i="1" a="1"/>
  <c r="H1123" i="1" a="1"/>
  <c r="H1155" i="1" a="1"/>
  <c r="H772" i="1" a="1"/>
  <c r="H836" i="1" a="1"/>
  <c r="H900" i="1" a="1"/>
  <c r="H964" i="1" a="1"/>
  <c r="H1028" i="1" a="1"/>
  <c r="H1179" i="1" a="1"/>
  <c r="H1243" i="1" a="1"/>
  <c r="H1307" i="1" a="1"/>
  <c r="H1363" i="1" a="1"/>
  <c r="H1395" i="1" a="1"/>
  <c r="H1427" i="1" a="1"/>
  <c r="H1459" i="1" a="1"/>
  <c r="H1491" i="1" a="1"/>
  <c r="H1523" i="1" a="1"/>
  <c r="H1118" i="1" a="1"/>
  <c r="H1182" i="1" a="1"/>
  <c r="H1246" i="1" a="1"/>
  <c r="H1310" i="1" a="1"/>
  <c r="H1252" i="1" a="1"/>
  <c r="H1368" i="1" a="1"/>
  <c r="H1432" i="1" a="1"/>
  <c r="H1496" i="1" a="1"/>
  <c r="H1560" i="1" a="1"/>
  <c r="H1100" i="1" a="1"/>
  <c r="H1229" i="1" a="1"/>
  <c r="H1531" i="1" a="1"/>
  <c r="H1661" i="1" a="1"/>
  <c r="H1725" i="1" a="1"/>
  <c r="H1789" i="1" a="1"/>
  <c r="H1855" i="1" a="1"/>
  <c r="H1904" i="1" a="1"/>
  <c r="H1958" i="1" a="1"/>
  <c r="H1610" i="1" a="1"/>
  <c r="H1674" i="1" a="1"/>
  <c r="H1738" i="1" a="1"/>
  <c r="H1802" i="1" a="1"/>
  <c r="H1864" i="1" a="1"/>
  <c r="H1981" i="1" a="1"/>
  <c r="H1543" i="1" a="1"/>
  <c r="H1639" i="1" a="1"/>
  <c r="H1703" i="1" a="1"/>
  <c r="H1767" i="1" a="1"/>
  <c r="H1830" i="1" a="1"/>
  <c r="H1893" i="1" a="1"/>
  <c r="H1925" i="1" a="1"/>
  <c r="H1971" i="1" a="1"/>
  <c r="H1998" i="1" a="1"/>
  <c r="H1632" i="1" a="1"/>
  <c r="H1696" i="1" a="1"/>
  <c r="H1760" i="1" a="1"/>
  <c r="H1824" i="1" a="1"/>
  <c r="H1889" i="1" a="1"/>
  <c r="H1840" i="1" a="1"/>
  <c r="H1663" i="1" a="1"/>
  <c r="H1838" i="1" a="1"/>
  <c r="H1979" i="1" a="1"/>
  <c r="H1704" i="1" a="1"/>
  <c r="H1942" i="1" a="1"/>
  <c r="H1999" i="1" a="1"/>
  <c r="H1788" i="1" a="1"/>
  <c r="H1199" i="1" a="1"/>
  <c r="H1327" i="1" a="1"/>
  <c r="H1406" i="1" a="1"/>
  <c r="H1470" i="1" a="1"/>
  <c r="H1534" i="1" a="1"/>
  <c r="H1598" i="1" a="1"/>
  <c r="H1178" i="1" a="1"/>
  <c r="H1306" i="1" a="1"/>
  <c r="H1633" i="1" a="1"/>
  <c r="H1697" i="1" a="1"/>
  <c r="H1761" i="1" a="1"/>
  <c r="H1825" i="1" a="1"/>
  <c r="H1890" i="1" a="1"/>
  <c r="H1922" i="1" a="1"/>
  <c r="H1557" i="1" a="1"/>
  <c r="H1646" i="1" a="1"/>
  <c r="H1710" i="1" a="1"/>
  <c r="H1774" i="1" a="1"/>
  <c r="H1837" i="1" a="1"/>
  <c r="H1953" i="1" a="1"/>
  <c r="H1954" i="1" a="1"/>
  <c r="H1611" i="1" a="1"/>
  <c r="H1675" i="1" a="1"/>
  <c r="H1739" i="1" a="1"/>
  <c r="H1803" i="1" a="1"/>
  <c r="H1867" i="1" a="1"/>
  <c r="H1911" i="1" a="1"/>
  <c r="H1943" i="1" a="1"/>
  <c r="H1940" i="1" a="1"/>
  <c r="H1601" i="1" a="1"/>
  <c r="H1668" i="1" a="1"/>
  <c r="H1732" i="1" a="1"/>
  <c r="H1796" i="1" a="1"/>
  <c r="H1860" i="1" a="1"/>
  <c r="H1872" i="1" a="1"/>
  <c r="H1679" i="1" a="1"/>
  <c r="H1854" i="1" a="1"/>
  <c r="H1995" i="1" a="1"/>
  <c r="H1720" i="1" a="1"/>
  <c r="H1974" i="1" a="1"/>
  <c r="H1992" i="1" a="1"/>
  <c r="H1820" i="1" a="1"/>
  <c r="H1204" i="1" a="1"/>
  <c r="H1332" i="1" a="1"/>
  <c r="H1408" i="1" a="1"/>
  <c r="H1472" i="1" a="1"/>
  <c r="H1536" i="1" a="1"/>
  <c r="H1600" i="1" a="1"/>
  <c r="H1181" i="1" a="1"/>
  <c r="H1309" i="1" a="1"/>
  <c r="H1637" i="1" a="1"/>
  <c r="H1701" i="1" a="1"/>
  <c r="H1765" i="1" a="1"/>
  <c r="H1831" i="1" a="1"/>
  <c r="H1892" i="1" a="1"/>
  <c r="H1924" i="1" a="1"/>
  <c r="H1565" i="1" a="1"/>
  <c r="H1650" i="1" a="1"/>
  <c r="H1714" i="1" a="1"/>
  <c r="H1778" i="1" a="1"/>
  <c r="H1856" i="1" a="1"/>
  <c r="H1962" i="1" a="1"/>
  <c r="H1743" i="1" a="1"/>
  <c r="H1929" i="1" a="1"/>
  <c r="H1640" i="1" a="1"/>
  <c r="H1833" i="1" a="1"/>
  <c r="H1951" i="1" a="1"/>
  <c r="H1756" i="1" a="1"/>
  <c r="H1353" i="1" a="1"/>
  <c r="H1279" i="1" a="1"/>
  <c r="H1382" i="1" a="1"/>
  <c r="H1446" i="1" a="1"/>
  <c r="H1510" i="1" a="1"/>
  <c r="H1574" i="1" a="1"/>
  <c r="H1128" i="1" a="1"/>
  <c r="H1258" i="1" a="1"/>
  <c r="H1587" i="1" a="1"/>
  <c r="H1673" i="1" a="1"/>
  <c r="H1737" i="1" a="1"/>
  <c r="H1801" i="1" a="1"/>
  <c r="H1866" i="1" a="1"/>
  <c r="H1910" i="1" a="1"/>
  <c r="H1984" i="1" a="1"/>
  <c r="H1622" i="1" a="1"/>
  <c r="H1686" i="1" a="1"/>
  <c r="H1750" i="1" a="1"/>
  <c r="H1814" i="1" a="1"/>
  <c r="H1877" i="1" a="1"/>
  <c r="H1993" i="1" a="1"/>
  <c r="H1567" i="1" a="1"/>
  <c r="H1651" i="1" a="1"/>
  <c r="H1715" i="1" a="1"/>
  <c r="H1779" i="1" a="1"/>
  <c r="H1843" i="1" a="1"/>
  <c r="H1983" i="1" a="1"/>
  <c r="H1772" i="1" a="1"/>
  <c r="H17" i="1" a="1"/>
  <c r="H20" i="1" a="1"/>
  <c r="H19" i="1" a="1"/>
  <c r="H22" i="1" a="1"/>
  <c r="H10" i="1" a="1"/>
  <c r="H5" i="1" a="1"/>
  <c r="H16" i="1" a="1"/>
  <c r="H21" i="1" a="1"/>
  <c r="H2" i="1" a="1"/>
  <c r="H1478" i="1" a="1"/>
  <c r="H1194" i="1" a="1"/>
  <c r="H1641" i="1" a="1"/>
  <c r="H1834" i="1" a="1"/>
  <c r="H1926" i="1" a="1"/>
  <c r="H1718" i="1" a="1"/>
  <c r="H1961" i="1" a="1"/>
  <c r="H1619" i="1" a="1"/>
  <c r="H1811" i="1" a="1"/>
  <c r="H1982" i="1" a="1"/>
  <c r="H6" i="1" a="1"/>
  <c r="H15" i="1" a="1"/>
  <c r="H1605" i="1" a="1"/>
  <c r="H1535" i="1" a="1"/>
  <c r="H1827" i="1" a="1"/>
  <c r="H12" i="1" a="1"/>
  <c r="H18" i="1" a="1"/>
  <c r="H1444" i="1" a="1"/>
  <c r="H1476" i="1" a="1"/>
  <c r="H1508" i="1" a="1"/>
  <c r="H1540" i="1" a="1"/>
  <c r="H1572" i="1" a="1"/>
  <c r="H1604" i="1" a="1"/>
  <c r="H1124" i="1" a="1"/>
  <c r="H1189" i="1" a="1"/>
  <c r="H1253" i="1" a="1"/>
  <c r="H1317" i="1" a="1"/>
  <c r="H1579" i="1" a="1"/>
  <c r="H560" i="1" a="1"/>
  <c r="H813" i="1" a="1"/>
  <c r="H943" i="1" a="1"/>
  <c r="H679" i="1" a="1"/>
  <c r="H850" i="1" a="1"/>
  <c r="H976" i="1" a="1"/>
  <c r="H721" i="1" a="1"/>
  <c r="H831" i="1" a="1"/>
  <c r="H894" i="1" a="1"/>
  <c r="H958" i="1" a="1"/>
  <c r="H1022" i="1" a="1"/>
  <c r="H1081" i="1" a="1"/>
  <c r="H1113" i="1" a="1"/>
  <c r="H1145" i="1" a="1"/>
  <c r="H739" i="1" a="1"/>
  <c r="H816" i="1" a="1"/>
  <c r="H881" i="1" a="1"/>
  <c r="H945" i="1" a="1"/>
  <c r="H1009" i="1" a="1"/>
  <c r="H1160" i="1" a="1"/>
  <c r="H1224" i="1" a="1"/>
  <c r="H1288" i="1" a="1"/>
  <c r="H1352" i="1" a="1"/>
  <c r="H1385" i="1" a="1"/>
  <c r="H1417" i="1" a="1"/>
  <c r="H1449" i="1" a="1"/>
  <c r="H1481" i="1" a="1"/>
  <c r="H1513" i="1" a="1"/>
  <c r="H1098" i="1" a="1"/>
  <c r="H1161" i="1" a="1"/>
  <c r="H1225" i="1" a="1"/>
  <c r="H1289" i="1" a="1"/>
  <c r="H469" i="1" a="1"/>
  <c r="H757" i="1" a="1"/>
  <c r="H890" i="1" a="1"/>
  <c r="H1018" i="1" a="1"/>
  <c r="H798" i="1" a="1"/>
  <c r="H925" i="1" a="1"/>
  <c r="H1053" i="1" a="1"/>
  <c r="H803" i="1" a="1"/>
  <c r="H867" i="1" a="1"/>
  <c r="H931" i="1" a="1"/>
  <c r="H995" i="1" a="1"/>
  <c r="H1059" i="1" a="1"/>
  <c r="H1099" i="1" a="1"/>
  <c r="H1131" i="1" a="1"/>
  <c r="H683" i="1" a="1"/>
  <c r="H788" i="1" a="1"/>
  <c r="H852" i="1" a="1"/>
  <c r="H916" i="1" a="1"/>
  <c r="H980" i="1" a="1"/>
  <c r="H1044" i="1" a="1"/>
  <c r="H1195" i="1" a="1"/>
  <c r="H1259" i="1" a="1"/>
  <c r="H1323" i="1" a="1"/>
  <c r="H1371" i="1" a="1"/>
  <c r="H1403" i="1" a="1"/>
  <c r="H1435" i="1" a="1"/>
  <c r="H1467" i="1" a="1"/>
  <c r="H1499" i="1" a="1"/>
  <c r="H1063" i="1" a="1"/>
  <c r="H1134" i="1" a="1"/>
  <c r="H1198" i="1" a="1"/>
  <c r="H1262" i="1" a="1"/>
  <c r="H1065" i="1" a="1"/>
  <c r="H1284" i="1" a="1"/>
  <c r="H1384" i="1" a="1"/>
  <c r="H1448" i="1" a="1"/>
  <c r="H1512" i="1" a="1"/>
  <c r="H1576" i="1" a="1"/>
  <c r="H1132" i="1" a="1"/>
  <c r="H1261" i="1" a="1"/>
  <c r="H1595" i="1" a="1"/>
  <c r="H1677" i="1" a="1"/>
  <c r="H1741" i="1" a="1"/>
  <c r="H1805" i="1" a="1"/>
  <c r="H1871" i="1" a="1"/>
  <c r="H1912" i="1" a="1"/>
  <c r="H1988" i="1" a="1"/>
  <c r="H1626" i="1" a="1"/>
  <c r="H1690" i="1" a="1"/>
  <c r="H1754" i="1" a="1"/>
  <c r="H1818" i="1" a="1"/>
  <c r="H1880" i="1" a="1"/>
  <c r="H1997" i="1" a="1"/>
  <c r="H1575" i="1" a="1"/>
  <c r="H1655" i="1" a="1"/>
  <c r="H1719" i="1" a="1"/>
  <c r="H1783" i="1" a="1"/>
  <c r="H1846" i="1" a="1"/>
  <c r="H1901" i="1" a="1"/>
  <c r="H1933" i="1" a="1"/>
  <c r="H1987" i="1" a="1"/>
  <c r="H1561" i="1" a="1"/>
  <c r="H1648" i="1" a="1"/>
  <c r="H1712" i="1" a="1"/>
  <c r="H1776" i="1" a="1"/>
  <c r="H1841" i="1" a="1"/>
  <c r="H1960" i="1" a="1"/>
  <c r="H1930" i="1" a="1"/>
  <c r="H1711" i="1" a="1"/>
  <c r="H1886" i="1" a="1"/>
  <c r="H1978" i="1" a="1"/>
  <c r="H1752" i="1" a="1"/>
  <c r="H1859" i="1" a="1"/>
  <c r="H1585" i="1" a="1"/>
  <c r="H1868" i="1" a="1"/>
  <c r="H1231" i="1" a="1"/>
  <c r="H1358" i="1" a="1"/>
  <c r="H1422" i="1" a="1"/>
  <c r="H1486" i="1" a="1"/>
  <c r="H1550" i="1" a="1"/>
  <c r="H1080" i="1" a="1"/>
  <c r="H1210" i="1" a="1"/>
  <c r="H1338" i="1" a="1"/>
  <c r="H1649" i="1" a="1"/>
  <c r="H1713" i="1" a="1"/>
  <c r="H1777" i="1" a="1"/>
  <c r="H1842" i="1" a="1"/>
  <c r="H1898" i="1" a="1"/>
  <c r="H1936" i="1" a="1"/>
  <c r="H1589" i="1" a="1"/>
  <c r="H1662" i="1" a="1"/>
  <c r="H1726" i="1" a="1"/>
  <c r="H1790" i="1" a="1"/>
  <c r="H1853" i="1" a="1"/>
  <c r="H1969" i="1" a="1"/>
  <c r="H1990" i="1" a="1"/>
  <c r="H1627" i="1" a="1"/>
  <c r="H1691" i="1" a="1"/>
  <c r="H1755" i="1" a="1"/>
  <c r="H1819" i="1" a="1"/>
  <c r="H1883" i="1" a="1"/>
  <c r="H1919" i="1" a="1"/>
  <c r="H1959" i="1" a="1"/>
  <c r="H1972" i="1" a="1"/>
  <c r="H1620" i="1" a="1"/>
  <c r="H1684" i="1" a="1"/>
  <c r="H1748" i="1" a="1"/>
  <c r="H1812" i="1" a="1"/>
  <c r="H1876" i="1" a="1"/>
  <c r="H1989" i="1" a="1"/>
  <c r="H1727" i="1" a="1"/>
  <c r="H1897" i="1" a="1"/>
  <c r="H1545" i="1" a="1"/>
  <c r="H1768" i="1" a="1"/>
  <c r="H1875" i="1" a="1"/>
  <c r="H1612" i="1" a="1"/>
  <c r="H1884" i="1" a="1"/>
  <c r="H1236" i="1" a="1"/>
  <c r="H1360" i="1" a="1"/>
  <c r="H1424" i="1" a="1"/>
  <c r="H1488" i="1" a="1"/>
  <c r="H1552" i="1" a="1"/>
  <c r="H1084" i="1" a="1"/>
  <c r="H1213" i="1" a="1"/>
  <c r="H1341" i="1" a="1"/>
  <c r="H1653" i="1" a="1"/>
  <c r="H1717" i="1" a="1"/>
  <c r="H1781" i="1" a="1"/>
  <c r="H1847" i="1" a="1"/>
  <c r="H1900" i="1" a="1"/>
  <c r="H1944" i="1" a="1"/>
  <c r="H1597" i="1" a="1"/>
  <c r="H1666" i="1" a="1"/>
  <c r="H1730" i="1" a="1"/>
  <c r="H1794" i="1" a="1"/>
  <c r="H1888" i="1" a="1"/>
  <c r="H1591" i="1" a="1"/>
  <c r="H1823" i="1" a="1"/>
  <c r="H1963" i="1" a="1"/>
  <c r="H1688" i="1" a="1"/>
  <c r="H1881" i="1" a="1"/>
  <c r="H1956" i="1" a="1"/>
  <c r="H1804" i="1" a="1"/>
  <c r="H1183" i="1" a="1"/>
  <c r="H1311" i="1" a="1"/>
  <c r="H1398" i="1" a="1"/>
  <c r="H1462" i="1" a="1"/>
  <c r="H1526" i="1" a="1"/>
  <c r="H1590" i="1" a="1"/>
  <c r="H1162" i="1" a="1"/>
  <c r="H1290" i="1" a="1"/>
  <c r="H1625" i="1" a="1"/>
  <c r="H1689" i="1" a="1"/>
  <c r="H1753" i="1" a="1"/>
  <c r="H1817" i="1" a="1"/>
  <c r="H1882" i="1" a="1"/>
  <c r="H1918" i="1" a="1"/>
  <c r="H1541" i="1" a="1"/>
  <c r="H1638" i="1" a="1"/>
  <c r="H1702" i="1" a="1"/>
  <c r="H1766" i="1" a="1"/>
  <c r="H1829" i="1" a="1"/>
  <c r="H1945" i="1" a="1"/>
  <c r="H1938" i="1" a="1"/>
  <c r="H1599" i="1" a="1"/>
  <c r="H1667" i="1" a="1"/>
  <c r="H1731" i="1" a="1"/>
  <c r="H1795" i="1" a="1"/>
  <c r="H1891" i="1" a="1"/>
  <c r="H1553" i="1" a="1"/>
  <c r="H1836" i="1" a="1"/>
  <c r="H25" i="1" a="1"/>
  <c r="H28" i="1" a="1"/>
  <c r="H27" i="1" a="1"/>
  <c r="H30" i="1" a="1"/>
  <c r="H26" i="1" a="1"/>
  <c r="H24" i="1" a="1"/>
  <c r="H32" i="1" a="1"/>
  <c r="H8" i="1" a="1"/>
  <c r="H1628" i="1" a="1"/>
  <c r="H1343" i="1" a="1"/>
  <c r="H1542" i="1" a="1"/>
  <c r="H1322" i="1" a="1"/>
  <c r="H1769" i="1" a="1"/>
  <c r="H1894" i="1" a="1"/>
  <c r="H1654" i="1" a="1"/>
  <c r="H1782" i="1" a="1"/>
  <c r="H1970" i="1" a="1"/>
  <c r="H1747" i="1" a="1"/>
  <c r="H1907" i="1" a="1"/>
  <c r="H4" i="1" a="1"/>
  <c r="H7" i="1" a="1"/>
  <c r="H13" i="1" a="1"/>
  <c r="H1734" i="1" a="1"/>
  <c r="H1977" i="1" a="1"/>
  <c r="H1699" i="1" a="1"/>
  <c r="H1708" i="1" a="1"/>
  <c r="H14" i="1" a="1"/>
  <c r="H1452" i="1" a="1"/>
  <c r="H1484" i="1" a="1"/>
  <c r="H1516" i="1" a="1"/>
  <c r="H1548" i="1" a="1"/>
  <c r="H1580" i="1" a="1"/>
  <c r="H1076" i="1" a="1"/>
  <c r="H1140" i="1" a="1"/>
  <c r="H1205" i="1" a="1"/>
  <c r="H1269" i="1" a="1"/>
  <c r="H1333" i="1" a="1"/>
  <c r="H1609" i="1" a="1"/>
  <c r="H669" i="1" a="1"/>
  <c r="H845" i="1" a="1"/>
  <c r="H975" i="1" a="1"/>
  <c r="H743" i="1" a="1"/>
  <c r="H880" i="1" a="1"/>
  <c r="H1008" i="1" a="1"/>
  <c r="H775" i="1" a="1"/>
  <c r="H847" i="1" a="1"/>
  <c r="H910" i="1" a="1"/>
  <c r="H974" i="1" a="1"/>
  <c r="H1038" i="1" a="1"/>
  <c r="H1089" i="1" a="1"/>
  <c r="H1121" i="1" a="1"/>
  <c r="H1153" i="1" a="1"/>
  <c r="H768" i="1" a="1"/>
  <c r="H832" i="1" a="1"/>
  <c r="H897" i="1" a="1"/>
  <c r="H961" i="1" a="1"/>
  <c r="H1025" i="1" a="1"/>
  <c r="H1176" i="1" a="1"/>
  <c r="H1240" i="1" a="1"/>
  <c r="H1304" i="1" a="1"/>
  <c r="H1361" i="1" a="1"/>
  <c r="H1393" i="1" a="1"/>
  <c r="H1425" i="1" a="1"/>
  <c r="H1457" i="1" a="1"/>
  <c r="H1489" i="1" a="1"/>
  <c r="H1521" i="1" a="1"/>
  <c r="H1114" i="1" a="1"/>
  <c r="H1177" i="1" a="1"/>
  <c r="H1241" i="1" a="1"/>
  <c r="H1305" i="1" a="1"/>
  <c r="H539" i="1" a="1"/>
  <c r="H793" i="1" a="1"/>
  <c r="H922" i="1" a="1"/>
  <c r="H1050" i="1" a="1"/>
  <c r="H830" i="1" a="1"/>
  <c r="H957" i="1" a="1"/>
  <c r="H681" i="1" a="1"/>
  <c r="H819" i="1" a="1"/>
  <c r="H883" i="1" a="1"/>
  <c r="H947" i="1" a="1"/>
  <c r="H1011" i="1" a="1"/>
  <c r="H1075" i="1" a="1"/>
  <c r="H1107" i="1" a="1"/>
  <c r="H1139" i="1" a="1"/>
  <c r="H715" i="1" a="1"/>
  <c r="H804" i="1" a="1"/>
  <c r="H868" i="1" a="1"/>
  <c r="H932" i="1" a="1"/>
  <c r="H996" i="1" a="1"/>
  <c r="H1060" i="1" a="1"/>
  <c r="H1211" i="1" a="1"/>
  <c r="H1275" i="1" a="1"/>
  <c r="H1339" i="1" a="1"/>
  <c r="H1379" i="1" a="1"/>
  <c r="H1411" i="1" a="1"/>
  <c r="H1443" i="1" a="1"/>
  <c r="H1475" i="1" a="1"/>
  <c r="H1507" i="1" a="1"/>
  <c r="H1086" i="1" a="1"/>
  <c r="H1150" i="1" a="1"/>
  <c r="H1214" i="1" a="1"/>
  <c r="H1278" i="1" a="1"/>
  <c r="H1188" i="1" a="1"/>
  <c r="H1316" i="1" a="1"/>
  <c r="H1400" i="1" a="1"/>
  <c r="H1464" i="1" a="1"/>
  <c r="H1528" i="1" a="1"/>
  <c r="H1592" i="1" a="1"/>
  <c r="H1165" i="1" a="1"/>
  <c r="H1293" i="1" a="1"/>
  <c r="H1629" i="1" a="1"/>
  <c r="H1693" i="1" a="1"/>
  <c r="H1757" i="1" a="1"/>
  <c r="H1821" i="1" a="1"/>
  <c r="H1887" i="1" a="1"/>
  <c r="H1920" i="1" a="1"/>
  <c r="H1549" i="1" a="1"/>
  <c r="H1642" i="1" a="1"/>
  <c r="H1706" i="1" a="1"/>
  <c r="H1770" i="1" a="1"/>
  <c r="H1832" i="1" a="1"/>
  <c r="H1949" i="1" a="1"/>
  <c r="H1946" i="1" a="1"/>
  <c r="H1607" i="1" a="1"/>
  <c r="H1671" i="1" a="1"/>
  <c r="H1735" i="1" a="1"/>
  <c r="H1799" i="1" a="1"/>
  <c r="H1862" i="1" a="1"/>
  <c r="H1909" i="1" a="1"/>
  <c r="H1941" i="1" a="1"/>
  <c r="H1928" i="1" a="1"/>
  <c r="H1593" i="1" a="1"/>
  <c r="H1664" i="1" a="1"/>
  <c r="H1728" i="1" a="1"/>
  <c r="H1792" i="1" a="1"/>
  <c r="H1857" i="1" a="1"/>
  <c r="H1986" i="1" a="1"/>
  <c r="H2000" i="1" a="1"/>
  <c r="H1759" i="1" a="1"/>
  <c r="H1913" i="1" a="1"/>
  <c r="H1608" i="1" a="1"/>
  <c r="H1800" i="1" a="1"/>
  <c r="H1923" i="1" a="1"/>
  <c r="H1660" i="1" a="1"/>
  <c r="H1326" i="1" a="1"/>
  <c r="H1263" i="1" a="1"/>
  <c r="H1374" i="1" a="1"/>
  <c r="H1438" i="1" a="1"/>
  <c r="H1502" i="1" a="1"/>
  <c r="H1566" i="1" a="1"/>
  <c r="H1112" i="1" a="1"/>
  <c r="H1242" i="1" a="1"/>
  <c r="H1555" i="1" a="1"/>
  <c r="H1665" i="1" a="1"/>
  <c r="H1729" i="1" a="1"/>
  <c r="H1793" i="1" a="1"/>
  <c r="H1858" i="1" a="1"/>
  <c r="H1906" i="1" a="1"/>
  <c r="H1966" i="1" a="1"/>
  <c r="H1614" i="1" a="1"/>
  <c r="H1678" i="1" a="1"/>
  <c r="H1742" i="1" a="1"/>
  <c r="H1806" i="1" a="1"/>
  <c r="H1869" i="1" a="1"/>
  <c r="H1985" i="1" a="1"/>
  <c r="H1551" i="1" a="1"/>
  <c r="H1643" i="1" a="1"/>
  <c r="H1707" i="1" a="1"/>
  <c r="H1771" i="1" a="1"/>
  <c r="H1835" i="1" a="1"/>
  <c r="H1895" i="1" a="1"/>
  <c r="H1927" i="1" a="1"/>
  <c r="H1975" i="1" a="1"/>
  <c r="H1537" i="1" a="1"/>
  <c r="H1636" i="1" a="1"/>
  <c r="H1700" i="1" a="1"/>
  <c r="H1764" i="1" a="1"/>
  <c r="H1828" i="1" a="1"/>
  <c r="H1934" i="1" a="1"/>
  <c r="H1559" i="1" a="1"/>
  <c r="H1775" i="1" a="1"/>
  <c r="H1921" i="1" a="1"/>
  <c r="H1624" i="1" a="1"/>
  <c r="H1816" i="1" a="1"/>
  <c r="H1915" i="1" a="1"/>
  <c r="H1676" i="1" a="1"/>
  <c r="H1342" i="1" a="1"/>
  <c r="H1268" i="1" a="1"/>
  <c r="H1376" i="1" a="1"/>
  <c r="H1440" i="1" a="1"/>
  <c r="H1504" i="1" a="1"/>
  <c r="H1568" i="1" a="1"/>
  <c r="H1116" i="1" a="1"/>
  <c r="H1245" i="1" a="1"/>
  <c r="H1563" i="1" a="1"/>
  <c r="H1669" i="1" a="1"/>
  <c r="H1733" i="1" a="1"/>
  <c r="H1797" i="1" a="1"/>
  <c r="H1863" i="1" a="1"/>
  <c r="H1908" i="1" a="1"/>
  <c r="H1976" i="1" a="1"/>
  <c r="H1618" i="1" a="1"/>
  <c r="H1682" i="1" a="1"/>
  <c r="H1746" i="1" a="1"/>
  <c r="H1810" i="1" a="1"/>
  <c r="H1957" i="1" a="1"/>
  <c r="H1647" i="1" a="1"/>
  <c r="H1870" i="1" a="1"/>
  <c r="H1948" i="1" a="1"/>
  <c r="H1736" i="1" a="1"/>
  <c r="H1852" i="1" a="1"/>
  <c r="H1215" i="1" a="1"/>
  <c r="H1414" i="1" a="1"/>
  <c r="H1606" i="1" a="1"/>
  <c r="H1705" i="1" a="1"/>
  <c r="H1573" i="1" a="1"/>
  <c r="H1845" i="1" a="1"/>
  <c r="H1683" i="1" a="1"/>
  <c r="H1644" i="1" a="1"/>
  <c r="H3" i="1" a="1"/>
  <c r="H31" i="1" a="1"/>
  <c r="H1861" i="1" a="1"/>
  <c r="H1763" i="1" a="1"/>
  <c r="H9" i="1" a="1"/>
  <c r="H23" i="1" a="1"/>
  <c r="H33" i="1" a="1"/>
  <c r="H1460" i="1" a="1"/>
  <c r="H1492" i="1" a="1"/>
  <c r="H1524" i="1" a="1"/>
  <c r="H1556" i="1" a="1"/>
  <c r="H1588" i="1" a="1"/>
  <c r="H1092" i="1" a="1"/>
  <c r="H1156" i="1" a="1"/>
  <c r="H1221" i="1" a="1"/>
  <c r="H1285" i="1" a="1"/>
  <c r="H1349" i="1" a="1"/>
  <c r="H435" i="1" a="1"/>
  <c r="H733" i="1" a="1"/>
  <c r="H879" i="1" a="1"/>
  <c r="H1007" i="1" a="1"/>
  <c r="H786" i="1" a="1"/>
  <c r="H912" i="1" a="1"/>
  <c r="H1040" i="1" a="1"/>
  <c r="H799" i="1" a="1"/>
  <c r="H862" i="1" a="1"/>
  <c r="H926" i="1" a="1"/>
  <c r="H990" i="1" a="1"/>
  <c r="H1054" i="1" a="1"/>
  <c r="H1097" i="1" a="1"/>
  <c r="H1129" i="1" a="1"/>
  <c r="H675" i="1" a="1"/>
  <c r="H784" i="1" a="1"/>
  <c r="H848" i="1" a="1"/>
  <c r="H913" i="1" a="1"/>
  <c r="H977" i="1" a="1"/>
  <c r="H1041" i="1" a="1"/>
  <c r="H1192" i="1" a="1"/>
  <c r="H1256" i="1" a="1"/>
  <c r="H1320" i="1" a="1"/>
  <c r="H1369" i="1" a="1"/>
  <c r="H1401" i="1" a="1"/>
  <c r="H1433" i="1" a="1"/>
  <c r="H1465" i="1" a="1"/>
  <c r="H1497" i="1" a="1"/>
  <c r="H1529" i="1" a="1"/>
  <c r="H1130" i="1" a="1"/>
  <c r="H1193" i="1" a="1"/>
  <c r="H1257" i="1" a="1"/>
  <c r="H1321" i="1" a="1"/>
  <c r="H571" i="1" a="1"/>
  <c r="H825" i="1" a="1"/>
  <c r="H954" i="1" a="1"/>
  <c r="H703" i="1" a="1"/>
  <c r="H861" i="1" a="1"/>
  <c r="H989" i="1" a="1"/>
  <c r="H745" i="1" a="1"/>
  <c r="H835" i="1" a="1"/>
  <c r="H899" i="1" a="1"/>
  <c r="H963" i="1" a="1"/>
  <c r="H1027" i="1" a="1"/>
  <c r="H1083" i="1" a="1"/>
  <c r="H1115" i="1" a="1"/>
  <c r="H1147" i="1" a="1"/>
  <c r="H747" i="1" a="1"/>
  <c r="H820" i="1" a="1"/>
  <c r="H884" i="1" a="1"/>
  <c r="H948" i="1" a="1"/>
  <c r="H1012" i="1" a="1"/>
  <c r="H1163" i="1" a="1"/>
  <c r="H1227" i="1" a="1"/>
  <c r="H1291" i="1" a="1"/>
  <c r="H1355" i="1" a="1"/>
  <c r="H1387" i="1" a="1"/>
  <c r="H1419" i="1" a="1"/>
  <c r="H1451" i="1" a="1"/>
  <c r="H1483" i="1" a="1"/>
  <c r="H1515" i="1" a="1"/>
  <c r="H1102" i="1" a="1"/>
  <c r="H1166" i="1" a="1"/>
  <c r="H1230" i="1" a="1"/>
  <c r="H1294" i="1" a="1"/>
  <c r="H1220" i="1" a="1"/>
  <c r="H1348" i="1" a="1"/>
  <c r="H1416" i="1" a="1"/>
  <c r="H1480" i="1" a="1"/>
  <c r="H1544" i="1" a="1"/>
  <c r="H1066" i="1" a="1"/>
  <c r="H1197" i="1" a="1"/>
  <c r="H1325" i="1" a="1"/>
  <c r="H1645" i="1" a="1"/>
  <c r="H1709" i="1" a="1"/>
  <c r="H1773" i="1" a="1"/>
  <c r="H1839" i="1" a="1"/>
  <c r="H1896" i="1" a="1"/>
  <c r="H1932" i="1" a="1"/>
  <c r="H1581" i="1" a="1"/>
  <c r="H1658" i="1" a="1"/>
  <c r="H1722" i="1" a="1"/>
  <c r="H1786" i="1" a="1"/>
  <c r="H1848" i="1" a="1"/>
  <c r="H1965" i="1" a="1"/>
  <c r="H1980" i="1" a="1"/>
  <c r="H1623" i="1" a="1"/>
  <c r="H1687" i="1" a="1"/>
  <c r="H1751" i="1" a="1"/>
  <c r="H1815" i="1" a="1"/>
  <c r="H1878" i="1" a="1"/>
  <c r="H1917" i="1" a="1"/>
  <c r="H1955" i="1" a="1"/>
  <c r="H1964" i="1" a="1"/>
  <c r="H1616" i="1" a="1"/>
  <c r="H1680" i="1" a="1"/>
  <c r="H1744" i="1" a="1"/>
  <c r="H1808" i="1" a="1"/>
  <c r="H1873" i="1" a="1"/>
  <c r="H1968" i="1" a="1"/>
  <c r="H1615" i="1" a="1"/>
  <c r="H1791" i="1" a="1"/>
  <c r="H1937" i="1" a="1"/>
  <c r="H1656" i="1" a="1"/>
  <c r="H1849" i="1" a="1"/>
  <c r="H1939" i="1" a="1"/>
  <c r="H1740" i="1" a="1"/>
  <c r="H1167" i="1" a="1"/>
  <c r="H1295" i="1" a="1"/>
  <c r="H1390" i="1" a="1"/>
  <c r="H1454" i="1" a="1"/>
  <c r="H1518" i="1" a="1"/>
  <c r="H1582" i="1" a="1"/>
  <c r="H1144" i="1" a="1"/>
  <c r="H1274" i="1" a="1"/>
  <c r="H1613" i="1" a="1"/>
  <c r="H1681" i="1" a="1"/>
  <c r="H1745" i="1" a="1"/>
  <c r="H1809" i="1" a="1"/>
  <c r="H1874" i="1" a="1"/>
  <c r="H1914" i="1" a="1"/>
  <c r="H1996" i="1" a="1"/>
  <c r="H1630" i="1" a="1"/>
  <c r="H1694" i="1" a="1"/>
  <c r="H1758" i="1" a="1"/>
  <c r="H1822" i="1" a="1"/>
  <c r="H1885" i="1" a="1"/>
  <c r="H2001" i="1" a="1"/>
  <c r="H1583" i="1" a="1"/>
  <c r="H1659" i="1" a="1"/>
  <c r="H1723" i="1" a="1"/>
  <c r="H1787" i="1" a="1"/>
  <c r="H1851" i="1" a="1"/>
  <c r="H1903" i="1" a="1"/>
  <c r="H1935" i="1" a="1"/>
  <c r="H1991" i="1" a="1"/>
  <c r="H1569" i="1" a="1"/>
  <c r="H1652" i="1" a="1"/>
  <c r="H1716" i="1" a="1"/>
  <c r="H1780" i="1" a="1"/>
  <c r="H1844" i="1" a="1"/>
  <c r="H1994" i="1" a="1"/>
  <c r="H1631" i="1" a="1"/>
  <c r="H1807" i="1" a="1"/>
  <c r="H1947" i="1" a="1"/>
  <c r="H1672" i="1" a="1"/>
  <c r="H1865" i="1" a="1"/>
  <c r="H1967" i="1" a="1"/>
  <c r="H1724" i="1" a="1"/>
  <c r="H1172" i="1" a="1"/>
  <c r="H1300" i="1" a="1"/>
  <c r="H1392" i="1" a="1"/>
  <c r="H1456" i="1" a="1"/>
  <c r="H1520" i="1" a="1"/>
  <c r="H1584" i="1" a="1"/>
  <c r="H1148" i="1" a="1"/>
  <c r="H1277" i="1" a="1"/>
  <c r="H1617" i="1" a="1"/>
  <c r="H1685" i="1" a="1"/>
  <c r="H1749" i="1" a="1"/>
  <c r="H1813" i="1" a="1"/>
  <c r="H1879" i="1" a="1"/>
  <c r="H1916" i="1" a="1"/>
  <c r="H1533" i="1" a="1"/>
  <c r="H1634" i="1" a="1"/>
  <c r="H1698" i="1" a="1"/>
  <c r="H1762" i="1" a="1"/>
  <c r="H1826" i="1" a="1"/>
  <c r="H1973" i="1" a="1"/>
  <c r="H1695" i="1" a="1"/>
  <c r="H1905" i="1" a="1"/>
  <c r="H1577" i="1" a="1"/>
  <c r="H1784" i="1" a="1"/>
  <c r="H1899" i="1" a="1"/>
  <c r="H1692" i="1" a="1"/>
  <c r="H1950" i="1" a="1"/>
  <c r="H1247" i="1" a="1"/>
  <c r="H1366" i="1" a="1"/>
  <c r="H1430" i="1" a="1"/>
  <c r="H1494" i="1" a="1"/>
  <c r="H1558" i="1" a="1"/>
  <c r="H1096" i="1" a="1"/>
  <c r="H1226" i="1" a="1"/>
  <c r="H1354" i="1" a="1"/>
  <c r="H1657" i="1" a="1"/>
  <c r="H1721" i="1" a="1"/>
  <c r="H1785" i="1" a="1"/>
  <c r="H1850" i="1" a="1"/>
  <c r="H1902" i="1" a="1"/>
  <c r="H1952" i="1" a="1"/>
  <c r="H1670" i="1" a="1"/>
  <c r="H1798" i="1" a="1"/>
  <c r="H1635" i="1" a="1"/>
  <c r="H1931" i="1" a="1"/>
  <c r="H11" i="1" a="1"/>
  <c r="H29" i="1" a="1"/>
  <c r="H29" i="1" l="1"/>
  <c r="H11" i="1"/>
  <c r="H1931" i="1"/>
  <c r="H1635" i="1"/>
  <c r="H1798" i="1"/>
  <c r="H1670" i="1"/>
  <c r="H1952" i="1"/>
  <c r="H1902" i="1"/>
  <c r="H1850" i="1"/>
  <c r="H1785" i="1"/>
  <c r="H1721" i="1"/>
  <c r="H1657" i="1"/>
  <c r="H1354" i="1"/>
  <c r="H1226" i="1"/>
  <c r="H1096" i="1"/>
  <c r="H1558" i="1"/>
  <c r="H1494" i="1"/>
  <c r="H1430" i="1"/>
  <c r="H1366" i="1"/>
  <c r="H1247" i="1"/>
  <c r="H1950" i="1"/>
  <c r="H1692" i="1"/>
  <c r="H1899" i="1"/>
  <c r="H1784" i="1"/>
  <c r="H1577" i="1"/>
  <c r="H1905" i="1"/>
  <c r="H1695" i="1"/>
  <c r="H1973" i="1"/>
  <c r="H1826" i="1"/>
  <c r="H1762" i="1"/>
  <c r="H1698" i="1"/>
  <c r="H1634" i="1"/>
  <c r="H1533" i="1"/>
  <c r="H1916" i="1"/>
  <c r="H1879" i="1"/>
  <c r="H1813" i="1"/>
  <c r="H1749" i="1"/>
  <c r="H1685" i="1"/>
  <c r="H1617" i="1"/>
  <c r="H1277" i="1"/>
  <c r="H1148" i="1"/>
  <c r="H1584" i="1"/>
  <c r="H1520" i="1"/>
  <c r="H1456" i="1"/>
  <c r="H1392" i="1"/>
  <c r="H1300" i="1"/>
  <c r="H1172" i="1"/>
  <c r="H1724" i="1"/>
  <c r="H1967" i="1"/>
  <c r="H1865" i="1"/>
  <c r="H1672" i="1"/>
  <c r="H1947" i="1"/>
  <c r="H1807" i="1"/>
  <c r="H1631" i="1"/>
  <c r="H1994" i="1"/>
  <c r="H1844" i="1"/>
  <c r="H1780" i="1"/>
  <c r="H1716" i="1"/>
  <c r="H1652" i="1"/>
  <c r="H1569" i="1"/>
  <c r="H1991" i="1"/>
  <c r="H1935" i="1"/>
  <c r="H1903" i="1"/>
  <c r="H1851" i="1"/>
  <c r="H1787" i="1"/>
  <c r="H1723" i="1"/>
  <c r="H1659" i="1"/>
  <c r="H1583" i="1"/>
  <c r="H2001" i="1"/>
  <c r="H1885" i="1"/>
  <c r="H1822" i="1"/>
  <c r="H1758" i="1"/>
  <c r="H1694" i="1"/>
  <c r="H1630" i="1"/>
  <c r="H1996" i="1"/>
  <c r="H1914" i="1"/>
  <c r="H1874" i="1"/>
  <c r="H1809" i="1"/>
  <c r="H1745" i="1"/>
  <c r="H1681" i="1"/>
  <c r="H1613" i="1"/>
  <c r="H1274" i="1"/>
  <c r="H1144" i="1"/>
  <c r="H1582" i="1"/>
  <c r="H1518" i="1"/>
  <c r="H1454" i="1"/>
  <c r="H1390" i="1"/>
  <c r="H1295" i="1"/>
  <c r="H1167" i="1"/>
  <c r="H1740" i="1"/>
  <c r="H1939" i="1"/>
  <c r="H1849" i="1"/>
  <c r="H1656" i="1"/>
  <c r="H1937" i="1"/>
  <c r="H1791" i="1"/>
  <c r="H1615" i="1"/>
  <c r="H1968" i="1"/>
  <c r="H1873" i="1"/>
  <c r="H1808" i="1"/>
  <c r="H1744" i="1"/>
  <c r="H1680" i="1"/>
  <c r="H1616" i="1"/>
  <c r="H1964" i="1"/>
  <c r="H1955" i="1"/>
  <c r="H1917" i="1"/>
  <c r="H1878" i="1"/>
  <c r="H1815" i="1"/>
  <c r="H1751" i="1"/>
  <c r="H1687" i="1"/>
  <c r="H1623" i="1"/>
  <c r="H1980" i="1"/>
  <c r="H1965" i="1"/>
  <c r="H1848" i="1"/>
  <c r="H1786" i="1"/>
  <c r="H1722" i="1"/>
  <c r="H1658" i="1"/>
  <c r="H1581" i="1"/>
  <c r="H1932" i="1"/>
  <c r="H1896" i="1"/>
  <c r="H1839" i="1"/>
  <c r="H1773" i="1"/>
  <c r="H1709" i="1"/>
  <c r="H1645" i="1"/>
  <c r="H1325" i="1"/>
  <c r="H1197" i="1"/>
  <c r="H1066" i="1"/>
  <c r="H1544" i="1"/>
  <c r="H1480" i="1"/>
  <c r="H1416" i="1"/>
  <c r="H1348" i="1"/>
  <c r="H1220" i="1"/>
  <c r="H1294" i="1"/>
  <c r="H1230" i="1"/>
  <c r="H1166" i="1"/>
  <c r="H1102" i="1"/>
  <c r="H1515" i="1"/>
  <c r="H1483" i="1"/>
  <c r="H1451" i="1"/>
  <c r="H1419" i="1"/>
  <c r="H1387" i="1"/>
  <c r="H1355" i="1"/>
  <c r="H1291" i="1"/>
  <c r="H1227" i="1"/>
  <c r="H1163" i="1"/>
  <c r="H1012" i="1"/>
  <c r="H948" i="1"/>
  <c r="H884" i="1"/>
  <c r="H820" i="1"/>
  <c r="H747" i="1"/>
  <c r="H1147" i="1"/>
  <c r="H1115" i="1"/>
  <c r="H1083" i="1"/>
  <c r="H1027" i="1"/>
  <c r="H963" i="1"/>
  <c r="H899" i="1"/>
  <c r="H835" i="1"/>
  <c r="H745" i="1"/>
  <c r="H989" i="1"/>
  <c r="H861" i="1"/>
  <c r="H703" i="1"/>
  <c r="H954" i="1"/>
  <c r="H825" i="1"/>
  <c r="H571" i="1"/>
  <c r="H1321" i="1"/>
  <c r="H1257" i="1"/>
  <c r="H1193" i="1"/>
  <c r="H1130" i="1"/>
  <c r="H1529" i="1"/>
  <c r="H1497" i="1"/>
  <c r="H1465" i="1"/>
  <c r="H1433" i="1"/>
  <c r="H1401" i="1"/>
  <c r="H1369" i="1"/>
  <c r="H1320" i="1"/>
  <c r="H1256" i="1"/>
  <c r="H1192" i="1"/>
  <c r="H1041" i="1"/>
  <c r="H977" i="1"/>
  <c r="H913" i="1"/>
  <c r="H848" i="1"/>
  <c r="H784" i="1"/>
  <c r="H675" i="1"/>
  <c r="H1129" i="1"/>
  <c r="H1097" i="1"/>
  <c r="H1054" i="1"/>
  <c r="H990" i="1"/>
  <c r="H926" i="1"/>
  <c r="H862" i="1"/>
  <c r="H799" i="1"/>
  <c r="H1040" i="1"/>
  <c r="H912" i="1"/>
  <c r="H786" i="1"/>
  <c r="H1007" i="1"/>
  <c r="H879" i="1"/>
  <c r="H733" i="1"/>
  <c r="H435" i="1"/>
  <c r="H1349" i="1"/>
  <c r="H1285" i="1"/>
  <c r="H1221" i="1"/>
  <c r="H1156" i="1"/>
  <c r="H1092" i="1"/>
  <c r="H1588" i="1"/>
  <c r="H1556" i="1"/>
  <c r="H1524" i="1"/>
  <c r="H1492" i="1"/>
  <c r="H1460" i="1"/>
  <c r="H33" i="1"/>
  <c r="H23" i="1"/>
  <c r="H9" i="1"/>
  <c r="H1763" i="1"/>
  <c r="H1861" i="1"/>
  <c r="H31" i="1"/>
  <c r="H3" i="1"/>
  <c r="H1644" i="1"/>
  <c r="H1683" i="1"/>
  <c r="H1845" i="1"/>
  <c r="H1573" i="1"/>
  <c r="H1705" i="1"/>
  <c r="H1606" i="1"/>
  <c r="H1414" i="1"/>
  <c r="H1215" i="1"/>
  <c r="H1852" i="1"/>
  <c r="H1736" i="1"/>
  <c r="H1948" i="1"/>
  <c r="H1870" i="1"/>
  <c r="H1647" i="1"/>
  <c r="H1957" i="1"/>
  <c r="H1810" i="1"/>
  <c r="H1746" i="1"/>
  <c r="H1682" i="1"/>
  <c r="H1618" i="1"/>
  <c r="H1976" i="1"/>
  <c r="H1908" i="1"/>
  <c r="H1863" i="1"/>
  <c r="H1797" i="1"/>
  <c r="H1733" i="1"/>
  <c r="H1669" i="1"/>
  <c r="H1563" i="1"/>
  <c r="H1245" i="1"/>
  <c r="H1116" i="1"/>
  <c r="H1568" i="1"/>
  <c r="H1504" i="1"/>
  <c r="H1440" i="1"/>
  <c r="H1376" i="1"/>
  <c r="H1268" i="1"/>
  <c r="H1342" i="1"/>
  <c r="H1676" i="1"/>
  <c r="H1915" i="1"/>
  <c r="H1816" i="1"/>
  <c r="H1624" i="1"/>
  <c r="H1921" i="1"/>
  <c r="H1775" i="1"/>
  <c r="H1559" i="1"/>
  <c r="H1934" i="1"/>
  <c r="H1828" i="1"/>
  <c r="H1764" i="1"/>
  <c r="H1700" i="1"/>
  <c r="H1636" i="1"/>
  <c r="H1537" i="1"/>
  <c r="H1975" i="1"/>
  <c r="H1927" i="1"/>
  <c r="H1895" i="1"/>
  <c r="H1835" i="1"/>
  <c r="H1771" i="1"/>
  <c r="H1707" i="1"/>
  <c r="H1643" i="1"/>
  <c r="H1551" i="1"/>
  <c r="H1985" i="1"/>
  <c r="H1869" i="1"/>
  <c r="H1806" i="1"/>
  <c r="H1742" i="1"/>
  <c r="H1678" i="1"/>
  <c r="H1614" i="1"/>
  <c r="H1966" i="1"/>
  <c r="H1906" i="1"/>
  <c r="H1858" i="1"/>
  <c r="H1793" i="1"/>
  <c r="H1729" i="1"/>
  <c r="H1665" i="1"/>
  <c r="H1555" i="1"/>
  <c r="H1242" i="1"/>
  <c r="H1112" i="1"/>
  <c r="H1566" i="1"/>
  <c r="H1502" i="1"/>
  <c r="H1438" i="1"/>
  <c r="H1374" i="1"/>
  <c r="H1263" i="1"/>
  <c r="H1326" i="1"/>
  <c r="H1660" i="1"/>
  <c r="H1923" i="1"/>
  <c r="H1800" i="1"/>
  <c r="H1608" i="1"/>
  <c r="H1913" i="1"/>
  <c r="H1759" i="1"/>
  <c r="H2000" i="1"/>
  <c r="H1986" i="1"/>
  <c r="H1857" i="1"/>
  <c r="H1792" i="1"/>
  <c r="H1728" i="1"/>
  <c r="H1664" i="1"/>
  <c r="H1593" i="1"/>
  <c r="H1928" i="1"/>
  <c r="H1941" i="1"/>
  <c r="H1909" i="1"/>
  <c r="H1862" i="1"/>
  <c r="H1799" i="1"/>
  <c r="H1735" i="1"/>
  <c r="H1671" i="1"/>
  <c r="H1607" i="1"/>
  <c r="H1946" i="1"/>
  <c r="H1949" i="1"/>
  <c r="H1832" i="1"/>
  <c r="H1770" i="1"/>
  <c r="H1706" i="1"/>
  <c r="H1642" i="1"/>
  <c r="H1549" i="1"/>
  <c r="H1920" i="1"/>
  <c r="H1887" i="1"/>
  <c r="H1821" i="1"/>
  <c r="H1757" i="1"/>
  <c r="H1693" i="1"/>
  <c r="H1629" i="1"/>
  <c r="H1293" i="1"/>
  <c r="H1165" i="1"/>
  <c r="H1592" i="1"/>
  <c r="H1528" i="1"/>
  <c r="H1464" i="1"/>
  <c r="H1400" i="1"/>
  <c r="H1316" i="1"/>
  <c r="H1188" i="1"/>
  <c r="H1278" i="1"/>
  <c r="H1214" i="1"/>
  <c r="H1150" i="1"/>
  <c r="H1086" i="1"/>
  <c r="H1507" i="1"/>
  <c r="H1475" i="1"/>
  <c r="H1443" i="1"/>
  <c r="H1411" i="1"/>
  <c r="H1379" i="1"/>
  <c r="H1339" i="1"/>
  <c r="H1275" i="1"/>
  <c r="H1211" i="1"/>
  <c r="H1060" i="1"/>
  <c r="H996" i="1"/>
  <c r="H932" i="1"/>
  <c r="H868" i="1"/>
  <c r="H804" i="1"/>
  <c r="H715" i="1"/>
  <c r="H1139" i="1"/>
  <c r="H1107" i="1"/>
  <c r="H1075" i="1"/>
  <c r="H1011" i="1"/>
  <c r="H947" i="1"/>
  <c r="H883" i="1"/>
  <c r="H819" i="1"/>
  <c r="H681" i="1"/>
  <c r="H957" i="1"/>
  <c r="H830" i="1"/>
  <c r="H1050" i="1"/>
  <c r="H922" i="1"/>
  <c r="H793" i="1"/>
  <c r="H539" i="1"/>
  <c r="H1305" i="1"/>
  <c r="H1241" i="1"/>
  <c r="H1177" i="1"/>
  <c r="H1114" i="1"/>
  <c r="H1521" i="1"/>
  <c r="H1489" i="1"/>
  <c r="H1457" i="1"/>
  <c r="H1425" i="1"/>
  <c r="H1393" i="1"/>
  <c r="H1361" i="1"/>
  <c r="H1304" i="1"/>
  <c r="H1240" i="1"/>
  <c r="H1176" i="1"/>
  <c r="H1025" i="1"/>
  <c r="H961" i="1"/>
  <c r="H897" i="1"/>
  <c r="H832" i="1"/>
  <c r="H768" i="1"/>
  <c r="H1153" i="1"/>
  <c r="H1121" i="1"/>
  <c r="H1089" i="1"/>
  <c r="H1038" i="1"/>
  <c r="H974" i="1"/>
  <c r="H910" i="1"/>
  <c r="H847" i="1"/>
  <c r="H775" i="1"/>
  <c r="H1008" i="1"/>
  <c r="H880" i="1"/>
  <c r="H743" i="1"/>
  <c r="H975" i="1"/>
  <c r="H845" i="1"/>
  <c r="H669" i="1"/>
  <c r="H1609" i="1"/>
  <c r="H1333" i="1"/>
  <c r="H1269" i="1"/>
  <c r="H1205" i="1"/>
  <c r="H1140" i="1"/>
  <c r="H1076" i="1"/>
  <c r="H1580" i="1"/>
  <c r="H1548" i="1"/>
  <c r="H1516" i="1"/>
  <c r="H1484" i="1"/>
  <c r="H1452" i="1"/>
  <c r="H14" i="1"/>
  <c r="H1708" i="1"/>
  <c r="H1699" i="1"/>
  <c r="H1977" i="1"/>
  <c r="H1734" i="1"/>
  <c r="H13" i="1"/>
  <c r="H7" i="1"/>
  <c r="H4" i="1"/>
  <c r="H1907" i="1"/>
  <c r="H1747" i="1"/>
  <c r="H1970" i="1"/>
  <c r="H1782" i="1"/>
  <c r="H1654" i="1"/>
  <c r="H1894" i="1"/>
  <c r="H1769" i="1"/>
  <c r="H1322" i="1"/>
  <c r="H1542" i="1"/>
  <c r="H1343" i="1"/>
  <c r="H1628" i="1"/>
  <c r="H8" i="1"/>
  <c r="H32" i="1"/>
  <c r="H24" i="1"/>
  <c r="H26" i="1"/>
  <c r="H30" i="1"/>
  <c r="H27" i="1"/>
  <c r="H28" i="1"/>
  <c r="H25" i="1"/>
  <c r="H1836" i="1"/>
  <c r="H1553" i="1"/>
  <c r="H1891" i="1"/>
  <c r="H1795" i="1"/>
  <c r="H1731" i="1"/>
  <c r="H1667" i="1"/>
  <c r="H1599" i="1"/>
  <c r="H1938" i="1"/>
  <c r="H1945" i="1"/>
  <c r="H1829" i="1"/>
  <c r="H1766" i="1"/>
  <c r="H1702" i="1"/>
  <c r="H1638" i="1"/>
  <c r="H1541" i="1"/>
  <c r="H1918" i="1"/>
  <c r="H1882" i="1"/>
  <c r="H1817" i="1"/>
  <c r="H1753" i="1"/>
  <c r="H1689" i="1"/>
  <c r="H1625" i="1"/>
  <c r="H1290" i="1"/>
  <c r="H1162" i="1"/>
  <c r="H1590" i="1"/>
  <c r="H1526" i="1"/>
  <c r="H1462" i="1"/>
  <c r="H1398" i="1"/>
  <c r="H1311" i="1"/>
  <c r="H1183" i="1"/>
  <c r="H1804" i="1"/>
  <c r="H1956" i="1"/>
  <c r="H1881" i="1"/>
  <c r="H1688" i="1"/>
  <c r="H1963" i="1"/>
  <c r="H1823" i="1"/>
  <c r="H1591" i="1"/>
  <c r="H1888" i="1"/>
  <c r="H1794" i="1"/>
  <c r="H1730" i="1"/>
  <c r="H1666" i="1"/>
  <c r="H1597" i="1"/>
  <c r="H1944" i="1"/>
  <c r="H1900" i="1"/>
  <c r="H1847" i="1"/>
  <c r="H1781" i="1"/>
  <c r="H1717" i="1"/>
  <c r="H1653" i="1"/>
  <c r="H1341" i="1"/>
  <c r="H1213" i="1"/>
  <c r="H1084" i="1"/>
  <c r="H1552" i="1"/>
  <c r="H1488" i="1"/>
  <c r="H1424" i="1"/>
  <c r="H1360" i="1"/>
  <c r="H1236" i="1"/>
  <c r="H1884" i="1"/>
  <c r="H1612" i="1"/>
  <c r="H1875" i="1"/>
  <c r="H1768" i="1"/>
  <c r="H1545" i="1"/>
  <c r="H1897" i="1"/>
  <c r="H1727" i="1"/>
  <c r="H1989" i="1"/>
  <c r="H1876" i="1"/>
  <c r="H1812" i="1"/>
  <c r="H1748" i="1"/>
  <c r="H1684" i="1"/>
  <c r="H1620" i="1"/>
  <c r="H1972" i="1"/>
  <c r="H1959" i="1"/>
  <c r="H1919" i="1"/>
  <c r="H1883" i="1"/>
  <c r="H1819" i="1"/>
  <c r="H1755" i="1"/>
  <c r="H1691" i="1"/>
  <c r="H1627" i="1"/>
  <c r="H1990" i="1"/>
  <c r="H1969" i="1"/>
  <c r="H1853" i="1"/>
  <c r="H1790" i="1"/>
  <c r="H1726" i="1"/>
  <c r="H1662" i="1"/>
  <c r="H1589" i="1"/>
  <c r="H1936" i="1"/>
  <c r="H1898" i="1"/>
  <c r="H1842" i="1"/>
  <c r="H1777" i="1"/>
  <c r="H1713" i="1"/>
  <c r="H1649" i="1"/>
  <c r="H1338" i="1"/>
  <c r="H1210" i="1"/>
  <c r="H1080" i="1"/>
  <c r="H1550" i="1"/>
  <c r="H1486" i="1"/>
  <c r="H1422" i="1"/>
  <c r="H1358" i="1"/>
  <c r="H1231" i="1"/>
  <c r="H1868" i="1"/>
  <c r="H1585" i="1"/>
  <c r="H1859" i="1"/>
  <c r="H1752" i="1"/>
  <c r="H1978" i="1"/>
  <c r="H1886" i="1"/>
  <c r="H1711" i="1"/>
  <c r="H1930" i="1"/>
  <c r="H1960" i="1"/>
  <c r="H1841" i="1"/>
  <c r="H1776" i="1"/>
  <c r="H1712" i="1"/>
  <c r="H1648" i="1"/>
  <c r="H1561" i="1"/>
  <c r="H1987" i="1"/>
  <c r="H1933" i="1"/>
  <c r="H1901" i="1"/>
  <c r="H1846" i="1"/>
  <c r="H1783" i="1"/>
  <c r="H1719" i="1"/>
  <c r="H1655" i="1"/>
  <c r="H1575" i="1"/>
  <c r="H1997" i="1"/>
  <c r="H1880" i="1"/>
  <c r="H1818" i="1"/>
  <c r="H1754" i="1"/>
  <c r="H1690" i="1"/>
  <c r="H1626" i="1"/>
  <c r="H1988" i="1"/>
  <c r="H1912" i="1"/>
  <c r="H1871" i="1"/>
  <c r="H1805" i="1"/>
  <c r="H1741" i="1"/>
  <c r="H1677" i="1"/>
  <c r="H1595" i="1"/>
  <c r="H1261" i="1"/>
  <c r="H1132" i="1"/>
  <c r="H1576" i="1"/>
  <c r="H1512" i="1"/>
  <c r="H1448" i="1"/>
  <c r="H1384" i="1"/>
  <c r="H1284" i="1"/>
  <c r="H1065" i="1"/>
  <c r="H1262" i="1"/>
  <c r="H1198" i="1"/>
  <c r="H1134" i="1"/>
  <c r="H1063" i="1"/>
  <c r="H1499" i="1"/>
  <c r="H1467" i="1"/>
  <c r="H1435" i="1"/>
  <c r="H1403" i="1"/>
  <c r="H1371" i="1"/>
  <c r="H1323" i="1"/>
  <c r="H1259" i="1"/>
  <c r="H1195" i="1"/>
  <c r="H1044" i="1"/>
  <c r="H980" i="1"/>
  <c r="H916" i="1"/>
  <c r="H852" i="1"/>
  <c r="H788" i="1"/>
  <c r="H683" i="1"/>
  <c r="H1131" i="1"/>
  <c r="H1099" i="1"/>
  <c r="H1059" i="1"/>
  <c r="H995" i="1"/>
  <c r="H931" i="1"/>
  <c r="H867" i="1"/>
  <c r="H803" i="1"/>
  <c r="H1053" i="1"/>
  <c r="H925" i="1"/>
  <c r="H798" i="1"/>
  <c r="H1018" i="1"/>
  <c r="H890" i="1"/>
  <c r="H757" i="1"/>
  <c r="H469" i="1"/>
  <c r="H1289" i="1"/>
  <c r="H1225" i="1"/>
  <c r="H1161" i="1"/>
  <c r="H1098" i="1"/>
  <c r="H1513" i="1"/>
  <c r="H1481" i="1"/>
  <c r="H1449" i="1"/>
  <c r="H1417" i="1"/>
  <c r="H1385" i="1"/>
  <c r="H1352" i="1"/>
  <c r="H1288" i="1"/>
  <c r="H1224" i="1"/>
  <c r="H1160" i="1"/>
  <c r="H1009" i="1"/>
  <c r="H945" i="1"/>
  <c r="H881" i="1"/>
  <c r="H816" i="1"/>
  <c r="H739" i="1"/>
  <c r="H1145" i="1"/>
  <c r="H1113" i="1"/>
  <c r="H1081" i="1"/>
  <c r="H1022" i="1"/>
  <c r="H958" i="1"/>
  <c r="H894" i="1"/>
  <c r="H831" i="1"/>
  <c r="H721" i="1"/>
  <c r="H976" i="1"/>
  <c r="H850" i="1"/>
  <c r="H679" i="1"/>
  <c r="H943" i="1"/>
  <c r="H813" i="1"/>
  <c r="H560" i="1"/>
  <c r="H1579" i="1"/>
  <c r="H1317" i="1"/>
  <c r="H1253" i="1"/>
  <c r="H1189" i="1"/>
  <c r="H1124" i="1"/>
  <c r="H1604" i="1"/>
  <c r="H1572" i="1"/>
  <c r="H1540" i="1"/>
  <c r="H1508" i="1"/>
  <c r="H1476" i="1"/>
  <c r="H1444" i="1"/>
  <c r="H18" i="1"/>
  <c r="H12" i="1"/>
  <c r="H1827" i="1"/>
  <c r="H1535" i="1"/>
  <c r="H1605" i="1"/>
  <c r="H15" i="1"/>
  <c r="H6" i="1"/>
  <c r="H1982" i="1"/>
  <c r="H1811" i="1"/>
  <c r="H1619" i="1"/>
  <c r="H1961" i="1"/>
  <c r="H1718" i="1"/>
  <c r="H1926" i="1"/>
  <c r="H1834" i="1"/>
  <c r="H1641" i="1"/>
  <c r="H1194" i="1"/>
  <c r="H1478" i="1"/>
  <c r="H2" i="1"/>
  <c r="H21" i="1"/>
  <c r="H16" i="1"/>
  <c r="H5" i="1"/>
  <c r="H10" i="1"/>
  <c r="H22" i="1"/>
  <c r="H19" i="1"/>
  <c r="H20" i="1"/>
  <c r="H17" i="1"/>
  <c r="H1772" i="1"/>
  <c r="H1983" i="1"/>
  <c r="H1843" i="1"/>
  <c r="H1779" i="1"/>
  <c r="H1715" i="1"/>
  <c r="H1651" i="1"/>
  <c r="H1567" i="1"/>
  <c r="H1993" i="1"/>
  <c r="H1877" i="1"/>
  <c r="H1814" i="1"/>
  <c r="H1750" i="1"/>
  <c r="H1686" i="1"/>
  <c r="H1622" i="1"/>
  <c r="H1984" i="1"/>
  <c r="H1910" i="1"/>
  <c r="H1866" i="1"/>
  <c r="H1801" i="1"/>
  <c r="H1737" i="1"/>
  <c r="H1673" i="1"/>
  <c r="H1587" i="1"/>
  <c r="H1258" i="1"/>
  <c r="H1128" i="1"/>
  <c r="H1574" i="1"/>
  <c r="H1510" i="1"/>
  <c r="H1446" i="1"/>
  <c r="H1382" i="1"/>
  <c r="H1279" i="1"/>
  <c r="H1353" i="1"/>
  <c r="H1756" i="1"/>
  <c r="H1951" i="1"/>
  <c r="H1833" i="1"/>
  <c r="H1640" i="1"/>
  <c r="H1929" i="1"/>
  <c r="H1743" i="1"/>
  <c r="H1962" i="1"/>
  <c r="H1856" i="1"/>
  <c r="H1778" i="1"/>
  <c r="H1714" i="1"/>
  <c r="H1650" i="1"/>
  <c r="H1565" i="1"/>
  <c r="H1924" i="1"/>
  <c r="H1892" i="1"/>
  <c r="H1831" i="1"/>
  <c r="H1765" i="1"/>
  <c r="H1701" i="1"/>
  <c r="H1637" i="1"/>
  <c r="H1309" i="1"/>
  <c r="H1181" i="1"/>
  <c r="H1600" i="1"/>
  <c r="H1536" i="1"/>
  <c r="H1472" i="1"/>
  <c r="H1408" i="1"/>
  <c r="H1332" i="1"/>
  <c r="H1204" i="1"/>
  <c r="H1820" i="1"/>
  <c r="H1992" i="1"/>
  <c r="H1974" i="1"/>
  <c r="H1720" i="1"/>
  <c r="H1995" i="1"/>
  <c r="H1854" i="1"/>
  <c r="H1679" i="1"/>
  <c r="H1872" i="1"/>
  <c r="H1860" i="1"/>
  <c r="H1796" i="1"/>
  <c r="H1732" i="1"/>
  <c r="H1668" i="1"/>
  <c r="H1601" i="1"/>
  <c r="H1940" i="1"/>
  <c r="H1943" i="1"/>
  <c r="H1911" i="1"/>
  <c r="H1867" i="1"/>
  <c r="H1803" i="1"/>
  <c r="H1739" i="1"/>
  <c r="H1675" i="1"/>
  <c r="H1611" i="1"/>
  <c r="H1954" i="1"/>
  <c r="H1953" i="1"/>
  <c r="H1837" i="1"/>
  <c r="H1774" i="1"/>
  <c r="H1710" i="1"/>
  <c r="H1646" i="1"/>
  <c r="H1557" i="1"/>
  <c r="H1922" i="1"/>
  <c r="H1890" i="1"/>
  <c r="H1825" i="1"/>
  <c r="H1761" i="1"/>
  <c r="H1697" i="1"/>
  <c r="H1633" i="1"/>
  <c r="H1306" i="1"/>
  <c r="H1178" i="1"/>
  <c r="H1598" i="1"/>
  <c r="H1534" i="1"/>
  <c r="H1470" i="1"/>
  <c r="H1406" i="1"/>
  <c r="H1327" i="1"/>
  <c r="H1199" i="1"/>
  <c r="H1788" i="1"/>
  <c r="H1999" i="1"/>
  <c r="H1942" i="1"/>
  <c r="H1704" i="1"/>
  <c r="H1979" i="1"/>
  <c r="H1838" i="1"/>
  <c r="H1663" i="1"/>
  <c r="H1840" i="1"/>
  <c r="H1889" i="1"/>
  <c r="H1824" i="1"/>
  <c r="H1760" i="1"/>
  <c r="H1696" i="1"/>
  <c r="H1632" i="1"/>
  <c r="H1998" i="1"/>
  <c r="H1971" i="1"/>
  <c r="H1925" i="1"/>
  <c r="H1893" i="1"/>
  <c r="H1830" i="1"/>
  <c r="H1767" i="1"/>
  <c r="H1703" i="1"/>
  <c r="H1639" i="1"/>
  <c r="H1543" i="1"/>
  <c r="H1981" i="1"/>
  <c r="H1864" i="1"/>
  <c r="H1802" i="1"/>
  <c r="H1738" i="1"/>
  <c r="H1674" i="1"/>
  <c r="H1610" i="1"/>
  <c r="H1958" i="1"/>
  <c r="H1904" i="1"/>
  <c r="H1855" i="1"/>
  <c r="H1789" i="1"/>
  <c r="H1725" i="1"/>
  <c r="H1661" i="1"/>
  <c r="H1531" i="1"/>
  <c r="H1229" i="1"/>
  <c r="H1100" i="1"/>
  <c r="H1560" i="1"/>
  <c r="H1496" i="1"/>
  <c r="H1432" i="1"/>
  <c r="H1368" i="1"/>
  <c r="H1252" i="1"/>
  <c r="H1310" i="1"/>
  <c r="H1246" i="1"/>
  <c r="H1182" i="1"/>
  <c r="H1118" i="1"/>
  <c r="H1523" i="1"/>
  <c r="H1491" i="1"/>
  <c r="H1459" i="1"/>
  <c r="H1427" i="1"/>
  <c r="H1395" i="1"/>
  <c r="H1363" i="1"/>
  <c r="H1307" i="1"/>
  <c r="H1243" i="1"/>
  <c r="H1179" i="1"/>
  <c r="H1028" i="1"/>
  <c r="H964" i="1"/>
  <c r="H900" i="1"/>
  <c r="H836" i="1"/>
  <c r="H772" i="1"/>
  <c r="H1155" i="1"/>
  <c r="H1123" i="1"/>
  <c r="H1091" i="1"/>
  <c r="H1043" i="1"/>
  <c r="H979" i="1"/>
  <c r="H915" i="1"/>
  <c r="H851" i="1"/>
  <c r="H787" i="1"/>
  <c r="H1021" i="1"/>
  <c r="H893" i="1"/>
  <c r="H766" i="1"/>
  <c r="H986" i="1"/>
  <c r="H858" i="1"/>
  <c r="H693" i="1"/>
  <c r="H1337" i="1"/>
  <c r="H1273" i="1"/>
  <c r="H1209" i="1"/>
  <c r="H1146" i="1"/>
  <c r="H1082" i="1"/>
  <c r="H1505" i="1"/>
  <c r="H1473" i="1"/>
  <c r="H1441" i="1"/>
  <c r="H1409" i="1"/>
  <c r="H1377" i="1"/>
  <c r="H1336" i="1"/>
  <c r="H1272" i="1"/>
  <c r="H1208" i="1"/>
  <c r="H1057" i="1"/>
  <c r="H993" i="1"/>
  <c r="H929" i="1"/>
  <c r="H865" i="1"/>
  <c r="H800" i="1"/>
  <c r="H707" i="1"/>
  <c r="H1137" i="1"/>
  <c r="H1105" i="1"/>
  <c r="H1070" i="1"/>
  <c r="H1006" i="1"/>
  <c r="H942" i="1"/>
  <c r="H878" i="1"/>
  <c r="H815" i="1"/>
  <c r="H1072" i="1"/>
  <c r="H944" i="1"/>
  <c r="H818" i="1"/>
  <c r="H1039" i="1"/>
  <c r="H911" i="1"/>
  <c r="H781" i="1"/>
  <c r="H528" i="1"/>
  <c r="H1547" i="1"/>
  <c r="H1301" i="1"/>
  <c r="H1237" i="1"/>
  <c r="H1173" i="1"/>
  <c r="H1108" i="1"/>
  <c r="H1596" i="1"/>
  <c r="H1564" i="1"/>
  <c r="H1532" i="1"/>
  <c r="H1500" i="1"/>
  <c r="H1468" i="1"/>
  <c r="H1436" i="1"/>
  <c r="H1404" i="1"/>
  <c r="H1372" i="1"/>
  <c r="H1324" i="1"/>
  <c r="H1260" i="1"/>
  <c r="H1196" i="1"/>
  <c r="H1334" i="1"/>
  <c r="H1270" i="1"/>
  <c r="H1206" i="1"/>
  <c r="H1142" i="1"/>
  <c r="H1078" i="1"/>
  <c r="H1503" i="1"/>
  <c r="H1471" i="1"/>
  <c r="H1439" i="1"/>
  <c r="H1407" i="1"/>
  <c r="H1375" i="1"/>
  <c r="H1331" i="1"/>
  <c r="H1267" i="1"/>
  <c r="H1203" i="1"/>
  <c r="H1052" i="1"/>
  <c r="H988" i="1"/>
  <c r="H924" i="1"/>
  <c r="H860" i="1"/>
  <c r="H796" i="1"/>
  <c r="H699" i="1"/>
  <c r="H1135" i="1"/>
  <c r="H1103" i="1"/>
  <c r="H1067" i="1"/>
  <c r="H1003" i="1"/>
  <c r="H939" i="1"/>
  <c r="H875" i="1"/>
  <c r="H811" i="1"/>
  <c r="H1069" i="1"/>
  <c r="H941" i="1"/>
  <c r="H814" i="1"/>
  <c r="H1034" i="1"/>
  <c r="H906" i="1"/>
  <c r="H777" i="1"/>
  <c r="H501" i="1"/>
  <c r="H1571" i="1"/>
  <c r="H1314" i="1"/>
  <c r="H1250" i="1"/>
  <c r="H1186" i="1"/>
  <c r="H1120" i="1"/>
  <c r="H1602" i="1"/>
  <c r="H1570" i="1"/>
  <c r="H1538" i="1"/>
  <c r="H1506" i="1"/>
  <c r="H1474" i="1"/>
  <c r="H1442" i="1"/>
  <c r="H1410" i="1"/>
  <c r="H1378" i="1"/>
  <c r="H1335" i="1"/>
  <c r="H1271" i="1"/>
  <c r="H1207" i="1"/>
  <c r="H1345" i="1"/>
  <c r="H1281" i="1"/>
  <c r="H1217" i="1"/>
  <c r="H1154" i="1"/>
  <c r="H1090" i="1"/>
  <c r="H1509" i="1"/>
  <c r="H1477" i="1"/>
  <c r="H1445" i="1"/>
  <c r="H1413" i="1"/>
  <c r="H1381" i="1"/>
  <c r="H1344" i="1"/>
  <c r="H1280" i="1"/>
  <c r="H1216" i="1"/>
  <c r="H1068" i="1"/>
  <c r="H1001" i="1"/>
  <c r="H937" i="1"/>
  <c r="H873" i="1"/>
  <c r="H808" i="1"/>
  <c r="H723" i="1"/>
  <c r="H1141" i="1"/>
  <c r="H1109" i="1"/>
  <c r="H1077" i="1"/>
  <c r="H1014" i="1"/>
  <c r="H950" i="1"/>
  <c r="H886" i="1"/>
  <c r="H823" i="1"/>
  <c r="H689" i="1"/>
  <c r="H960" i="1"/>
  <c r="H834" i="1"/>
  <c r="H1055" i="1"/>
  <c r="H927" i="1"/>
  <c r="H797" i="1"/>
  <c r="H544" i="1"/>
  <c r="H746" i="1"/>
  <c r="H714" i="1"/>
  <c r="H682" i="1"/>
  <c r="H650" i="1"/>
  <c r="H618" i="1"/>
  <c r="H586" i="1"/>
  <c r="H521" i="1"/>
  <c r="H410" i="1"/>
  <c r="H535" i="1"/>
  <c r="H645" i="1"/>
  <c r="H553" i="1"/>
  <c r="H454" i="1"/>
  <c r="H456" i="1"/>
  <c r="H288" i="1"/>
  <c r="H241" i="1"/>
  <c r="H145" i="1"/>
  <c r="H148" i="1"/>
  <c r="H783" i="1"/>
  <c r="H673" i="1"/>
  <c r="H1016" i="1"/>
  <c r="H952" i="1"/>
  <c r="H888" i="1"/>
  <c r="H826" i="1"/>
  <c r="H759" i="1"/>
  <c r="H1047" i="1"/>
  <c r="H983" i="1"/>
  <c r="H919" i="1"/>
  <c r="H855" i="1"/>
  <c r="H789" i="1"/>
  <c r="H685" i="1"/>
  <c r="H536" i="1"/>
  <c r="H395" i="1"/>
  <c r="H736" i="1"/>
  <c r="H704" i="1"/>
  <c r="H672" i="1"/>
  <c r="H640" i="1"/>
  <c r="H608" i="1"/>
  <c r="H565" i="1"/>
  <c r="H500" i="1"/>
  <c r="H580" i="1"/>
  <c r="H1428" i="1"/>
  <c r="H1396" i="1"/>
  <c r="H1364" i="1"/>
  <c r="H1308" i="1"/>
  <c r="H1244" i="1"/>
  <c r="H1180" i="1"/>
  <c r="H1318" i="1"/>
  <c r="H1254" i="1"/>
  <c r="H1190" i="1"/>
  <c r="H1126" i="1"/>
  <c r="H1527" i="1"/>
  <c r="H1495" i="1"/>
  <c r="H1463" i="1"/>
  <c r="H1431" i="1"/>
  <c r="H1399" i="1"/>
  <c r="H1367" i="1"/>
  <c r="H1315" i="1"/>
  <c r="H1251" i="1"/>
  <c r="H1187" i="1"/>
  <c r="H1036" i="1"/>
  <c r="H972" i="1"/>
  <c r="H908" i="1"/>
  <c r="H844" i="1"/>
  <c r="H780" i="1"/>
  <c r="H667" i="1"/>
  <c r="H1127" i="1"/>
  <c r="H1095" i="1"/>
  <c r="H1051" i="1"/>
  <c r="H987" i="1"/>
  <c r="H923" i="1"/>
  <c r="H859" i="1"/>
  <c r="H795" i="1"/>
  <c r="H1037" i="1"/>
  <c r="H909" i="1"/>
  <c r="H782" i="1"/>
  <c r="H1002" i="1"/>
  <c r="H874" i="1"/>
  <c r="H725" i="1"/>
  <c r="H403" i="1"/>
  <c r="H1539" i="1"/>
  <c r="H1298" i="1"/>
  <c r="H1234" i="1"/>
  <c r="H1170" i="1"/>
  <c r="H1104" i="1"/>
  <c r="H1594" i="1"/>
  <c r="H1562" i="1"/>
  <c r="H1530" i="1"/>
  <c r="H1498" i="1"/>
  <c r="H1466" i="1"/>
  <c r="H1434" i="1"/>
  <c r="H1402" i="1"/>
  <c r="H1370" i="1"/>
  <c r="H1319" i="1"/>
  <c r="H1255" i="1"/>
  <c r="H1191" i="1"/>
  <c r="H1329" i="1"/>
  <c r="H1265" i="1"/>
  <c r="H1201" i="1"/>
  <c r="H1138" i="1"/>
  <c r="H1074" i="1"/>
  <c r="H1501" i="1"/>
  <c r="H1469" i="1"/>
  <c r="H1437" i="1"/>
  <c r="H1405" i="1"/>
  <c r="H1373" i="1"/>
  <c r="H1328" i="1"/>
  <c r="H1264" i="1"/>
  <c r="H1200" i="1"/>
  <c r="H1049" i="1"/>
  <c r="H985" i="1"/>
  <c r="H921" i="1"/>
  <c r="H857" i="1"/>
  <c r="H792" i="1"/>
  <c r="H691" i="1"/>
  <c r="H1133" i="1"/>
  <c r="H1101" i="1"/>
  <c r="H1062" i="1"/>
  <c r="H998" i="1"/>
  <c r="H934" i="1"/>
  <c r="H870" i="1"/>
  <c r="H807" i="1"/>
  <c r="H1056" i="1"/>
  <c r="H928" i="1"/>
  <c r="H802" i="1"/>
  <c r="H1023" i="1"/>
  <c r="H895" i="1"/>
  <c r="H765" i="1"/>
  <c r="H474" i="1"/>
  <c r="H738" i="1"/>
  <c r="H706" i="1"/>
  <c r="H674" i="1"/>
  <c r="H642" i="1"/>
  <c r="H610" i="1"/>
  <c r="H570" i="1"/>
  <c r="H505" i="1"/>
  <c r="H583" i="1"/>
  <c r="H493" i="1"/>
  <c r="H629" i="1"/>
  <c r="H476" i="1"/>
  <c r="H389" i="1"/>
  <c r="H392" i="1"/>
  <c r="H151" i="1"/>
  <c r="H209" i="1"/>
  <c r="H79" i="1"/>
  <c r="H84" i="1"/>
  <c r="H767" i="1"/>
  <c r="H1064" i="1"/>
  <c r="H1000" i="1"/>
  <c r="H936" i="1"/>
  <c r="H872" i="1"/>
  <c r="H810" i="1"/>
  <c r="H727" i="1"/>
  <c r="H1031" i="1"/>
  <c r="H967" i="1"/>
  <c r="H903" i="1"/>
  <c r="H837" i="1"/>
  <c r="H773" i="1"/>
  <c r="H584" i="1"/>
  <c r="H490" i="1"/>
  <c r="H760" i="1"/>
  <c r="H728" i="1"/>
  <c r="H696" i="1"/>
  <c r="H664" i="1"/>
  <c r="H632" i="1"/>
  <c r="H600" i="1"/>
  <c r="H549" i="1"/>
  <c r="H468" i="1"/>
  <c r="H1420" i="1"/>
  <c r="H1388" i="1"/>
  <c r="H1356" i="1"/>
  <c r="H1292" i="1"/>
  <c r="H1228" i="1"/>
  <c r="H1164" i="1"/>
  <c r="H1302" i="1"/>
  <c r="H1238" i="1"/>
  <c r="H1174" i="1"/>
  <c r="H1110" i="1"/>
  <c r="H1519" i="1"/>
  <c r="H1487" i="1"/>
  <c r="H1455" i="1"/>
  <c r="H1423" i="1"/>
  <c r="H1391" i="1"/>
  <c r="H1359" i="1"/>
  <c r="H1299" i="1"/>
  <c r="H1235" i="1"/>
  <c r="H1171" i="1"/>
  <c r="H1020" i="1"/>
  <c r="H956" i="1"/>
  <c r="H892" i="1"/>
  <c r="H828" i="1"/>
  <c r="H763" i="1"/>
  <c r="H1151" i="1"/>
  <c r="H1119" i="1"/>
  <c r="H1087" i="1"/>
  <c r="H1035" i="1"/>
  <c r="H971" i="1"/>
  <c r="H907" i="1"/>
  <c r="H843" i="1"/>
  <c r="H771" i="1"/>
  <c r="H1005" i="1"/>
  <c r="H877" i="1"/>
  <c r="H735" i="1"/>
  <c r="H970" i="1"/>
  <c r="H841" i="1"/>
  <c r="H661" i="1"/>
  <c r="H1621" i="1"/>
  <c r="H1346" i="1"/>
  <c r="H1282" i="1"/>
  <c r="H1218" i="1"/>
  <c r="H1152" i="1"/>
  <c r="H1088" i="1"/>
  <c r="H1586" i="1"/>
  <c r="H1554" i="1"/>
  <c r="H1522" i="1"/>
  <c r="H1490" i="1"/>
  <c r="H1458" i="1"/>
  <c r="H1426" i="1"/>
  <c r="H1394" i="1"/>
  <c r="H1362" i="1"/>
  <c r="H1303" i="1"/>
  <c r="H1239" i="1"/>
  <c r="H1175" i="1"/>
  <c r="H1313" i="1"/>
  <c r="H1249" i="1"/>
  <c r="H1185" i="1"/>
  <c r="H1122" i="1"/>
  <c r="H1525" i="1"/>
  <c r="H1493" i="1"/>
  <c r="H1461" i="1"/>
  <c r="H1429" i="1"/>
  <c r="H1397" i="1"/>
  <c r="H1365" i="1"/>
  <c r="H1312" i="1"/>
  <c r="H1248" i="1"/>
  <c r="H1184" i="1"/>
  <c r="H1033" i="1"/>
  <c r="H969" i="1"/>
  <c r="H905" i="1"/>
  <c r="H840" i="1"/>
  <c r="H776" i="1"/>
  <c r="H1157" i="1"/>
  <c r="H1125" i="1"/>
  <c r="H1093" i="1"/>
  <c r="H1046" i="1"/>
  <c r="H982" i="1"/>
  <c r="H918" i="1"/>
  <c r="H854" i="1"/>
  <c r="H791" i="1"/>
  <c r="H1024" i="1"/>
  <c r="H896" i="1"/>
  <c r="H770" i="1"/>
  <c r="H991" i="1"/>
  <c r="H863" i="1"/>
  <c r="H701" i="1"/>
  <c r="H762" i="1"/>
  <c r="H730" i="1"/>
  <c r="H698" i="1"/>
  <c r="H666" i="1"/>
  <c r="H634" i="1"/>
  <c r="H602" i="1"/>
  <c r="H554" i="1"/>
  <c r="H479" i="1"/>
  <c r="H567" i="1"/>
  <c r="H445" i="1"/>
  <c r="H613" i="1"/>
  <c r="H366" i="1"/>
  <c r="H325" i="1"/>
  <c r="H328" i="1"/>
  <c r="H87" i="1"/>
  <c r="H150" i="1"/>
  <c r="H240" i="1"/>
  <c r="H47" i="1"/>
  <c r="H737" i="1"/>
  <c r="H1048" i="1"/>
  <c r="H984" i="1"/>
  <c r="H920" i="1"/>
  <c r="H856" i="1"/>
  <c r="H794" i="1"/>
  <c r="H695" i="1"/>
  <c r="H1015" i="1"/>
  <c r="H951" i="1"/>
  <c r="H887" i="1"/>
  <c r="H821" i="1"/>
  <c r="H749" i="1"/>
  <c r="H568" i="1"/>
  <c r="H458" i="1"/>
  <c r="H752" i="1"/>
  <c r="H720" i="1"/>
  <c r="H688" i="1"/>
  <c r="H656" i="1"/>
  <c r="H624" i="1"/>
  <c r="H592" i="1"/>
  <c r="H533" i="1"/>
  <c r="H434" i="1"/>
  <c r="H1412" i="1"/>
  <c r="H1380" i="1"/>
  <c r="H1340" i="1"/>
  <c r="H1276" i="1"/>
  <c r="H1212" i="1"/>
  <c r="H1350" i="1"/>
  <c r="H1286" i="1"/>
  <c r="H1222" i="1"/>
  <c r="H1158" i="1"/>
  <c r="H1094" i="1"/>
  <c r="H1511" i="1"/>
  <c r="H1479" i="1"/>
  <c r="H1447" i="1"/>
  <c r="H1415" i="1"/>
  <c r="H1383" i="1"/>
  <c r="H1347" i="1"/>
  <c r="H1283" i="1"/>
  <c r="H1219" i="1"/>
  <c r="H1073" i="1"/>
  <c r="H1004" i="1"/>
  <c r="H940" i="1"/>
  <c r="H876" i="1"/>
  <c r="H812" i="1"/>
  <c r="H731" i="1"/>
  <c r="H1143" i="1"/>
  <c r="H1111" i="1"/>
  <c r="H1079" i="1"/>
  <c r="H1019" i="1"/>
  <c r="H955" i="1"/>
  <c r="H891" i="1"/>
  <c r="H827" i="1"/>
  <c r="H713" i="1"/>
  <c r="H973" i="1"/>
  <c r="H846" i="1"/>
  <c r="H671" i="1"/>
  <c r="H938" i="1"/>
  <c r="H809" i="1"/>
  <c r="H555" i="1"/>
  <c r="H1603" i="1"/>
  <c r="H1330" i="1"/>
  <c r="H1266" i="1"/>
  <c r="H1202" i="1"/>
  <c r="H1136" i="1"/>
  <c r="H1071" i="1"/>
  <c r="H1578" i="1"/>
  <c r="H1546" i="1"/>
  <c r="H1514" i="1"/>
  <c r="H1482" i="1"/>
  <c r="H1450" i="1"/>
  <c r="H1418" i="1"/>
  <c r="H1386" i="1"/>
  <c r="H1351" i="1"/>
  <c r="H1287" i="1"/>
  <c r="H1223" i="1"/>
  <c r="H1159" i="1"/>
  <c r="H1297" i="1"/>
  <c r="H1233" i="1"/>
  <c r="H1169" i="1"/>
  <c r="H1106" i="1"/>
  <c r="H1517" i="1"/>
  <c r="H1485" i="1"/>
  <c r="H1453" i="1"/>
  <c r="H1421" i="1"/>
  <c r="H1389" i="1"/>
  <c r="H1357" i="1"/>
  <c r="H1296" i="1"/>
  <c r="H1232" i="1"/>
  <c r="H1168" i="1"/>
  <c r="H1017" i="1"/>
  <c r="H953" i="1"/>
  <c r="H889" i="1"/>
  <c r="H824" i="1"/>
  <c r="H755" i="1"/>
  <c r="H1149" i="1"/>
  <c r="H1117" i="1"/>
  <c r="H1085" i="1"/>
  <c r="H1030" i="1"/>
  <c r="H966" i="1"/>
  <c r="H902" i="1"/>
  <c r="H839" i="1"/>
  <c r="H753" i="1"/>
  <c r="H992" i="1"/>
  <c r="H864" i="1"/>
  <c r="H711" i="1"/>
  <c r="H959" i="1"/>
  <c r="H829" i="1"/>
  <c r="H576" i="1"/>
  <c r="H754" i="1"/>
  <c r="H722" i="1"/>
  <c r="H690" i="1"/>
  <c r="H658" i="1"/>
  <c r="H626" i="1"/>
  <c r="H594" i="1"/>
  <c r="H538" i="1"/>
  <c r="H447" i="1"/>
  <c r="H551" i="1"/>
  <c r="H383" i="1"/>
  <c r="H597" i="1"/>
  <c r="H302" i="1"/>
  <c r="H512" i="1"/>
  <c r="H359" i="1"/>
  <c r="H273" i="1"/>
  <c r="H86" i="1"/>
  <c r="H208" i="1"/>
  <c r="H64" i="1"/>
  <c r="H705" i="1"/>
  <c r="H1032" i="1"/>
  <c r="H968" i="1"/>
  <c r="H904" i="1"/>
  <c r="H842" i="1"/>
  <c r="H778" i="1"/>
  <c r="H663" i="1"/>
  <c r="H999" i="1"/>
  <c r="H935" i="1"/>
  <c r="H871" i="1"/>
  <c r="H805" i="1"/>
  <c r="H717" i="1"/>
  <c r="H552" i="1"/>
  <c r="H427" i="1"/>
  <c r="H744" i="1"/>
  <c r="H712" i="1"/>
  <c r="H680" i="1"/>
  <c r="H648" i="1"/>
  <c r="H616" i="1"/>
  <c r="H581" i="1"/>
  <c r="H517" i="1"/>
  <c r="H402"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<sst xmlns="http://schemas.openxmlformats.org/spreadsheetml/2006/main" count="13999" uniqueCount="2303">
  <si>
    <t xml:space="preserve">I bought one share each of Apple, Microsoft, Nvidia, Blackrock stocks. I'll see what happens next. </t>
  </si>
  <si>
    <t xml:space="preserve">d****j </t>
  </si>
  <si>
    <t>en</t>
  </si>
  <si>
    <t xml:space="preserve">[Saturn]: MSI GeForce RTX 4090 GAMING X TRIO (NVIDIA, Grafikkarte) now availble! ?? Price:2049?? Link:? </t>
  </si>
  <si>
    <t xml:space="preserve">D****U </t>
  </si>
  <si>
    <t xml:space="preserve">Germany </t>
  </si>
  <si>
    <t xml:space="preserve">1303B738N76505aa5691 # Photo Crop Confidence Score: 0.91? </t>
  </si>
  <si>
    <t xml:space="preserve">A****v </t>
  </si>
  <si>
    <t xml:space="preserve">its basically a way to increase your fps and have stretch res easier (works for l? </t>
  </si>
  <si>
    <t xml:space="preserve">_****y </t>
  </si>
  <si>
    <t xml:space="preserve">Algeria </t>
  </si>
  <si>
    <t xml:space="preserve">IN STOCK ALERT ??ZOTAC GeForce RTX 4090 Trinity Graphics Card is in stock at Amazon for $1,599.99 (MSRP)? </t>
  </si>
  <si>
    <t xml:space="preserve">R****k </t>
  </si>
  <si>
    <t xml:space="preserve">Turn on notifications ? </t>
  </si>
  <si>
    <t xml:space="preserve">82% of organizations have seen value from their initiatives in as little as six months, according to? </t>
  </si>
  <si>
    <t xml:space="preserve">V****e </t>
  </si>
  <si>
    <t xml:space="preserve">Palo Alto, California </t>
  </si>
  <si>
    <t xml:space="preserve">WHAT IN THE COSMOS IS GOING ON HERE ? ? ? </t>
  </si>
  <si>
    <t xml:space="preserve">F****S </t>
  </si>
  <si>
    <t xml:space="preserve">Bronx, NY </t>
  </si>
  <si>
    <t xml:space="preserve">SWA409B737N928WNacdde3 Photo Crop Confidence Score: 0? </t>
  </si>
  <si>
    <t xml:space="preserve">BESTBUY : GIGABYTE GeForce RTX 4070 TI Gaming OC- $849.99Link: </t>
  </si>
  <si>
    <t xml:space="preserve">f****n </t>
  </si>
  <si>
    <t xml:space="preserve">Accelerating Python Applications with cuNumeric and Legate | NVIDIA Technical Blog </t>
  </si>
  <si>
    <t xml:space="preserve">d****n </t>
  </si>
  <si>
    <t xml:space="preserve">San Jose, CA </t>
  </si>
  <si>
    <t xml:space="preserve">ASH5779CRJ9N241LRa234c0 Photo Crop Confidence Score:? </t>
  </si>
  <si>
    <t xml:space="preserve">IN STOCK ALERT ??MSI Gaming GeForce RTX 4090 24GB GDRR6X 384-Bit HDMI/DP Nvlink Torx Fan 5 Ada Lovelace Arc is? </t>
  </si>
  <si>
    <t xml:space="preserve">ASA651B739N479ASa5e29a Photo Crop Confidence Score: 0? </t>
  </si>
  <si>
    <t xml:space="preserve">Discover how easy it is to emulate an Jetson Orin NX, along with other Jetson modules, using the NVIDIA Jet? </t>
  </si>
  <si>
    <t xml:space="preserve">d****4 </t>
  </si>
  <si>
    <t xml:space="preserve">Silicon Valley, CA </t>
  </si>
  <si>
    <t xml:space="preserve">[US] asus 4070ti tuf (New) for ?$849??ATC: ?Link: ??Feb 10, 9:58 PM ET </t>
  </si>
  <si>
    <t xml:space="preserve">D****s </t>
  </si>
  <si>
    <t xml:space="preserve">USA </t>
  </si>
  <si>
    <t xml:space="preserve">[US] gigabyte 4070ti TEAGLE OC (New) for ?$849??ATC: ?Link: </t>
  </si>
  <si>
    <t xml:space="preserve">[US] pny 4070ti Triple Fan (New) for ?$839??ATC: ?Link: </t>
  </si>
  <si>
    <t xml:space="preserve">[US] gigabyte 4070ti GAMING OC (New) for ?$899??ATC: ?Link: </t>
  </si>
  <si>
    <t xml:space="preserve">The market frenzy around artificial intelligence has lifted nvidia corp 's stock so much that even many bullish ana? </t>
  </si>
  <si>
    <t xml:space="preserve">E****0 </t>
  </si>
  <si>
    <t xml:space="preserve">Get a peek at all the featured sessions on and NVIDIA Jetson at Mar (20-23). See how , simu? </t>
  </si>
  <si>
    <t xml:space="preserve">AAL1606A320N659AWa8ae3e Photo Crop Confidence Score:? </t>
  </si>
  <si>
    <t xml:space="preserve">ASH5788CRJ9N944LRad1d0e Photo Crop Confidence Score:? </t>
  </si>
  <si>
    <t xml:space="preserve">Say less. Nvidia ass LOL </t>
  </si>
  <si>
    <t xml:space="preserve">P****_ </t>
  </si>
  <si>
    <t xml:space="preserve">318?214 </t>
  </si>
  <si>
    <t xml:space="preserve">BESTBUY : MSI GeForce RTX 4090 GAMING X TRIO- $1649.99Link: </t>
  </si>
  <si>
    <t xml:space="preserve">Unfortunately, my contract with NVIDIA has come to an end. I absolutely loved working with the Team and amazing C? </t>
  </si>
  <si>
    <t xml:space="preserve">R****_ </t>
  </si>
  <si>
    <t xml:space="preserve">221B Baker Street </t>
  </si>
  <si>
    <t xml:space="preserve">DocumentingBTC: Value of $10,000 invested 12 years ago:Gold = $11,800S&amp;amp;P 500 = $35,400Google = $58,000Microsof? </t>
  </si>
  <si>
    <t xml:space="preserve">B****S </t>
  </si>
  <si>
    <t xml:space="preserve">Black Earth, WI </t>
  </si>
  <si>
    <t xml:space="preserve">Imagine a man-in-the-middle attack where an intel agency uses this tech to hijack a live Zoom ca? </t>
  </si>
  <si>
    <t xml:space="preserve">S****I </t>
  </si>
  <si>
    <t xml:space="preserve">United States </t>
  </si>
  <si>
    <t xml:space="preserve">We're only complaining now because tech got cheaper yet what we pay hasn't dropped, so we assume all? </t>
  </si>
  <si>
    <t xml:space="preserve">C****o </t>
  </si>
  <si>
    <t xml:space="preserve">On the Tower, Flounder Heights </t>
  </si>
  <si>
    <t xml:space="preserve">GTI8785B744N482MCa5f11d Photo Crop Confidence Score:? </t>
  </si>
  <si>
    <t xml:space="preserve">SKW3058CRJ7N764SKaa51fe Photo Crop Confidence Score:? </t>
  </si>
  <si>
    <t xml:space="preserve">And Android has took up a host to build an Arm64 Intel emulation layer Nvidia process for cloud </t>
  </si>
  <si>
    <t xml:space="preserve">P****9 </t>
  </si>
  <si>
    <t xml:space="preserve">I prefer:1. Graphics/Settings comparison2. Optimized Settings3. PC vs Console settings matches.an? </t>
  </si>
  <si>
    <t xml:space="preserve">B****t </t>
  </si>
  <si>
    <t xml:space="preserve">No. </t>
  </si>
  <si>
    <t xml:space="preserve">SKW3011CRJ7N707EVa96f07 Photo Crop Confidence Score:? </t>
  </si>
  <si>
    <t xml:space="preserve">In the near future, humans won't actually talk to each other. They'll talk to computer-generated? </t>
  </si>
  <si>
    <t xml:space="preserve">Digital Sales Make Up Nearly Half Of FY 2023 Switch Software Sales So Far - Nintendo Life </t>
  </si>
  <si>
    <t xml:space="preserve">Los Angeles, CA </t>
  </si>
  <si>
    <t xml:space="preserve">DAL2468B739N845DNab92c4 Photo Crop Confidence Score:? </t>
  </si>
  <si>
    <t xml:space="preserve">Ignore the vylet pony music nvidia shadowplay just captures all desktop audio </t>
  </si>
  <si>
    <t xml:space="preserve">K****_ </t>
  </si>
  <si>
    <t xml:space="preserve">he/they </t>
  </si>
  <si>
    <t xml:space="preserve">Week 6: -2,6% ??YtD 17%Licht short (Apple + Nvidia) </t>
  </si>
  <si>
    <t xml:space="preserve">P****0 </t>
  </si>
  <si>
    <t xml:space="preserve">UAL1152B738N77518aa7e36 Photo Crop Confidence Score:? </t>
  </si>
  <si>
    <t xml:space="preserve">Loading and processing of images slowing your down? Download cuCIM using Conda:? </t>
  </si>
  <si>
    <t xml:space="preserve">R****1 </t>
  </si>
  <si>
    <t xml:space="preserve">AAL1376A321N107NNa01fee Photo Crop Confidence Score:? </t>
  </si>
  <si>
    <t xml:space="preserve">AAL570B738N950ANad34b4 Photo Crop Confidence Score: 0? </t>
  </si>
  <si>
    <t xml:space="preserve">[US] asus 4070ti tuf (New) for ?$849??ATC: ?Link: ??Feb 10, 9:39 PM ET </t>
  </si>
  <si>
    <t xml:space="preserve">Hogwarts Legacy : RX 6600 + R7 5800X3D | 1440p - 1080p | Ultra &amp;amp; Low | F... via ? </t>
  </si>
  <si>
    <t xml:space="preserve">y****i </t>
  </si>
  <si>
    <t xml:space="preserve">Hi,Universe Glow not working!I'll add the effect to my comp.Ok I can see it. But? </t>
  </si>
  <si>
    <t xml:space="preserve">E****n </t>
  </si>
  <si>
    <t xml:space="preserve">If the Biden Administration was owned by China, why are they stopping Nvidia, AMD from selling thei? </t>
  </si>
  <si>
    <t xml:space="preserve">B****8 </t>
  </si>
  <si>
    <t xml:space="preserve">Apple and Nvidia </t>
  </si>
  <si>
    <t xml:space="preserve">i****y </t>
  </si>
  <si>
    <t xml:space="preserve">The video is recorded in Roblox using Nvidia RTX on </t>
  </si>
  <si>
    <t xml:space="preserve">t****5 </t>
  </si>
  <si>
    <t xml:space="preserve">Umbria, Italy </t>
  </si>
  <si>
    <t xml:space="preserve">AAL1760B738N819NNab2c04 Photo Crop Confidence Score:? </t>
  </si>
  <si>
    <t xml:space="preserve">BESTBUY : ASUS GeForce RTX 4070 TI TUF- $799.99Link: </t>
  </si>
  <si>
    <t xml:space="preserve">p****7 </t>
  </si>
  <si>
    <t xml:space="preserve">Heaven bound ?????? </t>
  </si>
  <si>
    <t xml:space="preserve">IN STOCK ALERT - UK ??ASUS GeForce RTX 4090 TUF GAMING (24GB GDDR6X/PCI Express 4.0/MHz/21000MHz), 90YV0IE1-M0? </t>
  </si>
  <si>
    <t xml:space="preserve">R****K </t>
  </si>
  <si>
    <t xml:space="preserve">Read how developed smart hospital solutions powered by NVIDIA Riva text-to-speech to automate check-in a? </t>
  </si>
  <si>
    <t xml:space="preserve">S****1 </t>
  </si>
  <si>
    <t xml:space="preserve">Financial services firms are moving to the cloud to optimize performance and reduce operating costs. Find out w? </t>
  </si>
  <si>
    <t xml:space="preserve">M****A </t>
  </si>
  <si>
    <t xml:space="preserve">Santa Clara, CA </t>
  </si>
  <si>
    <t xml:space="preserve">Nintendo Direct for February 2023 announced, promising Switch news - Polygon ? </t>
  </si>
  <si>
    <t xml:space="preserve">I am impressed by Elon Musk's initiatives to create a future of advanced technology. I hope that companies like? </t>
  </si>
  <si>
    <t xml:space="preserve">k****d </t>
  </si>
  <si>
    <t xml:space="preserve">Yeah it's a nightmare, anything that opens another 3d viewport such as materials/Niagara resu? </t>
  </si>
  <si>
    <t xml:space="preserve">l****e </t>
  </si>
  <si>
    <t xml:space="preserve">Melbourne, Australia </t>
  </si>
  <si>
    <t xml:space="preserve">I?m to poor/young for Nvidia jokes. ?????I?ll see myself out. </t>
  </si>
  <si>
    <t xml:space="preserve">c****t </t>
  </si>
  <si>
    <t xml:space="preserve">Value of $10,000 invested 12 years ago:Gold = $11,800S&amp;amp;P 500 = $35,400Google = $58,000Microsoft = $85,000Appl? </t>
  </si>
  <si>
    <t xml:space="preserve">D****C </t>
  </si>
  <si>
    <t xml:space="preserve">Follow + turn on notifications </t>
  </si>
  <si>
    <t xml:space="preserve">Increase in valuations this year:Apple: +$361 billionTesla: +$285 billionMicrosoft: +$217 billion? </t>
  </si>
  <si>
    <t xml:space="preserve">MXY535BCS3N214BZa1c88f Photo Crop Confidence Score: 0? </t>
  </si>
  <si>
    <t xml:space="preserve">It will, unfortunately, take a considerable amount of work for lower power devices. Look at the compl? </t>
  </si>
  <si>
    <t xml:space="preserve">e****a </t>
  </si>
  <si>
    <t xml:space="preserve">Green day streak over. Caught a nice gain on $NVDA but $XLE short positions got rinsed. Disappointing end to the we? </t>
  </si>
  <si>
    <t xml:space="preserve">f****e </t>
  </si>
  <si>
    <t xml:space="preserve">Santa Monica, CA </t>
  </si>
  <si>
    <t xml:space="preserve">SWA2072B737N455WNa586b0 Photo Crop Confidence Score:? </t>
  </si>
  <si>
    <t xml:space="preserve">It was Nvidia. Not anymore </t>
  </si>
  <si>
    <t xml:space="preserve">h****1 </t>
  </si>
  <si>
    <t xml:space="preserve">Nvidia Corporation is looking for a Deep Learning Performance Architect Intern Santa Clara,? </t>
  </si>
  <si>
    <t xml:space="preserve">M****d </t>
  </si>
  <si>
    <t xml:space="preserve">[$854.28]Lenovo NVIDIA RTX A2000 Graphic Card - 6 GB GDDR6Source: ebay ListingReason: Sold by antonlineGet the? </t>
  </si>
  <si>
    <t xml:space="preserve">B****y </t>
  </si>
  <si>
    <t xml:space="preserve">Pittsburgh, PA </t>
  </si>
  <si>
    <t xml:space="preserve">New update discord added AV1 streaming to there go live feature caused NVIDIA to get this new bug. . If you have Lo? </t>
  </si>
  <si>
    <t xml:space="preserve">F****l </t>
  </si>
  <si>
    <t xml:space="preserve">Florida </t>
  </si>
  <si>
    <t xml:space="preserve">I might have lucked out, that Pavilion with NVIDIA Graphics has a Pentium Dual Core, that could be 32bit. </t>
  </si>
  <si>
    <t xml:space="preserve">S****r </t>
  </si>
  <si>
    <t xml:space="preserve">Arkansas </t>
  </si>
  <si>
    <t xml:space="preserve">ASUS TUF Gaming NVIDIA GeForce RTX 3070 V2 OC Edition Graphi... is now available for $638.35 ($21.64 OFF) at? </t>
  </si>
  <si>
    <t xml:space="preserve">S****s </t>
  </si>
  <si>
    <t xml:space="preserve">BESTBUY : GIGABYTE GeForce RTX 4080 Eagle OC- $1239.99Link: </t>
  </si>
  <si>
    <t xml:space="preserve">LYM3710D328N398DCa4a0cf Photo Crop Confidence Score:? </t>
  </si>
  <si>
    <t xml:space="preserve">[$1716.31]PNY NVIDIA Quadro RTX A4500 Graphic Card - 20 GB GDDR6 - FulSource: ebay ListingReason: Sold by antonl? </t>
  </si>
  <si>
    <t xml:space="preserve">[$456.72]TUF NVIDIA GeForce RTX 3060 Graphic Card - 12 GB GDDR6 : ebay ListingReason:? </t>
  </si>
  <si>
    <t xml:space="preserve">[US] asus 4070ti tuf (New) for ?$849??ATC: ?Link: ??Feb 10, 9:20 PM ET </t>
  </si>
  <si>
    <t xml:space="preserve">B****s </t>
  </si>
  <si>
    <t xml:space="preserve">BESTBUY : NVIDIA GeForce RTX 4080- $1199.99Link: </t>
  </si>
  <si>
    <t xml:space="preserve">New Nvidia drivers have messed up cyberpunk and some other games for me on 3070 I?ve had a 20% fps drop </t>
  </si>
  <si>
    <t xml:space="preserve">i****w </t>
  </si>
  <si>
    <t xml:space="preserve">Im lost please come find me!! </t>
  </si>
  <si>
    <t xml:space="preserve">Discover how VinBrain, a member, is able to detect abnormalities and accelerate time to diagnosis? </t>
  </si>
  <si>
    <t xml:space="preserve">N****n </t>
  </si>
  <si>
    <t xml:space="preserve">LATAM </t>
  </si>
  <si>
    <t xml:space="preserve">BESTBUY : ASUS GeForce RTX 4070 TI TUF OC- $849.99Link: </t>
  </si>
  <si>
    <t xml:space="preserve">BESTBUY : MSI GeForce RTX 4080 VENTUS 3X OC- $1249.99Link: </t>
  </si>
  <si>
    <t xml:space="preserve">BESTBUY : PNY GeForce RTX 4070 TI Verto- $819.99Link: </t>
  </si>
  <si>
    <t xml:space="preserve">BESTBUY : PNY GeForce RTX 4080 XLR8 VERTO- $1199.99Link: </t>
  </si>
  <si>
    <t xml:space="preserve">IN STOCK ALERT ??ZOTAC GeForce RTX 4090 AMP Extreme AIRO Graphics Card is in stock at Amazon for $1,699.99 (MS? </t>
  </si>
  <si>
    <t xml:space="preserve">When the AI's finally take over they'll create hyperrealistic video game simulations to entertain themselves o? </t>
  </si>
  <si>
    <t xml:space="preserve">_****n </t>
  </si>
  <si>
    <t xml:space="preserve">San Francisco, CA </t>
  </si>
  <si>
    <t xml:space="preserve">BESTBUY : GIGABYTE GeForce RTX 4070 TI Eagle OC- $849.99Link: </t>
  </si>
  <si>
    <t xml:space="preserve">[$1060.08]HP NVIDIA Quadro RTX 4000 8GB GDDR6 Graphics Card - 8GB GDDRSource: ebay ListingReason: Sold by antonl? </t>
  </si>
  <si>
    <t xml:space="preserve">SCX3003B738N5683Aa74764 Photo Crop Confidence Score:? </t>
  </si>
  <si>
    <t xml:space="preserve">ZOTAC GEFORCE RTX 4090 AMP EXTREME AIRO now in stock at Amazon for $1699.99. </t>
  </si>
  <si>
    <t xml:space="preserve">is the king of gatekeeping. They give us power but then hold us back just a few short years later with half? </t>
  </si>
  <si>
    <t xml:space="preserve">M****1 </t>
  </si>
  <si>
    <t xml:space="preserve">BESTBUY : ASUS GeForce RTX 4090 TUF GAMING- $1799.99Link: </t>
  </si>
  <si>
    <t xml:space="preserve">Lenovo Ideapad 3i Gaming - 15.6" FHD Display - Intel Core i5-12500H - 8GB DDR4 RAM - 512GB M.2 TLC SSD - NVIDIA GeF? </t>
  </si>
  <si>
    <t xml:space="preserve">D****2 </t>
  </si>
  <si>
    <t xml:space="preserve">EJA237CL60N237QSa223f0 Photo Crop Confidence Score: 0? </t>
  </si>
  <si>
    <t xml:space="preserve">[£342.92]ASUS Dual NVIDIA GeForce RTX 3050 OC Edition Gaming GraphicsSource: Amazon Checker v3R (Offer Pop? </t>
  </si>
  <si>
    <t xml:space="preserve">IN STOCK ALERT - DE ??MSI GeForce RTX 4090 Gaming X Trio 24G Gaming Graphics Card - NVIDIA RTX 4090, 24GB GDDR? </t>
  </si>
  <si>
    <t xml:space="preserve">R****E </t>
  </si>
  <si>
    <t xml:space="preserve">Perfect for a stream PC though. Av1 encoding. Currently the cheapest av1 option from Nvidia is 800 dollars. ?? </t>
  </si>
  <si>
    <t xml:space="preserve">Goodbye, San Francisco. We had a great time discussing practical challenges and solutions to delivering real-time a? </t>
  </si>
  <si>
    <t xml:space="preserve">D****a </t>
  </si>
  <si>
    <t xml:space="preserve">Atlanta, GA </t>
  </si>
  <si>
    <t xml:space="preserve">IN STOCK ALERT ??GeForce RTX 3070 - ASUS - TUF Gaming V2 OC is in stock at Amazon for $638.36 (Less than MSRP)? </t>
  </si>
  <si>
    <t xml:space="preserve">I've got a whole nother problem now, so in Hogwarts legacy specifically, my game is using my CPU for graphics inste? </t>
  </si>
  <si>
    <t xml:space="preserve">T****t </t>
  </si>
  <si>
    <t xml:space="preserve">[$736.07]HP NVIDIA RTX A2000 Graphic Card - 12 GBSource: ebay ListingReason: Sold by antonlineGet the Inventor? </t>
  </si>
  <si>
    <t xml:space="preserve">AAL2965A21NN439ANa5449a Photo Crop Confidence Score:? </t>
  </si>
  <si>
    <t xml:space="preserve">For nvidia reflex shouldn?t I do on + boost? </t>
  </si>
  <si>
    <t xml:space="preserve">w****1 </t>
  </si>
  <si>
    <t xml:space="preserve">Follow me Here ? </t>
  </si>
  <si>
    <t xml:space="preserve">Apex Legends Season 16: Revelry Launch Trailer Confirms TDM Is Coming, But No New Legend - GameSpot? </t>
  </si>
  <si>
    <t xml:space="preserve">LXJ570CL30N570FXa74efc Photo Crop Confidence Score: 0? </t>
  </si>
  <si>
    <t xml:space="preserve">[$369.64]PNY NVIDIA T1000 Graphic Card - 4 GB GDDR6 - Low-profileSource: ebay ListingReason: Sold by antonline? </t>
  </si>
  <si>
    <t xml:space="preserve">Nvidia, Broadcom, and Marvell Are Chip Stocks to Benefit in AI Arms Race - MarketWatch$RNDR is x100 potential ? ? </t>
  </si>
  <si>
    <t xml:space="preserve">C****5 </t>
  </si>
  <si>
    <t xml:space="preserve">London, England </t>
  </si>
  <si>
    <t xml:space="preserve">AAL1147A21NN465ANa5ac3b Photo Crop Confidence Score:? </t>
  </si>
  <si>
    <t xml:space="preserve">IN STOCK ALERT ??MSI GeForce RTX 4090 SUPRIM X Graphics Card is in stock at Amazon for $1,749.99 (About MSRP)? </t>
  </si>
  <si>
    <t xml:space="preserve">[$955.43]MSI NVIDIA GeForce RTX 4070 Ti Graphic Card - 12 GB GDDR6XSource: ebay ListingReason: Sold by antonline? </t>
  </si>
  <si>
    <t xml:space="preserve">[$391]Asus NVIDIA GeForce RTX 3060 Graphic Card - 8 GB GDDR6 : ebay ListingReason: So? </t>
  </si>
  <si>
    <t xml:space="preserve">[$138.99]MSI NVIDIA GeForce GTX 1630 Graphic Card - 4 GB GDDR6Source: ebay ListingReason: Sold by antonlineGet? </t>
  </si>
  <si>
    <t xml:space="preserve">SWA1323B737N7733Baa76ef Photo Crop Confidence Score:? </t>
  </si>
  <si>
    <t xml:space="preserve">DAL506A321N302DNa32718 Photo Crop Confidence Score: 0? </t>
  </si>
  <si>
    <t xml:space="preserve">GIGABYTE GeForce RTX 4090 GAMING OC (NVIDIA, Gr...Stock changed from "NONE" to "IN_? </t>
  </si>
  <si>
    <t xml:space="preserve">i****0 </t>
  </si>
  <si>
    <t xml:space="preserve">SWA1969B737N252WNa260ed Photo Crop Confidence Score:? </t>
  </si>
  <si>
    <t xml:space="preserve">IN STOCK ALERT - DE ??Palit RTX4090 GAMEROCK OMNIBLACK, 24GB GDDR6X, 2520OC/2235MHz, HDMI, 3DP, PCIE, graphics? </t>
  </si>
  <si>
    <t xml:space="preserve">See the best configuration with NVIDIA GeForce RTX? 40 Series Graphics Cards with below MSI gaming Case Squad:? </t>
  </si>
  <si>
    <t xml:space="preserve">M****K </t>
  </si>
  <si>
    <t xml:space="preserve">UK </t>
  </si>
  <si>
    <t xml:space="preserve">AAL1571B788N875BDac0906 Photo Crop Confidence Score:? </t>
  </si>
  <si>
    <t xml:space="preserve">Taking gaming and content creation to the next level? Look no further than the upgraded MSI NVIDIA GeForce RTX 4070? </t>
  </si>
  <si>
    <t xml:space="preserve">c****r </t>
  </si>
  <si>
    <t xml:space="preserve">Baton Rouge, LA </t>
  </si>
  <si>
    <t xml:space="preserve">Our initial tests on two gaming laptops with Nvidia's GeForce RTX 4090 inside reveal some rocket-liftoff frame rate? </t>
  </si>
  <si>
    <t xml:space="preserve">P****g </t>
  </si>
  <si>
    <t xml:space="preserve">New York, NY </t>
  </si>
  <si>
    <t xml:space="preserve">LXJ501CL30N501FXa63e3a Photo Crop Confidence Score: 0? </t>
  </si>
  <si>
    <t xml:space="preserve">[US] asus 4070ti tuf (New) for ?$849??ATC: ?Link: ??Feb 10, 9:00 PM ET </t>
  </si>
  <si>
    <t xml:space="preserve">I like how Elon managed to tank Nvidia too. That's talent! </t>
  </si>
  <si>
    <t xml:space="preserve">X****1 </t>
  </si>
  <si>
    <t xml:space="preserve">PA, USA </t>
  </si>
  <si>
    <t xml:space="preserve">MSI GEFORCE RTX 4090 SUPRIM X now in stock at Amazon for $1749.99. ? </t>
  </si>
  <si>
    <t xml:space="preserve">[$96.25]Asus NVIDIA GeForce GT 730 Graphic Card - 2 GB GDDR5Source: ebay ListingReason: Sold by antonlineGet t? </t>
  </si>
  <si>
    <t xml:space="preserve">BESTBUY : GIGABYTE GeForce RTX 4090 GAMING OC- $1699.99Link: </t>
  </si>
  <si>
    <t xml:space="preserve">SWA1790B737N227WNa1fd03 Photo Crop Confidence Score:? </t>
  </si>
  <si>
    <t xml:space="preserve">Not sure how this relates to classifiers if at all, but maybe relevant to your interests </t>
  </si>
  <si>
    <t xml:space="preserve">J****2 </t>
  </si>
  <si>
    <t xml:space="preserve">visual glitches: dashboard, speedometers, displays flicker unless i have shadows or reflections (or both) on the lo? </t>
  </si>
  <si>
    <t xml:space="preserve">a****n </t>
  </si>
  <si>
    <t xml:space="preserve">[US] pny 4080-16G triple fan (New) for ?$1199??ATC: ?Link: ? </t>
  </si>
  <si>
    <t xml:space="preserve">[US] nvidia 4080-16G FE (New) for ?$1199??ATC: ?Link: -1? </t>
  </si>
  <si>
    <t xml:space="preserve">[US] gigabyte 4080-16G gaming oc (New) for ?$1269??ATC: ?Link: </t>
  </si>
  <si>
    <t xml:space="preserve">[US] asus 4080-16G tuf (New) for ?$1399??ATC: ?Link: -16? </t>
  </si>
  <si>
    <t xml:space="preserve">[US] msi 4080-16G ventus 3x oc (New) for ?$1399??ATC: ?Link: </t>
  </si>
  <si>
    <t xml:space="preserve">[US] gigabyte 4080-16G master (New) for ?$1349??ATC: ?Link: #? </t>
  </si>
  <si>
    <t xml:space="preserve">[US] asus 4080-16G strix (New) for ?$1549??ATC: ?Link: -? </t>
  </si>
  <si>
    <t xml:space="preserve">[US] msi 4080-16G gaming x trio (New) for ?$1499??ATC: ?Link: </t>
  </si>
  <si>
    <t xml:space="preserve">AAL398A321N509AYa65b76 Photo Crop Confidence Score: 0? </t>
  </si>
  <si>
    <t xml:space="preserve">Nvidia CSO: Generative AI, ChatGPT has made security a ?cat and mouse? game </t>
  </si>
  <si>
    <t xml:space="preserve">F****a </t>
  </si>
  <si>
    <t xml:space="preserve">Arnhem </t>
  </si>
  <si>
    <t xml:space="preserve">Updated NVIDIA's new patch. This "first" day patch has killed my frames right now. Winter time dur? </t>
  </si>
  <si>
    <t xml:space="preserve">T****s </t>
  </si>
  <si>
    <t xml:space="preserve">SWA2340B737N7813Paa970c Photo Crop Confidence Score:? </t>
  </si>
  <si>
    <t xml:space="preserve">Are you on a 30-series Nvidia card w/ multiple monitors? I haven't quite had 30 second stalls? </t>
  </si>
  <si>
    <t xml:space="preserve">We look forward to Vivek Singh's () plenary talk at !Singh will discuss the use of accelerated c? </t>
  </si>
  <si>
    <t xml:space="preserve">Bellingham, Washington </t>
  </si>
  <si>
    <t xml:space="preserve">happening soon, register *FOR FREE* to follow amazing talks and breakthroughs in and -- </t>
  </si>
  <si>
    <t xml:space="preserve">f****a </t>
  </si>
  <si>
    <t xml:space="preserve">Cambridge, England </t>
  </si>
  <si>
    <t xml:space="preserve">SWA1920B737N427WNa517a1 Photo Crop Confidence Score:? </t>
  </si>
  <si>
    <t xml:space="preserve">IN STOCK ALERT - UK ??Gigabyte GeForce RTX 4090 GAMING OC 24GB Graphics Card and 1 other listing are in stock? </t>
  </si>
  <si>
    <t xml:space="preserve">Don't miss it! , &amp;amp; invite you to a Virtual Event to learn how V? is Revolutionizin? </t>
  </si>
  <si>
    <t xml:space="preserve">p****e </t>
  </si>
  <si>
    <t xml:space="preserve">Los Angeles, CA/New York, NY </t>
  </si>
  <si>
    <t xml:space="preserve">I guess everyone with an NVidia graphics card just has to get a better computer huh </t>
  </si>
  <si>
    <t xml:space="preserve">x****a </t>
  </si>
  <si>
    <t xml:space="preserve">Gonna finally upgrade my gtx 1660ti to rtx 4070ti </t>
  </si>
  <si>
    <t xml:space="preserve">J****i </t>
  </si>
  <si>
    <t xml:space="preserve">Bulgaria </t>
  </si>
  <si>
    <t xml:space="preserve">There is an uncanny resemblance between that weird cloud seen just before the Turkey earthquake and the logo of Art? </t>
  </si>
  <si>
    <t xml:space="preserve">J****n </t>
  </si>
  <si>
    <t xml:space="preserve">GXA140A321N966ADad7274 Photo Crop Confidence Score: 0? </t>
  </si>
  <si>
    <t xml:space="preserve">Ahh I see. That's a bummer. I feel like Nvidia has games sometimes were they just have weird issues that others don't </t>
  </si>
  <si>
    <t xml:space="preserve">A****r </t>
  </si>
  <si>
    <t xml:space="preserve">ARD's Bedroom </t>
  </si>
  <si>
    <t xml:space="preserve">Join NVIDIA's Sarah Tariq, Sanja Fidler, and Marco Pavone for a discussion on how and novel, highly i? </t>
  </si>
  <si>
    <t xml:space="preserve">a****i </t>
  </si>
  <si>
    <t xml:space="preserve">Chandler, AZ </t>
  </si>
  <si>
    <t xml:space="preserve">Interested in the latest software and developer tools to build, deploy, and scale your vision AI applications? Chec? </t>
  </si>
  <si>
    <t xml:space="preserve">AAL2669A321N542UWa6e131 Photo Crop Confidence Score:? </t>
  </si>
  <si>
    <t xml:space="preserve">Download our new white paper to learn how and Nuance bring medical imaging-specific machine learning develo? </t>
  </si>
  <si>
    <t xml:space="preserve">N****c </t>
  </si>
  <si>
    <t xml:space="preserve">Burlington, MA </t>
  </si>
  <si>
    <t xml:space="preserve">Smh Portal 2 graphics were right all along. Nvidia wins again. </t>
  </si>
  <si>
    <t xml:space="preserve">Q****k </t>
  </si>
  <si>
    <t xml:space="preserve">(FREE VIDEOS) Not Advice! </t>
  </si>
  <si>
    <t xml:space="preserve">Appreciated how you did finally compare 8 cores vs 8 cores. That's a very convincing lead, so convincin? </t>
  </si>
  <si>
    <t xml:space="preserve">a****t </t>
  </si>
  <si>
    <t xml:space="preserve">It's using unreal engine 4 The studio uses Unreal Engine 4 and implements Nvidia RTX? </t>
  </si>
  <si>
    <t xml:space="preserve">F****2 </t>
  </si>
  <si>
    <t xml:space="preserve">DLSS 3 has graced the neon streets of Night City it might be even easier to hit a genuinely high fps in-game" - PC? </t>
  </si>
  <si>
    <t xml:space="preserve">Z****K </t>
  </si>
  <si>
    <t xml:space="preserve">United Kingdom </t>
  </si>
  <si>
    <t xml:space="preserve">[US] asus 4070ti tuf (New) for ?$849??ATC: ?Link: ??Feb 10, 8:44 PM ET </t>
  </si>
  <si>
    <t xml:space="preserve">It?s so funny how even nvidia will do it, like great, its a gpu in a box, we knew that </t>
  </si>
  <si>
    <t xml:space="preserve">b****9 </t>
  </si>
  <si>
    <t xml:space="preserve">NVIDIA keep your eyes on the camera filter. </t>
  </si>
  <si>
    <t xml:space="preserve">R****9 </t>
  </si>
  <si>
    <t xml:space="preserve">AAL1742A320N107USa02088 Photo Crop Confidence Score:? </t>
  </si>
  <si>
    <t xml:space="preserve">Amazon?.co?.uk: Zotac Carte Graphique Nvidia GAMING GEFORCE RTX 3060 Ti Twin Edge OC LHR 8Go?? </t>
  </si>
  <si>
    <t xml:space="preserve">P****t </t>
  </si>
  <si>
    <t xml:space="preserve">[US] msi 4090 suprim liquid (New) for ?$1749??ATC: ?Link: ? </t>
  </si>
  <si>
    <t xml:space="preserve">AAL1528A321N559UWa722b1 Photo Crop Confidence Score:? </t>
  </si>
  <si>
    <t xml:space="preserve">Amazon (DE): ZOTAC Gaming GeForce RTX 4090 Trinity OC 24GB Gaming Graphics Card - NVIDIA RTX 4090, 24GB GDDR6X Me? </t>
  </si>
  <si>
    <t xml:space="preserve">D****y </t>
  </si>
  <si>
    <t xml:space="preserve">Europe </t>
  </si>
  <si>
    <t xml:space="preserve">Amazon?.de: ASUS Dual GeForce RTX3060 TI 8GB OC Edition V2 Gaming Grafikkarte (LHR (Lite Hash Rate), Nvidia Ampe?? </t>
  </si>
  <si>
    <t xml:space="preserve">yeah and that automatically destroys your argument sorry ???? </t>
  </si>
  <si>
    <t xml:space="preserve">c****y </t>
  </si>
  <si>
    <t xml:space="preserve">AAL1545B738N844NNab8fee Photo Crop Confidence Score:? </t>
  </si>
  <si>
    <t xml:space="preserve">Not following you. Even if Tesla hits their target for Dojo's performance (which is unli? </t>
  </si>
  <si>
    <t xml:space="preserve">j****r </t>
  </si>
  <si>
    <t xml:space="preserve">AAL2802A321N163USa0fea6 Photo Crop Confidence Score:? </t>
  </si>
  <si>
    <t xml:space="preserve">NVIDIA Corporation traded 2% above average volume, $NVDA down -5.31% </t>
  </si>
  <si>
    <t xml:space="preserve">d****i </t>
  </si>
  <si>
    <t xml:space="preserve">tomorrow </t>
  </si>
  <si>
    <t xml:space="preserve">SKW3062CRJ7N754SKaa2a7f Photo Crop Confidence Score:? </t>
  </si>
  <si>
    <t xml:space="preserve">I'm playing right now, with a laptop rtx2060 and a solid 60fps with Vulkan api and default graphics settin? </t>
  </si>
  <si>
    <t xml:space="preserve">Fernán-Núñez, España </t>
  </si>
  <si>
    <t xml:space="preserve">NVIDIA can be a pain sometimes.On windows 11 the GeForce overlay notification opens on literally everything. Even notepad </t>
  </si>
  <si>
    <t xml:space="preserve">d****r </t>
  </si>
  <si>
    <t xml:space="preserve">Idaho, ?? </t>
  </si>
  <si>
    <t xml:space="preserve">Our kinda of Precious ? NVIDIA Yeyian Gaming built by MTA Moving Technology in America, Inc ??? </t>
  </si>
  <si>
    <t xml:space="preserve">h****d </t>
  </si>
  <si>
    <t xml:space="preserve">Los Angeles CA </t>
  </si>
  <si>
    <t xml:space="preserve">Did you miss our Virtual Event covering RTX for Higher Education and Research? You can catch up by watching? </t>
  </si>
  <si>
    <t xml:space="preserve">P****o </t>
  </si>
  <si>
    <t xml:space="preserve">New Jersey, USA </t>
  </si>
  <si>
    <t xml:space="preserve">SWA1144B737N7875Aaaad8f Photo Crop Confidence Score:? </t>
  </si>
  <si>
    <t xml:space="preserve">i have now been reminded how much i despise nvidia and their shit ass drivers </t>
  </si>
  <si>
    <t xml:space="preserve">S****k </t>
  </si>
  <si>
    <t xml:space="preserve">?? Houston, TX </t>
  </si>
  <si>
    <t xml:space="preserve">Amazon [$375.79]: Carte Graphique Nvidia Zotac GeForce RTX 3060 Ti Twin Edge OC LHR? </t>
  </si>
  <si>
    <t xml:space="preserve">m****d </t>
  </si>
  <si>
    <t xml:space="preserve">SWA3546B738N8652Babe40a Photo Crop Confidence Score:? </t>
  </si>
  <si>
    <t xml:space="preserve">[US] asus 4070ti tuf (New) for ?$849??ATC: ?Link: ??Feb 10, 8:28 PM ET </t>
  </si>
  <si>
    <t xml:space="preserve">ASA703B39MN931AKace96a Photo Crop Confidence Score: 0? </t>
  </si>
  <si>
    <t xml:space="preserve">Whats your source on the info? Nvidia &amp;amp; oracle? </t>
  </si>
  <si>
    <t xml:space="preserve">A****1 </t>
  </si>
  <si>
    <t xml:space="preserve">[$911.26]ASUS TUF Gaming NVIDIA GeForce RTX 4070 Ti OC Edition 12GB GSource: ebay ListingReason: Sold by antonli? </t>
  </si>
  <si>
    <t xml:space="preserve">[$332.97]MSI NVIDIA GeForce RTX 3050 Graphic Card - 8 GB GDDR6Source: ebay ListingReason: Sold by antonlineGet? </t>
  </si>
  <si>
    <t xml:space="preserve">AI Joins Hunt for ET: Study Finds 8 Potential Alien Signals comm: </t>
  </si>
  <si>
    <t xml:space="preserve">i****n </t>
  </si>
  <si>
    <t xml:space="preserve">I mean as far as your GPU goes, Nvidia users experiencing most of the problems </t>
  </si>
  <si>
    <t xml:space="preserve">T****Y </t>
  </si>
  <si>
    <t xml:space="preserve">above the ceiling </t>
  </si>
  <si>
    <t xml:space="preserve">SWA692B737N7862Aaaa96f Photo Crop Confidence Score: 0? </t>
  </si>
  <si>
    <t xml:space="preserve">[$102.65]EVGA NVIDIA GeForce GT 730 Graphic Card - 2 GB GDDR5 - Low-pSource: ebay ListingReason: Sold by antonli? </t>
  </si>
  <si>
    <t xml:space="preserve">Picked up my Valentine's day pre-order cake at NVIDIA. Gonna have a wonderful time sharing this with ?? </t>
  </si>
  <si>
    <t xml:space="preserve">a****c </t>
  </si>
  <si>
    <t xml:space="preserve">[$422.93]Asus NVIDIA GeForce RTX 3060 Graphic Card - 12 GB GDDR6 : ebay ListingReason? </t>
  </si>
  <si>
    <t xml:space="preserve">[$414.29]Asus NVIDIA GeForce GeForce RTX 2060 Graphic Card - 12 GB GD : ebay ListingR? </t>
  </si>
  <si>
    <t xml:space="preserve">ASUS GEFORCE RTX 4080 16 GB STRIX OC now in stock at Amazon for $1549.99. </t>
  </si>
  <si>
    <t xml:space="preserve">[$415.07]Asus ROG NVIDIA GeForce RTX 3050 Graphic Card - 8 GB GDDR6Source: ebay ListingReason: Sold by antonline? </t>
  </si>
  <si>
    <t xml:space="preserve">M****z </t>
  </si>
  <si>
    <t xml:space="preserve">L****s </t>
  </si>
  <si>
    <t xml:space="preserve">Chicago </t>
  </si>
  <si>
    <t xml:space="preserve">My experience with , but a lot of good data from other . ? </t>
  </si>
  <si>
    <t xml:space="preserve">S****h </t>
  </si>
  <si>
    <t xml:space="preserve">Florida, USA </t>
  </si>
  <si>
    <t xml:space="preserve">Samsung monthly updates: February 2023 security patch gets detailed - SamMobile - Samsung news? </t>
  </si>
  <si>
    <t xml:space="preserve">[$330.36]Asus NVIDIA GeForce RTX 3050 Graphic Card - 8 GB GDDR6Source: ebay ListingReason: Sold by antonlineGe? </t>
  </si>
  <si>
    <t xml:space="preserve">IN STOCK ALERT - UK ??Zotac VGA RTX4090 24 Go AMP Extreme AIRO, ZT-D40900B-10P and 1 other listing are in stoc? </t>
  </si>
  <si>
    <t xml:space="preserve">Yeah this was in that Nvidia leak from a few years back. Been waiting for it for so long lol </t>
  </si>
  <si>
    <t xml:space="preserve">C****s </t>
  </si>
  <si>
    <t xml:space="preserve">that cool PNW / he/him </t>
  </si>
  <si>
    <t xml:space="preserve">PNY Gaming VERTO XLR8 NVIDIA GeForce RTX 4090 24GB GDDR6X PCI Express 4.0 EPIC-X RGB Triple Fan Video Card In Stock? </t>
  </si>
  <si>
    <t xml:space="preserve">N****S </t>
  </si>
  <si>
    <t xml:space="preserve">SKW3057CRJ7N753EVaa25a6 Photo Crop Confidence Score:? </t>
  </si>
  <si>
    <t xml:space="preserve">semiconductor companies messed up big time and paying a price for itim not sure if we shudaif there was a market? </t>
  </si>
  <si>
    <t xml:space="preserve">s****r </t>
  </si>
  <si>
    <t xml:space="preserve">Mathura, India </t>
  </si>
  <si>
    <t xml:space="preserve">sign in disney out of control so is google face book paypal apple amazon nvidia </t>
  </si>
  <si>
    <t xml:space="preserve">p****0 </t>
  </si>
  <si>
    <t xml:space="preserve">IN STOCK ALERT ??PNY GeForce RTX 4090 24GB XLR8 Gaming GPU VERTO EPIC-X RGB Triple Fan Graphics Card Nvidia is? </t>
  </si>
  <si>
    <t xml:space="preserve">Wait, is Nvidia really planning on releasing the 4060 ti with less VRAM than the 3060 ti??? </t>
  </si>
  <si>
    <t xml:space="preserve">B****r </t>
  </si>
  <si>
    <t xml:space="preserve">Queens, NY </t>
  </si>
  <si>
    <t xml:space="preserve">Roundup of AI breakthroughs by Microsoft and NVIDIA </t>
  </si>
  <si>
    <t xml:space="preserve">r****m </t>
  </si>
  <si>
    <t xml:space="preserve">MSI GEFORCE RTX 4080 16 GB GAMING X TRIO now in stock at Amazon for $1296.0. </t>
  </si>
  <si>
    <t xml:space="preserve">ZOTAC GEFORCE RTX 4080 16 GB TRINITY AMP EXTREME AIRO now in stock at Amazon for $1223.9. </t>
  </si>
  <si>
    <t xml:space="preserve">[$1012.62]Zotac NVIDIA GeForce RTX 4070 Ti Graphic Card - 12 GB GDDR6XSource: ebay ListingReason: Sold by antonl? </t>
  </si>
  <si>
    <t xml:space="preserve">[US] asus 4070ti tuf (New) for ?$849??ATC: ?Link: ??Feb 10, 8:13 PM ET </t>
  </si>
  <si>
    <t xml:space="preserve">[$1408.43]Zotac NVIDIA GeForce RTX 4080 Graphic Card - 16 GB GDDR6XSource: ebay ListingReason: Sold by antonline? </t>
  </si>
  <si>
    <t xml:space="preserve">[$351.06]Asus NVIDIA GeForce RTX 3050 Graphic Card - 8 GB GDDR6Source: ebay ListingReason: Sold by antonlineGe? </t>
  </si>
  <si>
    <t xml:space="preserve">SWA568B738N8513Fabadd6 Photo Crop Confidence Score: 0? </t>
  </si>
  <si>
    <t xml:space="preserve">its so bad, i tried doing the nvidia vsync instead of the in game vsynce and so far its been "ok". stil? </t>
  </si>
  <si>
    <t xml:space="preserve">G****t </t>
  </si>
  <si>
    <t xml:space="preserve">[$579.91]PNY NVIDIA RTX A2000 Graphic Card - 6 GB GDDR6 - Low-profileSource: ebay ListingReason: Sold by antonli? </t>
  </si>
  <si>
    <t xml:space="preserve">SWA1355B738N8637Aabdd4a Photo Crop Confidence Score:? </t>
  </si>
  <si>
    <t xml:space="preserve">NVIDIA Publishes DLSS Super Resolution SDK 3.1, Including Updated Linux Demo </t>
  </si>
  <si>
    <t xml:space="preserve">t****s </t>
  </si>
  <si>
    <t xml:space="preserve">INDONESIA </t>
  </si>
  <si>
    <t xml:space="preserve">EJA112GL5TN112QSa03510 Photo Crop Confidence Score: 0? </t>
  </si>
  <si>
    <t xml:space="preserve">Rtx 3060 outperforming the 3080 because of vram limitations. Well done nvidia. from u/basejump007 on reddit? </t>
  </si>
  <si>
    <t xml:space="preserve">A****t </t>
  </si>
  <si>
    <t xml:space="preserve">There is an uncanny resemblance between that weird cloud seen just before the earthquake and the logo of Ar? </t>
  </si>
  <si>
    <t xml:space="preserve">C****1 </t>
  </si>
  <si>
    <t xml:space="preserve">Madison, WI </t>
  </si>
  <si>
    <t xml:space="preserve">AAL2054B772N770ANaa6914 Photo Crop Confidence Score:? </t>
  </si>
  <si>
    <t xml:space="preserve">[$1327.22]Zotac NVIDIA GeForce RTX 4080 Graphic Card - 16 GB GDDR6XSource: ebay ListingReason: Sold by antonline? </t>
  </si>
  <si>
    <t xml:space="preserve">New no commentary video is out!Hogwarts Legacy | 4K with DLSS 3 | Max Settings and Ray Tracing | NVIDIA RTX 4080? </t>
  </si>
  <si>
    <t xml:space="preserve">z****v </t>
  </si>
  <si>
    <t xml:space="preserve">I am still determining who is going to win this new AI war. It may be MS or Google or OpenAI or IBM, or Apple. I do? </t>
  </si>
  <si>
    <t xml:space="preserve">D****n </t>
  </si>
  <si>
    <t xml:space="preserve">Shame, that's all I have to say, 5 good years and you threw them away, within 2 months y? </t>
  </si>
  <si>
    <t xml:space="preserve">A****0 </t>
  </si>
  <si>
    <t xml:space="preserve">Amazon?.fr: Gigabyte GeForce RTX 3070 Eagle OC 8G (rev. 2.0) NVIDIA 8 Go GDDR6? ?585.98? </t>
  </si>
  <si>
    <t xml:space="preserve">ZOTAC GEFORCE RTX 4080 16 GB TRINITY now in stock at Amazon for $1327.22. </t>
  </si>
  <si>
    <t xml:space="preserve">[$371.78]Asus NVIDIA GeForce RTX 3060 Graphic Card - 8 GB GDDR6 : ebay ListingReason:? </t>
  </si>
  <si>
    <t xml:space="preserve">[$298.61]Asus NVIDIA GeForce GTX 1660 SUPER Graphic Card - 6 GB GDDR6: ebay ListingReason: Sold b? </t>
  </si>
  <si>
    <t xml:space="preserve">[$649.99]ASUS TUF Gaming NVIDIA GeForce RTX 3070 Ti OC V2 Graphics Ca : ebay Listi? </t>
  </si>
  <si>
    <t xml:space="preserve">Interested in the latest software and developer tools to build, deploy, and scale your applications? Chec? </t>
  </si>
  <si>
    <t xml:space="preserve">N****d </t>
  </si>
  <si>
    <t xml:space="preserve">What exactly is awful about radeon software? I prefer it to the NVIDIA? </t>
  </si>
  <si>
    <t xml:space="preserve">J****4 </t>
  </si>
  <si>
    <t xml:space="preserve">UAL2491B739N39475a49510 Photo Crop Confidence Score:? </t>
  </si>
  <si>
    <t xml:space="preserve">NVIDIA 3060 RTX 6GB ,Intel I7 9th gen, 16GB Ram, 2TB hard drive, Windows 11 </t>
  </si>
  <si>
    <t xml:space="preserve">Z****g </t>
  </si>
  <si>
    <t xml:space="preserve">Krypton but residing in London </t>
  </si>
  <si>
    <t xml:space="preserve">SWA2241B737N282WNa2d76a Photo Crop Confidence Score:? </t>
  </si>
  <si>
    <t xml:space="preserve">The market frenzy around AI has lifted Nvidia?s stock so much that even many bullish analysts don?t see it going mu? </t>
  </si>
  <si>
    <t xml:space="preserve">B****A </t>
  </si>
  <si>
    <t xml:space="preserve">Canada </t>
  </si>
  <si>
    <t xml:space="preserve">We are excited to announce a special event at - Speech AI Developer Day. Discover the latest advances in aut? </t>
  </si>
  <si>
    <t xml:space="preserve">m****e </t>
  </si>
  <si>
    <t xml:space="preserve">Bay Area CA </t>
  </si>
  <si>
    <t xml:space="preserve">Learn how NVIDIA Inception program member Gleamer is using AI to help radiologists identify fractures that are easy? </t>
  </si>
  <si>
    <t xml:space="preserve">Hot Wheels: Rift Rally - Official Announcement Trailer - IGN ? </t>
  </si>
  <si>
    <t xml:space="preserve">Learn about Omniverse Replicator in the cloud ?????, learn more at ? Register? </t>
  </si>
  <si>
    <t xml:space="preserve">30 major cities worldwide </t>
  </si>
  <si>
    <t xml:space="preserve">DAL773A321N346DNa3d3f0 Photo Crop Confidence Score: 0? </t>
  </si>
  <si>
    <t xml:space="preserve">Unless they really scale up the mac pro to work for gpu 3d render at least neck to neck to a 4090nvidi? </t>
  </si>
  <si>
    <t xml:space="preserve">d****o </t>
  </si>
  <si>
    <t xml:space="preserve">São Paulo </t>
  </si>
  <si>
    <t xml:space="preserve">SKW3185CRJ7N765SKaa55b5 Photo Crop Confidence Score:? </t>
  </si>
  <si>
    <t xml:space="preserve">[$203.09]Asus NVIDIA GeForce GTX 1630 Graphic Card - 4 GB GDDR6Source: ebay ListingReason: Sold by antonlineGe? </t>
  </si>
  <si>
    <t xml:space="preserve">10/02/2023Gainers ???Exxon Mobil Corp. +4.18%??ConocoPhillips +4.18%Losers?? NVIDIA Corp. ? </t>
  </si>
  <si>
    <t xml:space="preserve">I****T </t>
  </si>
  <si>
    <t xml:space="preserve">? World </t>
  </si>
  <si>
    <t xml:space="preserve">JBU36A320N806JBaaf8f1 Photo Crop Confidence Score: 0.9? </t>
  </si>
  <si>
    <t xml:space="preserve">SWA2023B737N274WNa2b759 Photo Crop Confidence Score:? </t>
  </si>
  <si>
    <t xml:space="preserve">[$927.5]Zotac NVIDIA GeForce RTX 4070 Ti Graphic Card - 12 GB GDDR6XSource: ebay ListingReason: Sold by antonlin? </t>
  </si>
  <si>
    <t xml:space="preserve">PSA: Nvidia releases security update for GeForce Experience </t>
  </si>
  <si>
    <t xml:space="preserve">[$1115.79]Asus ROG Strix NVIDIA GeForce RTX 4070 Ti OC Edition 12GB GaSource: ebay ListingReason: Sold by antonl? </t>
  </si>
  <si>
    <t xml:space="preserve">[$1459.41]Zotac NVIDIA GeForce RTX 4080 Graphic Card - 16 GB GDDR6XSource: ebay ListingReason: Sold by antonline? </t>
  </si>
  <si>
    <t xml:space="preserve">ASA647B739N309ASa340d2 Photo Crop Confidence Score: 0? </t>
  </si>
  <si>
    <t xml:space="preserve">Bonus, you don't even need to stick a fish in your ear! </t>
  </si>
  <si>
    <t xml:space="preserve">j****s </t>
  </si>
  <si>
    <t xml:space="preserve">Seems like pre recorded </t>
  </si>
  <si>
    <t xml:space="preserve">m****c </t>
  </si>
  <si>
    <t xml:space="preserve">S&amp;amp;P 500 pares losses but struggles for direction as Nvidia, Lyft weigh By </t>
  </si>
  <si>
    <t xml:space="preserve">T****n </t>
  </si>
  <si>
    <t xml:space="preserve">Norge </t>
  </si>
  <si>
    <t xml:space="preserve">AAL692B789N839AAab79ca Photo Crop Confidence Score: 0? </t>
  </si>
  <si>
    <t xml:space="preserve">Accelerating Financial Services with NVIDIA AI </t>
  </si>
  <si>
    <t xml:space="preserve">s****1 </t>
  </si>
  <si>
    <t xml:space="preserve">St Petersburg, FL and Global </t>
  </si>
  <si>
    <t xml:space="preserve">[US] asus 4070ti tuf (New) for ?$849??ATC: ?Link: ??Feb 10, 7:52 PM ET </t>
  </si>
  <si>
    <t xml:space="preserve">SWA6519B737N230WNa20a81 Photo Crop Confidence Score:? </t>
  </si>
  <si>
    <t xml:space="preserve">AAL165A321N142ANa0aa2b Photo Crop Confidence Score: 0? </t>
  </si>
  <si>
    <t xml:space="preserve">SWA2463B737N411WNa4d9d8 Photo Crop Confidence Score:? </t>
  </si>
  <si>
    <t xml:space="preserve">JSX451UNDFN932JXacedf5 Photo Crop Confidence Score: 0? </t>
  </si>
  <si>
    <t xml:space="preserve">[$329.99]MSI NVIDIA GeForce RTX 3050 Graphic Card - 8 GB GDDR6Source: ebay ListingReason: Sold by antonlineGet? </t>
  </si>
  <si>
    <t xml:space="preserve">S&amp;amp;P 500 pares losses but struggles for direction as Nvidia, Lyft weigh </t>
  </si>
  <si>
    <t xml:space="preserve">J****e </t>
  </si>
  <si>
    <t xml:space="preserve">Nevada </t>
  </si>
  <si>
    <t xml:space="preserve">EJA743CL30N743QSa9ff1e Photo Crop Confidence Score: 0? </t>
  </si>
  <si>
    <t xml:space="preserve">We already know it's a remaster from the NVIDIA Leak. We're jumping step? </t>
  </si>
  <si>
    <t xml:space="preserve">D****m </t>
  </si>
  <si>
    <t xml:space="preserve">he/him </t>
  </si>
  <si>
    <t xml:space="preserve">SWA2601B737N7741Caa7a61 Photo Crop Confidence Score:? </t>
  </si>
  <si>
    <t xml:space="preserve">Amazon (IT): MSI NVIDIA GeForce RTX 3060 Ti GAMING X 8G LHR Scheda Grafica '8GB GDDR6, Nero </t>
  </si>
  <si>
    <t xml:space="preserve">XPENG G9 SUV and P7 Sedan Set Course for Scandinavia, the Netherlands | NVIDIA Blog </t>
  </si>
  <si>
    <t xml:space="preserve">d****5 </t>
  </si>
  <si>
    <t xml:space="preserve">Bay Area, CA </t>
  </si>
  <si>
    <t xml:space="preserve">Nvidia RTX 4090 Was A BIG Success - Don't Expect A Price Drop via </t>
  </si>
  <si>
    <t xml:space="preserve">Crazy indeed. Late 90s I was intern for a consulting company with Nvidia as client. At that time 3dfx, later acquir? </t>
  </si>
  <si>
    <t xml:space="preserve">S****u </t>
  </si>
  <si>
    <t xml:space="preserve">Coburg, Bavaria, Germany </t>
  </si>
  <si>
    <t xml:space="preserve">FFT2942A320N236FRa21f57 Photo Crop Confidence Score:? </t>
  </si>
  <si>
    <t xml:space="preserve">S&amp;amp;P 500 pares losses but struggles for direction as Nvidia, Lyft weigh By -? </t>
  </si>
  <si>
    <t xml:space="preserve">Install the new Nvidia driver </t>
  </si>
  <si>
    <t xml:space="preserve">D****e </t>
  </si>
  <si>
    <t xml:space="preserve">UAL2193B39MN27509a2bb89 Photo Crop Confidence Score:? </t>
  </si>
  <si>
    <t xml:space="preserve">from / Great game ? </t>
  </si>
  <si>
    <t xml:space="preserve">M****0 </t>
  </si>
  <si>
    <t xml:space="preserve">Bochum, Deutschland/Germany </t>
  </si>
  <si>
    <t xml:space="preserve">[$196.27]Lenovo NVIDIA GeForce GT 730 Graphic Card - 2 GB GDDR5 - Low : ebay L? </t>
  </si>
  <si>
    <t xml:space="preserve">[$1489.99]ASUS TUF NVIDIA GeForce RTX 4080 OC 16GB Graphic Card - 16 GSource: ebay ListingReason: Sold by antonl? </t>
  </si>
  <si>
    <t xml:space="preserve">IN STOCK ALERT - DE ??MSI GeForce RTX 4090 SUPRIM X 24G Gaming Graphics Card - NVIDIA RTX 4090, 24GB GDDR6X Me? </t>
  </si>
  <si>
    <t xml:space="preserve">N516MCGLF4N516MCa678cf Photo Crop Confidence Score: 0.8? </t>
  </si>
  <si>
    <t xml:space="preserve">Again, why are you not mentioning Nvidia when its valuation is within top 10 in the US? </t>
  </si>
  <si>
    <t xml:space="preserve">B****a </t>
  </si>
  <si>
    <t xml:space="preserve">C****0 </t>
  </si>
  <si>
    <t xml:space="preserve">San Marcos, CA </t>
  </si>
  <si>
    <t xml:space="preserve">Join NVIDIA?s Sarah Tariq, Sanja Fidler, and Marco Pavone to discuss next gen software and how an? </t>
  </si>
  <si>
    <t xml:space="preserve">N****E </t>
  </si>
  <si>
    <t xml:space="preserve">AAL684A21NN403ANa4b7d3 Photo Crop Confidence Score: 0? </t>
  </si>
  <si>
    <t xml:space="preserve">S&amp;amp;P 500 pares losses but struggles for direction as Nvidia, Lyft weigh &amp;gt;? </t>
  </si>
  <si>
    <t xml:space="preserve">a****s </t>
  </si>
  <si>
    <t xml:space="preserve">City of London, London </t>
  </si>
  <si>
    <t xml:space="preserve">S&amp;amp;P 500 pares losses but struggles for direction as Nvidia, Lyft weigh - </t>
  </si>
  <si>
    <t xml:space="preserve">n****g </t>
  </si>
  <si>
    <t xml:space="preserve">Global </t>
  </si>
  <si>
    <t xml:space="preserve">[£621.64]ASUS Dual NVIDIA GeForce RTX? 3070 V2 Gaming Graphics Card ( : Amazon? </t>
  </si>
  <si>
    <t xml:space="preserve">also , if anyone was doubting it, this pretty much confirms that nvidia is forcing their customers to upgrade more? </t>
  </si>
  <si>
    <t xml:space="preserve">r****t </t>
  </si>
  <si>
    <t xml:space="preserve">On Wednesday, February 15th, &amp;amp; Mateusz Losinski will share their insights on their top? </t>
  </si>
  <si>
    <t xml:space="preserve">T****m </t>
  </si>
  <si>
    <t xml:space="preserve">An addendum to this statement:I think the sudden "urge" to slam every slider to Ultra in games has to do with how? </t>
  </si>
  <si>
    <t xml:space="preserve">O****x </t>
  </si>
  <si>
    <t xml:space="preserve">[US] asus 4070ti tuf (New) for ?$849??ATC: ?Link: ??Feb 10, 7:37 PM ET </t>
  </si>
  <si>
    <t xml:space="preserve">LXJ452GLF4N452FXa57a1d Photo Crop Confidence Score: 0? </t>
  </si>
  <si>
    <t xml:space="preserve">NVIDIA Publishes DLSS Super Resolution SDK 3.1, Including ... - Phoronix </t>
  </si>
  <si>
    <t xml:space="preserve">L****b </t>
  </si>
  <si>
    <t xml:space="preserve">Canada, Airdrie </t>
  </si>
  <si>
    <t xml:space="preserve">CBKNEWS/TELEGRAM:There is an uncanny resemblance between that weird cloud seen just before the Turkey earthquake a? </t>
  </si>
  <si>
    <t xml:space="preserve">B****n </t>
  </si>
  <si>
    <t xml:space="preserve">NO TURNING BACK! </t>
  </si>
  <si>
    <t xml:space="preserve">I****z </t>
  </si>
  <si>
    <t xml:space="preserve">Worldwide </t>
  </si>
  <si>
    <t xml:space="preserve">RDNA3 is a decent boost over RDNA2. But come on. You are not going to gain marketshare? </t>
  </si>
  <si>
    <t xml:space="preserve">T****0 </t>
  </si>
  <si>
    <t xml:space="preserve">It's 2023 and the nVidia installer _still_ puts all its temporary crap in C:\NVIDIA. </t>
  </si>
  <si>
    <t xml:space="preserve">R****y </t>
  </si>
  <si>
    <t xml:space="preserve">SWA2117B38MN8781Qac1698 Photo Crop Confidence Score:? </t>
  </si>
  <si>
    <t xml:space="preserve">Fuck nvidia </t>
  </si>
  <si>
    <t xml:space="preserve">[$1,649.99]MSI - NVIDIA GeForce RTX 4090 GAMING X TRIO 24G 24GB DDR6X PSource: Best Buy checkerReason: See Detai? </t>
  </si>
  <si>
    <t xml:space="preserve">The top five S&amp;amp;P 500 stocks YTD still underperform the market YoY by a wide margin: $TSLA $NVDA $CTLT $ALGN $WBD? </t>
  </si>
  <si>
    <t xml:space="preserve">G****a </t>
  </si>
  <si>
    <t xml:space="preserve">MSI GEFORCE RTX 4090 GAMING TRIO now in stock at Amazon for $1649.99. ? </t>
  </si>
  <si>
    <t xml:space="preserve">Fair, nvidia GeForce fucked my pc a lot so I don?t use it anymore ? </t>
  </si>
  <si>
    <t xml:space="preserve">M****W </t>
  </si>
  <si>
    <t xml:space="preserve">SWA2176B737N483WNa5f5bf Photo Crop Confidence Score:? </t>
  </si>
  <si>
    <t xml:space="preserve">SWA478B738N8602Fabd17b Photo Crop Confidence Score: 0? </t>
  </si>
  <si>
    <t xml:space="preserve">SPY and Nvidia are gonna make LODs and I already exited my positions to mitigate risk. Shorting is mentally exhausting </t>
  </si>
  <si>
    <t xml:space="preserve">Ann Arbor, MI </t>
  </si>
  <si>
    <t xml:space="preserve">Yes, that is rather err... interesting, isn't it...(Quickly rushes off to double down on Nvidia and ASML) </t>
  </si>
  <si>
    <t xml:space="preserve">e****e </t>
  </si>
  <si>
    <t xml:space="preserve">Update nvidia drivers and if that doesn't work try using your old 1060 </t>
  </si>
  <si>
    <t xml:space="preserve">t****P </t>
  </si>
  <si>
    <t xml:space="preserve">go away im osuing </t>
  </si>
  <si>
    <t xml:space="preserve">Medal takes a lot of cpu compared to shadowplay nvidia so if u have a nvidia gpu use shadowplay </t>
  </si>
  <si>
    <t xml:space="preserve">R****l </t>
  </si>
  <si>
    <t xml:space="preserve">16 Indian </t>
  </si>
  <si>
    <t xml:space="preserve">Join our team! NSW-PEP provides solutions to data centers of all sizes including companies like Apple, Google, Meta? </t>
  </si>
  <si>
    <t xml:space="preserve">N****P </t>
  </si>
  <si>
    <t xml:space="preserve">N****t </t>
  </si>
  <si>
    <t xml:space="preserve">EJA673C56XN673QSa8e84c Photo Crop Confidence Score: 0? </t>
  </si>
  <si>
    <t xml:space="preserve">How are banks accelerating Monte Carlo simulations for risk and pricing? Find out fromJP Morgan Chase how virtualiz? </t>
  </si>
  <si>
    <t xml:space="preserve">IN STOCK ALERT - UK ??PNY GeForce RTX 4090 24GB XLR8 Gaming VERTO EPIC-X RGB Triple Fan Graphics Card is in st? </t>
  </si>
  <si>
    <t xml:space="preserve">IN STOCK ALERT - UK ??Gigabyte GeForce RTX 4090 WINDFORCE 24GB Graphics Card and 2 other listings are in stock? </t>
  </si>
  <si>
    <t xml:space="preserve">IN STOCK ALERT - UK ??ASUS TUF RTX 4090 O24G Gaming, 90YV0IE0-M0NA00 is in stock at Amazon for £2,007.98? </t>
  </si>
  <si>
    <t xml:space="preserve">To help digital twins &amp;amp; virtual worlds for global industries come to life, NVIDIA introduced a new class of 3D asse? </t>
  </si>
  <si>
    <t xml:space="preserve">R****a </t>
  </si>
  <si>
    <t xml:space="preserve">SF Bay Area </t>
  </si>
  <si>
    <t xml:space="preserve">Interested in learning how to set up and configure the ROS Navigation Stack for a mobile ? Check out this pro? </t>
  </si>
  <si>
    <t xml:space="preserve">flanky wanky... ? </t>
  </si>
  <si>
    <t xml:space="preserve">R****e </t>
  </si>
  <si>
    <t xml:space="preserve">Pacific Northwest </t>
  </si>
  <si>
    <t xml:space="preserve">ZOTAC GeForce RTX? 3080 AMP Holo LHR 10GB GDDR6X 320-bit 19 Gbps PCIE 4.0 Gaming Graphics Card, HoloBlack, IceStorm? </t>
  </si>
  <si>
    <t xml:space="preserve">D****u </t>
  </si>
  <si>
    <t xml:space="preserve">SpaceCowboy </t>
  </si>
  <si>
    <t xml:space="preserve">TSMC?s invisible presence at CES 2023 exhibits Taiwan?s tech soft power - South China Morning Post </t>
  </si>
  <si>
    <t xml:space="preserve">h****s </t>
  </si>
  <si>
    <t xml:space="preserve">Hsinchu, Taiwan </t>
  </si>
  <si>
    <t xml:space="preserve">[US] asus 4070ti tuf (New) for ?$849??ATC: ?Link: ??Feb 10, 7:21 PM ET </t>
  </si>
  <si>
    <t xml:space="preserve">AAL2018B738N985NNadbef0 Photo Crop Confidence Score:? </t>
  </si>
  <si>
    <t xml:space="preserve">Back In Stock LG 27 Inch Ultragear? OLEDGaming Monitor 1440p PS5 PCBest Buy $999.99 ? </t>
  </si>
  <si>
    <t xml:space="preserve">P****s </t>
  </si>
  <si>
    <t xml:space="preserve">? IG YT FB TKTK HIVE NOSTR </t>
  </si>
  <si>
    <t xml:space="preserve">Hogwarts Legacy, worse than Chrome for RAM/VRAM </t>
  </si>
  <si>
    <t xml:space="preserve">O****N </t>
  </si>
  <si>
    <t xml:space="preserve">What are the hottest stocks right now? Pick the best $NVDA vs. $QCOM vs. $QQQ. </t>
  </si>
  <si>
    <t xml:space="preserve">Sunnyvale, CA </t>
  </si>
  <si>
    <t xml:space="preserve">IN STOCK ALERT ??PNY GeForce RTX 4080 16GB XLR8 Gaming Verto Epic-X RGB Triple Fan Graphics Card is in stock a? </t>
  </si>
  <si>
    <t xml:space="preserve">AAL1573B738N946NNad24ab Photo Crop Confidence Score:? </t>
  </si>
  <si>
    <t xml:space="preserve">Nvidia settings </t>
  </si>
  <si>
    <t xml:space="preserve">f****L </t>
  </si>
  <si>
    <t xml:space="preserve">?? </t>
  </si>
  <si>
    <t xml:space="preserve">We need hogwarts legacy on Nvidia GeForce now! Please! </t>
  </si>
  <si>
    <t xml:space="preserve">k****a </t>
  </si>
  <si>
    <t xml:space="preserve">SWA665B737N7840Aaaa1bb Photo Crop Confidence Score: 0? </t>
  </si>
  <si>
    <t xml:space="preserve">LXJ92GLEXN92FXacbc64 Photo Crop Confidence Score: 0.675? </t>
  </si>
  <si>
    <t xml:space="preserve">I resolved many stutter issues on my 3070 PC by going into the NVIDIA Control Panel and increasing? </t>
  </si>
  <si>
    <t xml:space="preserve">W****r </t>
  </si>
  <si>
    <t xml:space="preserve">Chicago, IL </t>
  </si>
  <si>
    <t xml:space="preserve">IN STOCK ALERT ??AX Gaming GeForce RTX 4090 X3W 24G White is in stock at Walmart for $2,350.00 (MSRP)? </t>
  </si>
  <si>
    <t xml:space="preserve">Analysts positive on NVIDIA's ChatGPT, AI opportunity - </t>
  </si>
  <si>
    <t xml:space="preserve">W****s </t>
  </si>
  <si>
    <t xml:space="preserve">EJA692C68AN692QSa93393 Photo Crop Confidence Score: 0? </t>
  </si>
  <si>
    <t xml:space="preserve">AAL603A21NN431ANa526e2 Photo Crop Confidence Score: 0? </t>
  </si>
  <si>
    <t xml:space="preserve">LXJ597CL30N597FXa7b7fb Photo Crop Confidence Score: 0? </t>
  </si>
  <si>
    <t xml:space="preserve">/ computing firm &amp;amp; startup have teamed up to develop a model for designing therapeu? </t>
  </si>
  <si>
    <t xml:space="preserve">D****v </t>
  </si>
  <si>
    <t xml:space="preserve">SWA1002B38MN8765Qac0fb6 Photo Crop Confidence Score:? </t>
  </si>
  <si>
    <t xml:space="preserve">When you?ve got to have the fastest gaming laptop: my MSI GT77 Titan HX review. NVIDIA RTX 4090, 13th gen Core i9,? </t>
  </si>
  <si>
    <t xml:space="preserve">Northern California </t>
  </si>
  <si>
    <t xml:space="preserve">UAL2056B752N12116a05a03 Photo Crop Confidence Score:? </t>
  </si>
  <si>
    <t xml:space="preserve">. Publishes Super Resolution SDK 3.1, Including Updated Demo </t>
  </si>
  <si>
    <t xml:space="preserve">p****x </t>
  </si>
  <si>
    <t xml:space="preserve">Phoronix-Media.com </t>
  </si>
  <si>
    <t xml:space="preserve">PNY GEFORCE RTX 4080 16 GB VERTO now in stock at Amazon for $1199.99. </t>
  </si>
  <si>
    <t xml:space="preserve">SWA710B737N275WNa2bb10 Photo Crop Confidence Score: 0? </t>
  </si>
  <si>
    <t xml:space="preserve">The document says as well as Microsoft recent new entries include nVidia GeForce Now. GeForce Now wa? </t>
  </si>
  <si>
    <t xml:space="preserve">B****h </t>
  </si>
  <si>
    <t xml:space="preserve">Middlesbrough </t>
  </si>
  <si>
    <t xml:space="preserve">[US] asus 4070ti tuf (New) for ?$849??ATC: ?Link: ??Feb 10, 7:06 PM ET </t>
  </si>
  <si>
    <t xml:space="preserve">Get excited for our upcoming GTC - you won't want to miss this fireside chat with OpenAI's Ilya Sutskever and NVIDI? </t>
  </si>
  <si>
    <t xml:space="preserve">J****k </t>
  </si>
  <si>
    <t xml:space="preserve">IN STOCK ALERT ??ASUS GeForce RTX 4080 16GB TUF Gaming Graphics Card is in stock at B&amp;amp;H Photo for $1,199.99 (S? </t>
  </si>
  <si>
    <t xml:space="preserve">DAL733A321N333DXa3a155 Photo Crop Confidence Score: 0? </t>
  </si>
  <si>
    <t xml:space="preserve">IN STOCK ALERT ??ASUS GeForce RTX 4090 TUF Gaming OC Graphics Card is in stock at Amazon for $1,899.99 (Slight? </t>
  </si>
  <si>
    <t xml:space="preserve">. Presents: Showdown in the Valley ? Powered by new Blades w/? </t>
  </si>
  <si>
    <t xml:space="preserve">G****s </t>
  </si>
  <si>
    <t xml:space="preserve">137 N Victory Blvd Burbank, CA </t>
  </si>
  <si>
    <t xml:space="preserve">There is something fundamentally wrong, even Intel has its problems with nvidia. </t>
  </si>
  <si>
    <t xml:space="preserve">h****t </t>
  </si>
  <si>
    <t xml:space="preserve">VXP9500B738N801XTaae7b3 Photo Crop Confidence Score:? </t>
  </si>
  <si>
    <t xml:space="preserve">Ah so you're the reason nvidia cards are so expensive lol </t>
  </si>
  <si>
    <t xml:space="preserve">t****n </t>
  </si>
  <si>
    <t xml:space="preserve">Nashville, TN </t>
  </si>
  <si>
    <t xml:space="preserve">NVIDIA's GeForce RTX 40 GPUs are expected to have a limited supply this quarter while the RTX 4080 price cut might? </t>
  </si>
  <si>
    <t xml:space="preserve">w****h </t>
  </si>
  <si>
    <t xml:space="preserve">EJA830C700N830QSab59c9 Photo Crop Confidence Score: 0? </t>
  </si>
  <si>
    <t xml:space="preserve">I?ve had a good day. My current swing trades:- long VIX- long USD/EUR- long USD/GBR- short Tesla- short Nvidia? </t>
  </si>
  <si>
    <t xml:space="preserve">T****r </t>
  </si>
  <si>
    <t xml:space="preserve">Did you notice the Change of 's branding? ? </t>
  </si>
  <si>
    <t xml:space="preserve">A****a </t>
  </si>
  <si>
    <t xml:space="preserve">Join 370+ subscribers ? </t>
  </si>
  <si>
    <t xml:space="preserve">EJA566C56XN566QSa73ea3 Photo Crop Confidence Score: 0? </t>
  </si>
  <si>
    <t xml:space="preserve">As a early contribution to AI emergence, 8th grade me convinced his parents to get his first desktop PC with a GPU? </t>
  </si>
  <si>
    <t xml:space="preserve">s****a </t>
  </si>
  <si>
    <t xml:space="preserve">GCU(eccentric) Gradient Ascent </t>
  </si>
  <si>
    <t xml:space="preserve">Best Buy [$1749.99]: MSI NVIDIA GeForce RTX 4090 SUPRIM LIQUID X 24GB? 40 at BB? </t>
  </si>
  <si>
    <t xml:space="preserve">secured some new hardware ? </t>
  </si>
  <si>
    <t xml:space="preserve">0****p </t>
  </si>
  <si>
    <t xml:space="preserve">Nvidia Stock soars after A.I frenzy hits the market!The market frenzy around artificial intelligence has lifted Nv? </t>
  </si>
  <si>
    <t xml:space="preserve">t****z </t>
  </si>
  <si>
    <t xml:space="preserve">Kosovo </t>
  </si>
  <si>
    <t xml:space="preserve">I'm still using a nVidia RIVA 128? What are Triangles? Is this some new RTX thing? </t>
  </si>
  <si>
    <t xml:space="preserve">m****g </t>
  </si>
  <si>
    <t xml:space="preserve">AAL826A321N902AAac769b Photo Crop Confidence Score: 0? </t>
  </si>
  <si>
    <t xml:space="preserve">FUCK I MADE A TYPO!!!! </t>
  </si>
  <si>
    <t xml:space="preserve">B****0 </t>
  </si>
  <si>
    <t xml:space="preserve">they/them </t>
  </si>
  <si>
    <t xml:space="preserve">remember when you said you would be in ap english? </t>
  </si>
  <si>
    <t xml:space="preserve">tbh ive nasdaq long and this tesla n nvidia shit is making me not make monies, same as yday google bollocks </t>
  </si>
  <si>
    <t xml:space="preserve">T****8 </t>
  </si>
  <si>
    <t xml:space="preserve">EJA641C68AN641QSa86a61 Photo Crop Confidence Score: 0? </t>
  </si>
  <si>
    <t xml:space="preserve">AAL1318A321N568UWa74679 Photo Crop Confidence Score:? </t>
  </si>
  <si>
    <t xml:space="preserve">Yeah, it seems it's something to do with the NVIDIA drivers. I'll just have to wait for a patch. </t>
  </si>
  <si>
    <t xml:space="preserve">J****o </t>
  </si>
  <si>
    <t xml:space="preserve">Wilmington NC </t>
  </si>
  <si>
    <t xml:space="preserve">$36,249.00 Tarjeta de Video Zotac NVIDIA GeForce RTX 4090 Gaming AMP Extreme AIRO, 24GB 384-bit GDDR6X, PCI Exp? </t>
  </si>
  <si>
    <t xml:space="preserve">s****x </t>
  </si>
  <si>
    <t xml:space="preserve">[MediaMarkt]: MSI GeForce RTX 4090 GAMING X TRIO (NVIDIA, Grafikkarte) now availble! ?? Price:2049?? Link:? </t>
  </si>
  <si>
    <t xml:space="preserve">AAL1441A321N192UWa17170 Photo Crop Confidence Score:? </t>
  </si>
  <si>
    <t xml:space="preserve">[$329.99]EVGA NVIDIA GeForce GTX 1650 Graphic Card + EVGA 650W GQ 80+: ebay ListingReason: Sold b? </t>
  </si>
  <si>
    <t xml:space="preserve">Tell bro to turn his Nvidia game filters off </t>
  </si>
  <si>
    <t xml:space="preserve">D****_ </t>
  </si>
  <si>
    <t xml:space="preserve">AI Arms Race Will Lift # Nvidia, Broadcom, andMarvell, Says J.P. Morgan </t>
  </si>
  <si>
    <t xml:space="preserve">Nvidia is officially no longer a "gaming" companyAll big things start as toys </t>
  </si>
  <si>
    <t xml:space="preserve">N****s </t>
  </si>
  <si>
    <t xml:space="preserve">Seattle, WA </t>
  </si>
  <si>
    <t xml:space="preserve">AAL432B789N820ALab30e6 Photo Crop Confidence Score: 0? </t>
  </si>
  <si>
    <t xml:space="preserve">Amazon?.de: Gigabyte GeForce RTX 4080 16GB AERO OC NVIDIA GDDR6X? ?1,459.00 as of ? 18:5? </t>
  </si>
  <si>
    <t xml:space="preserve">Same. As I was telling my wife, it was unfortunate that my old Athlon K6-6400 with 8GB RAM and on-board? </t>
  </si>
  <si>
    <t xml:space="preserve">t****u </t>
  </si>
  <si>
    <t xml:space="preserve">Atlanta OTP </t>
  </si>
  <si>
    <t xml:space="preserve">AAL1473A321N920USacbffd Photo Crop Confidence Score:? </t>
  </si>
  <si>
    <t xml:space="preserve">AAL2461A321N562UWa7302f Photo Crop Confidence Score:? </t>
  </si>
  <si>
    <t xml:space="preserve">According to the guy I follow, even the 6000 series used less energy. And it's not like I need ray? </t>
  </si>
  <si>
    <t xml:space="preserve">Alberta </t>
  </si>
  <si>
    <t xml:space="preserve">[US] asus 4070ti tuf (New) for ?$849??ATC: ?Link: ??Feb 10, 6:49 PM ET </t>
  </si>
  <si>
    <t xml:space="preserve">i am BEGGING nvidia to bring back the gtx 780 and 980 founders edition coolers they looked so good </t>
  </si>
  <si>
    <t xml:space="preserve">r****d </t>
  </si>
  <si>
    <t xml:space="preserve">spanish duolingo streak: 169 </t>
  </si>
  <si>
    <t xml:space="preserve">And Nvidia 4090 will probably be added to this setup soon. </t>
  </si>
  <si>
    <t xml:space="preserve">AAL2088B38MN308RDa33e85 Photo Crop Confidence Score:? </t>
  </si>
  <si>
    <t xml:space="preserve">day 1 update did nothing to stop my game from freezing at the start, I now have 8 hours played on Hogwarts Legacy j? </t>
  </si>
  <si>
    <t xml:space="preserve">A****s </t>
  </si>
  <si>
    <t xml:space="preserve">IN STOCK ALERT ??GeForce RTX 3070 Ti - ZOTAC - AMP Holo is in stock at Amazon for $699.99 (Less than MSRP) (or? </t>
  </si>
  <si>
    <t xml:space="preserve">IN STOCK ALERT ??ASUS GeForce RTX 3070 Ti Republic of Gamers Strix OC Graphics Card is in stock at B&amp;amp;H Photo f? </t>
  </si>
  <si>
    <t xml:space="preserve">A fake code does not help us lol, just read the changelog from the nvid? </t>
  </si>
  <si>
    <t xml:space="preserve">t****l </t>
  </si>
  <si>
    <t xml:space="preserve">IN STOCK ALERT - UK ??MSI GeForce RTX 4090 GAMING X TRIO 24G Gaming Graphics Card - 24GB GDDR6X, 2595 MHz, PCI? </t>
  </si>
  <si>
    <t xml:space="preserve">SWA1346B38MN8751Rac0b74 Photo Crop Confidence Score:? </t>
  </si>
  <si>
    <t xml:space="preserve">IN STOCK ALERT ??GeForce RTX 3080 Ti - MSI - GAMING X TRIO OC (Renewed) is in stock at Amazon for $859.00 (ori? </t>
  </si>
  <si>
    <t xml:space="preserve">Turn on Notifications ? </t>
  </si>
  <si>
    <t xml:space="preserve">That?s very amazing </t>
  </si>
  <si>
    <t xml:space="preserve">j****0 </t>
  </si>
  <si>
    <t xml:space="preserve">Ohio, USA </t>
  </si>
  <si>
    <t xml:space="preserve">AAL460A21NN400ANa4acae Photo Crop Confidence Score: 0? </t>
  </si>
  <si>
    <t xml:space="preserve">We are collaborating with and to boost the delivery of groundbreaking AI capabilities across? </t>
  </si>
  <si>
    <t xml:space="preserve">O****e </t>
  </si>
  <si>
    <t xml:space="preserve">Austin, TX </t>
  </si>
  <si>
    <t xml:space="preserve">IN STOCK ALERT - CA ??MSI Gaming GeForce RTX 4090 24GB GDRR6X 384-Bit HDMI/DP Nvlink Torx Fan 5 Ada Lovelace A? </t>
  </si>
  <si>
    <t xml:space="preserve">R****A </t>
  </si>
  <si>
    <t xml:space="preserve">Awesome thank you! Here is mine: Intel core i5 13600k cpu with an Nvidia GeForce, RTX, 3070? </t>
  </si>
  <si>
    <t xml:space="preserve">g****3 </t>
  </si>
  <si>
    <t xml:space="preserve">SWA836B738N8555Zabbd0a Photo Crop Confidence Score: 0? </t>
  </si>
  <si>
    <t xml:space="preserve">AAL1968UNDFN463AAa5a4c1 Photo Crop Confidence Score:? </t>
  </si>
  <si>
    <t xml:space="preserve">Fast Large-Scale Agent-based Simulations on NVIDIA GPUs with FLAME GPU February 10, 2023 at 07:10PM </t>
  </si>
  <si>
    <t xml:space="preserve">c****o </t>
  </si>
  <si>
    <t xml:space="preserve">Bangalore </t>
  </si>
  <si>
    <t xml:space="preserve">To the point that Nvidia already made its branding shift from a gaming company to the "World Leader in Artific? </t>
  </si>
  <si>
    <t xml:space="preserve">M****t </t>
  </si>
  <si>
    <t xml:space="preserve">i hope the day one update for (if there' going to be such) will fix the major issues with PC perfo? </t>
  </si>
  <si>
    <t xml:space="preserve">Z****t </t>
  </si>
  <si>
    <t xml:space="preserve">for sure!! at the time the nvidia graphics card was better but now since the radion 7000 graphics cards? </t>
  </si>
  <si>
    <t xml:space="preserve">I****t </t>
  </si>
  <si>
    <t xml:space="preserve">North Carolina </t>
  </si>
  <si>
    <t xml:space="preserve">Has Nvidia's New Year Rally Run Its Course? via </t>
  </si>
  <si>
    <t xml:space="preserve">Day 4 ? Click Boom ?xQc ? KaiCenat ?My top 2 ? </t>
  </si>
  <si>
    <t xml:space="preserve">w****m </t>
  </si>
  <si>
    <t xml:space="preserve">$13,999.00 Tarjeta de Video ASUS NVIDIA TUF Gaming GeForce RTX 3070 Ti V2 OC, 8GB 256-bit GDDR6X, PCI Express 4? </t>
  </si>
  <si>
    <t xml:space="preserve">AAL361B738N358PWa403df Photo Crop Confidence Score: 0? </t>
  </si>
  <si>
    <t xml:space="preserve">Hogwarts Legacy, it's great so far, despite the ocassional stuttering, I updated the dlss library and? </t>
  </si>
  <si>
    <t xml:space="preserve">s****s </t>
  </si>
  <si>
    <t xml:space="preserve">Buenos Aires </t>
  </si>
  <si>
    <t xml:space="preserve">No no no you don't understand AMD GPUs don't even have hardware raytracing. If you want Ray Tracing at all you NEED Nvidia! </t>
  </si>
  <si>
    <t xml:space="preserve">M****s </t>
  </si>
  <si>
    <t xml:space="preserve">PNY GEFORCE RTX 4090 VERTO now in stock at Amazon for $1659.99. ? </t>
  </si>
  <si>
    <t xml:space="preserve">they should and they absolutely can but it is easier to pile on helpless people inst? </t>
  </si>
  <si>
    <t xml:space="preserve">y****6 </t>
  </si>
  <si>
    <t xml:space="preserve">Even if you don?t follow LLMs and new AI model development, you should consider attending this years NVIDIA GTC. We? </t>
  </si>
  <si>
    <t xml:space="preserve">V****G </t>
  </si>
  <si>
    <t xml:space="preserve">FL </t>
  </si>
  <si>
    <t xml:space="preserve">I just shorted Nvidia. Yeah it's just running on AI hype. Earns are so bad. PE now 130 lol? </t>
  </si>
  <si>
    <t xml:space="preserve">T****e </t>
  </si>
  <si>
    <t xml:space="preserve">Brooklyn, NY </t>
  </si>
  <si>
    <t xml:space="preserve">3070, but gpu is running at 60% and moving a lot. Even at all low setti? </t>
  </si>
  <si>
    <t xml:space="preserve">California, USA </t>
  </si>
  <si>
    <t xml:space="preserve">Not Good.Revenue down, expenses up. This is the opposite of what investors want to see.Consumer (Gaming? </t>
  </si>
  <si>
    <t xml:space="preserve">Y****l </t>
  </si>
  <si>
    <t xml:space="preserve">try turning vertical sync on in the nvidia control. i have a? </t>
  </si>
  <si>
    <t xml:space="preserve">AAL2932A321N975UYad9811 Photo Crop Confidence Score:? </t>
  </si>
  <si>
    <t xml:space="preserve">Well hopefully that update wasnt the day 1 patch and maybe nvidia driver will release soon i hope xD </t>
  </si>
  <si>
    <t xml:space="preserve">M****7 </t>
  </si>
  <si>
    <t xml:space="preserve">Sheffield, England </t>
  </si>
  <si>
    <t xml:space="preserve">Amazon (DE): ASUS Phoenix GeForce RTX 3060 12G V2 Gaming Graphics Card (LHR (Lite Hash Rate), Nvidia RTX3060, 12G? </t>
  </si>
  <si>
    <t xml:space="preserve">damn, the nvidia 40 series laptops have started shipping </t>
  </si>
  <si>
    <t xml:space="preserve">o****_ </t>
  </si>
  <si>
    <t xml:space="preserve">AAL1330A321N150UWa0cc06 Photo Crop Confidence Score:? </t>
  </si>
  <si>
    <t xml:space="preserve">Download the new Nvidia driver and restart computer and Steam. </t>
  </si>
  <si>
    <t xml:space="preserve">S****w </t>
  </si>
  <si>
    <t xml:space="preserve">IN STOCK ALERT - UK ??PNY GeForce RTX 4090 24GB XLR8 Gaming Verto Epic-X RGB Triple Fan Overclocked Graphics C? </t>
  </si>
  <si>
    <t xml:space="preserve">I think people with NVIDIA GPUs are having more problem with the game. Not? </t>
  </si>
  <si>
    <t xml:space="preserve">g****g </t>
  </si>
  <si>
    <t xml:space="preserve">[US] asus 4070ti tuf (New) for ?$849??ATC: ?Link: ??Feb 10, 6:34 PM ET </t>
  </si>
  <si>
    <t xml:space="preserve">SKW5379E75LN613UXa7fbbb Photo Crop Confidence Score:? </t>
  </si>
  <si>
    <t xml:space="preserve">For a stream PC you can go somewhat cheap for GPU, Nvidia wise 10 series up will be good. AMD cards possibl? </t>
  </si>
  <si>
    <t xml:space="preserve">H****r </t>
  </si>
  <si>
    <t xml:space="preserve">AAL627B738N305NXa33327 Photo Crop Confidence Score: 0? </t>
  </si>
  <si>
    <t xml:space="preserve">We?re basically looking at a 30% performance difference, which is huge." </t>
  </si>
  <si>
    <t xml:space="preserve">S****c </t>
  </si>
  <si>
    <t xml:space="preserve">Toronto </t>
  </si>
  <si>
    <t xml:space="preserve">Amazing technology with real time ray tracing. The downside is building at this level means a majority of the marke? </t>
  </si>
  <si>
    <t xml:space="preserve">D****R </t>
  </si>
  <si>
    <t xml:space="preserve">Virtual Reality </t>
  </si>
  <si>
    <t xml:space="preserve">NEWS ? NVIDIA Will Release NVIDIA R530 Drivers With RTX Video Super Resolution: </t>
  </si>
  <si>
    <t xml:space="preserve">We heard you guys loud and clear! ? RTX 4080 FE's are available right now with limited quantity on? </t>
  </si>
  <si>
    <t xml:space="preserve">i****R </t>
  </si>
  <si>
    <t xml:space="preserve">Learn how to run multiple analysis jobs in batch with NVIDIA Clara Parabricks on the Platform? </t>
  </si>
  <si>
    <t xml:space="preserve">N****h </t>
  </si>
  <si>
    <t xml:space="preserve">EJA560C68AN560QSa72859 Photo Crop Confidence Score: 0? </t>
  </si>
  <si>
    <t xml:space="preserve">Everytime, and I mean every single time Nvidia released a new GPU. There's always that one guy on the internet that? </t>
  </si>
  <si>
    <t xml:space="preserve">v****r </t>
  </si>
  <si>
    <t xml:space="preserve">it?s green because i?ll i see is green! i win </t>
  </si>
  <si>
    <t xml:space="preserve">Nvidia's AI Robot Makes History Trained for 42 Years in 32 Hours: Google... via </t>
  </si>
  <si>
    <t xml:space="preserve">p****n </t>
  </si>
  <si>
    <t xml:space="preserve">NVIDIA RTX Extreme: Real-Time Automotive Rendering with Dual NVIDIA RTX A6000 and NVLink </t>
  </si>
  <si>
    <t xml:space="preserve">So... How are you checking the frame rate generation automatically turning itself on even when greyed ou? </t>
  </si>
  <si>
    <t xml:space="preserve">bro whats your damn problem mind your own business. always butting into my discussions! </t>
  </si>
  <si>
    <t xml:space="preserve">AAL2838A321N189UWa163f2 Photo Crop Confidence Score:? </t>
  </si>
  <si>
    <t xml:space="preserve">$28,379.00 Tarjeta de Video ASUS NVIDIA TUF Gaming NVIDIA GeForce RTX 4080 OC, 16GB 256-bit GDDR6X, PCI Express? </t>
  </si>
  <si>
    <t xml:space="preserve">DAL2107A321N122DNa05b78 Photo Crop Confidence Score:? </t>
  </si>
  <si>
    <t xml:space="preserve">Folks at NVIDIA are shippers ? </t>
  </si>
  <si>
    <t xml:space="preserve">Himachal Pradesh </t>
  </si>
  <si>
    <t xml:space="preserve">SKW3004CRJ7N726SKa9bb70 Photo Crop Confidence Score:? </t>
  </si>
  <si>
    <t xml:space="preserve">The day 1 patch made the stuttering a bit better, but it is still there sadly. (4070 Ti and 13700KF? </t>
  </si>
  <si>
    <t xml:space="preserve">hey NVIDIA Control Panel, could I set my global framerate to 144?-ye sure we'll set it to 120.what?-what you did? </t>
  </si>
  <si>
    <t xml:space="preserve">S****n </t>
  </si>
  <si>
    <t xml:space="preserve">Doesn?t matter Gordo, Ai nvidia is a steal at 65x fwd and 90x ttm, ? </t>
  </si>
  <si>
    <t xml:space="preserve">m****8 </t>
  </si>
  <si>
    <t xml:space="preserve">Olean ny </t>
  </si>
  <si>
    <t xml:space="preserve">I must say, it is hard not to be impressed by DLSS 3 in this game, and the performance of smart upscalers in genera? </t>
  </si>
  <si>
    <t xml:space="preserve">W****C </t>
  </si>
  <si>
    <t xml:space="preserve">Northern Ireland </t>
  </si>
  <si>
    <t xml:space="preserve">AAL2777B738N983NNadb782 Photo Crop Confidence Score:? </t>
  </si>
  <si>
    <t xml:space="preserve">Best Buy [$1649.99]: MSI - NVIDIA GeForce RTX 4090 GAMING X TRIO 24G 24GB? 40 at BB? </t>
  </si>
  <si>
    <t xml:space="preserve">UAL2013B738N76522aa56d4 Photo Crop Confidence Score:? </t>
  </si>
  <si>
    <t xml:space="preserve">[US] asus 4070ti tuf (New) for ?$849??ATC: ?Link: ??Feb 10, 6:18 PM ET </t>
  </si>
  <si>
    <t xml:space="preserve">Yep, 100%. Nvidia Foundry </t>
  </si>
  <si>
    <t xml:space="preserve">Not T???h???e?? ???V???o??i??d </t>
  </si>
  <si>
    <t xml:space="preserve">Oh that is interesting! Opening up Spotify and the nvidia shield app could be far b? </t>
  </si>
  <si>
    <t xml:space="preserve">i****5 </t>
  </si>
  <si>
    <t xml:space="preserve">Ireland </t>
  </si>
  <si>
    <t xml:space="preserve">Amazon Warehouse [$767.27]: ASUS ROG Strix NVIDIA GeForce RTX 3080 V2 OC Edition? </t>
  </si>
  <si>
    <t xml:space="preserve">GPU RESTOCK ALERT!!! ASUS ROG Strix NVIDIA GeForce RTX 3080 V2 OC Edition Gaming Graphics Card (PCIe 4.0, 10GB GD? </t>
  </si>
  <si>
    <t xml:space="preserve">S****t </t>
  </si>
  <si>
    <t xml:space="preserve">Cyberspace </t>
  </si>
  <si>
    <t xml:space="preserve">Moments that altered your brain chemistry: learning that you can get 6 months of GeForceNOW gaming for free.Find o? </t>
  </si>
  <si>
    <t xml:space="preserve">A****T </t>
  </si>
  <si>
    <t xml:space="preserve">Dallas, TX </t>
  </si>
  <si>
    <t xml:space="preserve">Amazon?.de: Gigabyte AORUS GeForce RTX 4080 Master NVIDIA 16 GB GDDR6X? ?1,499.00 as of? </t>
  </si>
  <si>
    <t xml:space="preserve">Sometimes my nvidia goes wonky and it don?t record properly, but ima still give it a try as a backup ? </t>
  </si>
  <si>
    <t xml:space="preserve">X****a </t>
  </si>
  <si>
    <t xml:space="preserve">Greetings Everyone..!!!CRYSIS REMASTERED PC Gameplay Walkthrough Part 1 [60FPS Nvidia GTX 1050T... via </t>
  </si>
  <si>
    <t xml:space="preserve">s****6 </t>
  </si>
  <si>
    <t xml:space="preserve">West Bengal </t>
  </si>
  <si>
    <t xml:space="preserve">AAL834A320N117UWa0480b Photo Crop Confidence Score: 0? </t>
  </si>
  <si>
    <t xml:space="preserve">$8,379.00 Tarjeta de Video ASUS NVIDIA GeForce RTX 3060 V2 Phoenix OC, 12GB 192-bit GDDR6, PCI Express 4.0 ? ¡C? </t>
  </si>
  <si>
    <t xml:space="preserve">$26,639.00 Tarjeta de Video PNY NVIDIA GeForce RTX 4080 16GB Uprising Triple Fan, 16GB 256-bit GDDR6X, PCI Expr? </t>
  </si>
  <si>
    <t xml:space="preserve">AAL2973A319N755USaa2e6f Photo Crop Confidence Score:? </t>
  </si>
  <si>
    <t xml:space="preserve">AAL2127A319N825AWab4383 Photo Crop Confidence Score:? </t>
  </si>
  <si>
    <t xml:space="preserve">day 1 patch is shite gotta hope for the nvidia drivers and they provide some fps magic </t>
  </si>
  <si>
    <t xml:space="preserve">MSI GEFORCE RTX 4090 GAMING X TRIO now in stock at Amazon for $1699.99. ? </t>
  </si>
  <si>
    <t xml:space="preserve">Tell me you shorted Nvidia </t>
  </si>
  <si>
    <t xml:space="preserve">s****k </t>
  </si>
  <si>
    <t xml:space="preserve">GLF4N416ELa4ead9# # Photo Crop Confidence Score: 0.625? </t>
  </si>
  <si>
    <t xml:space="preserve">SWA2279B738N8307Kab5bb1 Photo Crop Confidence Score:? </t>
  </si>
  <si>
    <t xml:space="preserve">[$357.66]PNY NVIDIA Quadro T1000 Graphic Card - 4 GB GDDR6 - Low-profSource: ebay ListingReason: Sold by antonli? </t>
  </si>
  <si>
    <t xml:space="preserve">mine is green! </t>
  </si>
  <si>
    <t xml:space="preserve">Lol paper launch worse than 30series Nvidia cards. </t>
  </si>
  <si>
    <t xml:space="preserve">S****M </t>
  </si>
  <si>
    <t xml:space="preserve">Honolulu, HI </t>
  </si>
  <si>
    <t xml:space="preserve">[$88.27]Asus NVIDIA GeForce GT 730 Graphic Card - 2 GB DDR3 SDRAM - Source: ebay ListingReason: Sold by antonlin? </t>
  </si>
  <si>
    <t xml:space="preserve">AAL2074B738N953NNad4105 Photo Crop Confidence Score:? </t>
  </si>
  <si>
    <t xml:space="preserve">Tell me that you are a proud member of the nvidia marketing team without telling me that you are a paid nvidia shill. </t>
  </si>
  <si>
    <t xml:space="preserve">N****3 </t>
  </si>
  <si>
    <t xml:space="preserve">nyc </t>
  </si>
  <si>
    <t xml:space="preserve">AAL2940A321N161UWa0f73c Photo Crop Confidence Score:? </t>
  </si>
  <si>
    <t xml:space="preserve">why only blame sony?there are nvidia google ext ext who allso against this BS deal </t>
  </si>
  <si>
    <t xml:space="preserve">R****7 </t>
  </si>
  <si>
    <t xml:space="preserve">GeForce RTX 4090 - GIGABYTE - GAMING OC will be available for in-store pickup within the next 5 minutes!STATUS: I? </t>
  </si>
  <si>
    <t xml:space="preserve">R****X </t>
  </si>
  <si>
    <t xml:space="preserve">I wonder where the Day 1 Patch and an updated nvidia drivers update be. I think that is also a kind of magic. ? </t>
  </si>
  <si>
    <t xml:space="preserve">That sucks, using a 5K2K ultrawide display here, have to run it at 3440 res instead of 5120 for a reasonab? </t>
  </si>
  <si>
    <t xml:space="preserve">Sweden </t>
  </si>
  <si>
    <t xml:space="preserve">[US] asus 4070ti tuf (New) for ?$849??ATC: ?Link: ??Feb 10, 6:01 PM ET </t>
  </si>
  <si>
    <t xml:space="preserve">You should!! right now my machine has the amd ryzen 5950 X overcocked nvidia rtx 3080 12 gb 6 tb of ssd? </t>
  </si>
  <si>
    <t xml:space="preserve">are liars. They call laptop 4080 gpu 4090 to trick customers. </t>
  </si>
  <si>
    <t xml:space="preserve">T****C </t>
  </si>
  <si>
    <t xml:space="preserve">IN STOCK ALERT ??GeForce RTX 3070 - MSI - VENTUS 3X OC is in stock at Amazon for $789.90 (MSRP)? </t>
  </si>
  <si>
    <t xml:space="preserve">Russia pushing oil higher qs lower. I have had massive gains ove? </t>
  </si>
  <si>
    <t xml:space="preserve">w****4 </t>
  </si>
  <si>
    <t xml:space="preserve">EJM17GLF5N721KJa9a82d Photo Crop Confidence Score: 0.6? </t>
  </si>
  <si>
    <t xml:space="preserve">uh man listen bugatti this boogatti that. at the end if the day i dont need? </t>
  </si>
  <si>
    <t xml:space="preserve">Why train a multilingual model? You can transcribe speech in more than one language -- minus the? </t>
  </si>
  <si>
    <t xml:space="preserve">NSIGHT SYSTEMS TUTORIAL: | Optimize your application to run faster | ? </t>
  </si>
  <si>
    <t xml:space="preserve">c****n </t>
  </si>
  <si>
    <t xml:space="preserve">HP ZBook G6 ?? Processor : Intel Core i7 - 9850H ? RAM : 32GB DDR4 ? VGA : Nvidia Quadro T 1000 4 GB GDDR5? </t>
  </si>
  <si>
    <t xml:space="preserve">z****s </t>
  </si>
  <si>
    <t xml:space="preserve">Giza , Egypt </t>
  </si>
  <si>
    <t xml:space="preserve">NEOM Technology Holdings Tonomus Announces Signing Partnership with Techmahindra in Future Technology Areas Such as? </t>
  </si>
  <si>
    <t xml:space="preserve">A****z </t>
  </si>
  <si>
    <t xml:space="preserve">Hesse, Germany </t>
  </si>
  <si>
    <t xml:space="preserve">[$845.62]HP NVIDIA Quadro T1000 Graphic Card - 4 GB GDDR6Source: ebay ListingReason: Sold by antonlineGet the? </t>
  </si>
  <si>
    <t xml:space="preserve">[$401.93]HP NVIDIA Quadro T1000 Graphic Card - 4 GB GDDR6Source: ebay ListingReason: Sold by antonlineGet the? </t>
  </si>
  <si>
    <t xml:space="preserve">nvidia driver juga gajelas, abis update malah black screen asu </t>
  </si>
  <si>
    <t xml:space="preserve">r****7 </t>
  </si>
  <si>
    <t xml:space="preserve">Learn more about how the combination of the NVIDIA TAO Toolkit and the MLOps platform can help kick? </t>
  </si>
  <si>
    <t xml:space="preserve">N****C </t>
  </si>
  <si>
    <t xml:space="preserve">That swear is annoying as Nvidia's CEO Leather biker jacket. I swear these money making opportunis? </t>
  </si>
  <si>
    <t xml:space="preserve">l****1 </t>
  </si>
  <si>
    <t xml:space="preserve">Jupiter </t>
  </si>
  <si>
    <t xml:space="preserve">Nvidia is always pushing the craziest technological accomplishments (just struggling a bit in productizi? </t>
  </si>
  <si>
    <t xml:space="preserve">Zurich, Switzerland </t>
  </si>
  <si>
    <t xml:space="preserve">AAL638A321N561UWa72c78 Photo Crop Confidence Score: 0? </t>
  </si>
  <si>
    <t xml:space="preserve">partners with to bring you the future of AI-based creations and governance. Get ready f? </t>
  </si>
  <si>
    <t xml:space="preserve">a****2 </t>
  </si>
  <si>
    <t xml:space="preserve">Dubai </t>
  </si>
  <si>
    <t xml:space="preserve">8G is less than what the consoles have. At some point textures and raytracing just a? </t>
  </si>
  <si>
    <t xml:space="preserve">Want to drive innovation and speed up scientific workloads? It starts with the network. </t>
  </si>
  <si>
    <t xml:space="preserve">m****n </t>
  </si>
  <si>
    <t xml:space="preserve">SWA494B38MN1811Ua146f1 Photo Crop Confidence Score: 0? </t>
  </si>
  <si>
    <t xml:space="preserve">NVIDIA Corporation traded -30% below average volume, $NVDA down -6.05% </t>
  </si>
  <si>
    <t xml:space="preserve">AI is helping organizations handle workloads faster and more efficiently. Learn from the experts about AI-first clo? </t>
  </si>
  <si>
    <t xml:space="preserve">Join NVIDIA Inception at the Machine Learning Meetup in Bangalore on Feb. 10th. Hear tech talks on ,? </t>
  </si>
  <si>
    <t xml:space="preserve">Read how you can use and to efficiently deploy your ONNX models through ONNXRuntime using NVIDIA te? </t>
  </si>
  <si>
    <t xml:space="preserve">Generals start to crumble after a push up .. tesla, google, amazon, nvidia,? "If the head falls, the body will f? </t>
  </si>
  <si>
    <t xml:space="preserve">A****u </t>
  </si>
  <si>
    <t xml:space="preserve">Wonder what the second mega cap is. One is certainly NVidia :D </t>
  </si>
  <si>
    <t xml:space="preserve">p****m </t>
  </si>
  <si>
    <t xml:space="preserve">Sachsen </t>
  </si>
  <si>
    <t xml:space="preserve">AAL1752A21NN432ANa52a99 Photo Crop Confidence Score:? </t>
  </si>
  <si>
    <t xml:space="preserve">The first laptops powered by GeForce RTX 40 Series Laptop GPUs are now available! ?? Also, go? </t>
  </si>
  <si>
    <t xml:space="preserve">So whats going on with Nvidia and TSMC. New socket not going as planned for Nintendo? Cause lets be real. W? </t>
  </si>
  <si>
    <t xml:space="preserve">nvidia control pannelfullscreen is the important setting </t>
  </si>
  <si>
    <t xml:space="preserve">s****i </t>
  </si>
  <si>
    <t xml:space="preserve">Berlin </t>
  </si>
  <si>
    <t xml:space="preserve">Problems with nvidia </t>
  </si>
  <si>
    <t xml:space="preserve">l****d </t>
  </si>
  <si>
    <t xml:space="preserve">AI Arms Race Will Lift Chip Stocks Nvidia, Broadcom, and Marvell, Says J.P. Morgan$NVDA $AVGO $MRVL $MSFT $GOOG </t>
  </si>
  <si>
    <t xml:space="preserve">T****1 </t>
  </si>
  <si>
    <t xml:space="preserve">SuperPOD and NVIDIA Clara enable VinBrain to deploy its healthcare model to more than 100 hospitals? </t>
  </si>
  <si>
    <t xml:space="preserve">Arms Race Will Lift Chip Stocks Nvidia, Broadcom, and Marvell, Says J.P. Morgan </t>
  </si>
  <si>
    <t xml:space="preserve">B****1 </t>
  </si>
  <si>
    <t xml:space="preserve">Interested in learning how startups use to build their solutions faster and accelerate their growth at ?? </t>
  </si>
  <si>
    <t xml:space="preserve">Telcos are starting to use and accelerated computing to address key industry challenges in the era. ? </t>
  </si>
  <si>
    <t xml:space="preserve">Next stop NASCAR? For the latest Jetson Project of the Month, three students from UC San Diego configured an AI-pow? </t>
  </si>
  <si>
    <t xml:space="preserve">_****r </t>
  </si>
  <si>
    <t xml:space="preserve">Houston Texas </t>
  </si>
  <si>
    <t xml:space="preserve">AAL590B738N983ANadb656 Photo Crop Confidence Score: 0? </t>
  </si>
  <si>
    <t xml:space="preserve">[US] asus 4070ti tuf (New) for ?$849??ATC: ?Link: ??Feb 10, 5:46 PM ET </t>
  </si>
  <si>
    <t xml:space="preserve">SWA2589B738N8670Aabeb31 Photo Crop Confidence Score:? </t>
  </si>
  <si>
    <t xml:space="preserve">RTX Video Super Resolution : le DLSS pour YouTube, Netflix et Twitch arrive ? via </t>
  </si>
  <si>
    <t xml:space="preserve">L****k </t>
  </si>
  <si>
    <t xml:space="preserve">Two Big Tech AI announcements this week about AI and yet ? Wall Street doesn't see much more upside for Nvidia stoc? </t>
  </si>
  <si>
    <t xml:space="preserve">mcherney.com </t>
  </si>
  <si>
    <t xml:space="preserve">Join us at to find out the latest on generative AI, where it currently stands, what it could be capable of i? </t>
  </si>
  <si>
    <t xml:space="preserve">[$74.48]MSI NVIDIA GeForce GT 710 Graphic Card - 2 GB DDR3 SDRAM - LSource: ebay ListingReason: Sold by antonlin? </t>
  </si>
  <si>
    <t xml:space="preserve">[$374.99]MSI NVIDIA GeForce RTX 3050 Graphic Card - 8 GB GDDR6Source: ebay ListingReason: Sold by antonlineGet? </t>
  </si>
  <si>
    <t xml:space="preserve">LXJ459GLF4N459FXa5941e Photo Crop Confidence Score: 0? </t>
  </si>
  <si>
    <t xml:space="preserve">NVIDIA &amp;amp; TSLA practically 100% correlated in price action and P.E </t>
  </si>
  <si>
    <t xml:space="preserve">n****e </t>
  </si>
  <si>
    <t xml:space="preserve">København, Danmark </t>
  </si>
  <si>
    <t xml:space="preserve">AAL1517B738N954NNad44bc Photo Crop Confidence Score:? </t>
  </si>
  <si>
    <t xml:space="preserve">Nvidia scammed everybody with the amount of vram on the 8GB 3060 TI 3070 3070 TI 3080 10GB now eve? </t>
  </si>
  <si>
    <t xml:space="preserve">To be sure, K7 and even more K8 (AMD64) was a quite good /better CPU than Pentium 4 for example, but? </t>
  </si>
  <si>
    <t xml:space="preserve">B****k </t>
  </si>
  <si>
    <t xml:space="preserve">Slovakia </t>
  </si>
  <si>
    <t xml:space="preserve">SWA193B738N8574Zabc455 Photo Crop Confidence Score: 0? </t>
  </si>
  <si>
    <t xml:space="preserve">Fast Large-Scale Agent-based Simulations on NVIDIA GPUs with FLAME GPU February 10, 2023 at 06:15PM </t>
  </si>
  <si>
    <t xml:space="preserve">$18,099.00 Tarjeta de Video PNY NVIDIA GeForce RTX 3080 Uprising Triple Fan, 10GB 320-bit GDDR6X, PCI Express? </t>
  </si>
  <si>
    <t xml:space="preserve">SWA2623B38MN8814Kac247a Photo Crop Confidence Score:? </t>
  </si>
  <si>
    <t xml:space="preserve">IN STOCK ALERT - UK ??Gigabyte AORUS GeForce RTX 4090 MASTER 24GB Graphics Card (GV-N4090AORUS M-24GD) is in s? </t>
  </si>
  <si>
    <t xml:space="preserve">EJA832C700N832QSab6137 Photo Crop Confidence Score: 0? </t>
  </si>
  <si>
    <t xml:space="preserve">When you buy $10,000 of $QQQ here's how much of every stock you're buying$1,222 of Microsoft $MSFT$1,205 of Appl? </t>
  </si>
  <si>
    <t xml:space="preserve">S****z </t>
  </si>
  <si>
    <t xml:space="preserve">FTH904C750N904TXac7fc7 Photo Crop Confidence Score: 0? </t>
  </si>
  <si>
    <t xml:space="preserve">SWA1961B738N8566Zabc0e4 Photo Crop Confidence Score:? </t>
  </si>
  <si>
    <t xml:space="preserve">EJA680C68AN680QSa904a6 Photo Crop Confidence Score: 0? </t>
  </si>
  <si>
    <t xml:space="preserve">$CRSR spikes 10% on earnings beat, as new GPU and CPU launches from $NVDA, $AMD, and ? </t>
  </si>
  <si>
    <t xml:space="preserve">O****X </t>
  </si>
  <si>
    <t xml:space="preserve">SWA551B737N403WNa4b9c7 Photo Crop Confidence Score: 0? </t>
  </si>
  <si>
    <t xml:space="preserve">AAL2841A321N197UWa18403 Photo Crop Confidence Score:? </t>
  </si>
  <si>
    <t xml:space="preserve">AAL1756B738N815NNab1d28 Photo Crop Confidence Score:? </t>
  </si>
  <si>
    <t xml:space="preserve">SKW3031CRJ7N707EVa96f07 Photo Crop Confidence Score:? </t>
  </si>
  <si>
    <t xml:space="preserve">Don't buy from Corn Electronics who sells items via newegg. Their prices are just as bad as scalpers on ebay.? </t>
  </si>
  <si>
    <t xml:space="preserve">SWA2020B737N7731Aaa76a8 Photo Crop Confidence Score:? </t>
  </si>
  <si>
    <t xml:space="preserve">whoa! makes it possible to translate your voice and adjust your gaze during a video call.the future is he? </t>
  </si>
  <si>
    <t xml:space="preserve">h****y </t>
  </si>
  <si>
    <t xml:space="preserve">NYC </t>
  </si>
  <si>
    <t xml:space="preserve">[US] asus 4070ti tuf (New) for ?$849??ATC: ?Link: ??Feb 10, 5:30 PM ET </t>
  </si>
  <si>
    <t xml:space="preserve">AI Arms Race Will Lift Chip Stocks Nvidia, Broadcom, and Marvell, Says J.P. Morgan </t>
  </si>
  <si>
    <t xml:space="preserve">T****N </t>
  </si>
  <si>
    <t xml:space="preserve">I just received a contribution towards Skytech Chronos Gaming PC Desktop ? Intel Core i7 12700K 3.6 GHz, NVIDIA RTX? </t>
  </si>
  <si>
    <t xml:space="preserve">S****K </t>
  </si>
  <si>
    <t xml:space="preserve">The Cringe Nebula </t>
  </si>
  <si>
    <t xml:space="preserve">Check out our recently , , and -endorsed course, Infraworks The Complete Guide!Learn? </t>
  </si>
  <si>
    <t xml:space="preserve">G****g </t>
  </si>
  <si>
    <t xml:space="preserve">Edmonton, Alberta, Canada </t>
  </si>
  <si>
    <t xml:space="preserve">SWA2368B737N951WNad3a5f Photo Crop Confidence Score:? </t>
  </si>
  <si>
    <t xml:space="preserve">Can I run on max settings with this setup while streaming using Studio without any issues for my? </t>
  </si>
  <si>
    <t xml:space="preserve">e****g </t>
  </si>
  <si>
    <t xml:space="preserve">Pacific Northwest Oregon </t>
  </si>
  <si>
    <t xml:space="preserve">ASH5902CRJ9N326MSa385be Photo Crop Confidence Score:? </t>
  </si>
  <si>
    <t xml:space="preserve">NKS728UNDFN972NKad8c49 Photo Crop Confidence Score: 0? </t>
  </si>
  <si>
    <t xml:space="preserve">AAL1083B738N990NNadd3dc Photo Crop Confidence Score:? </t>
  </si>
  <si>
    <t xml:space="preserve">SKW5007CRJ7N614SKa7ff34 Photo Crop Confidence Score:? </t>
  </si>
  <si>
    <t xml:space="preserve">Andy Madz your 3080 3070 is obsolete time to upgrade to 4070 TI 4080 ? </t>
  </si>
  <si>
    <t xml:space="preserve">Nvidia must have kidnapped Dumbledoor because they been puttin out magical sh*t recently </t>
  </si>
  <si>
    <t xml:space="preserve">it was weird last night, like 2 punches dead through 2 plates and full health but then guy who is down ta? </t>
  </si>
  <si>
    <t xml:space="preserve">Mass </t>
  </si>
  <si>
    <t xml:space="preserve">Nvidia, Broadcom, and Marvell are stocks of chips to take advantage of in the AI ??arms race </t>
  </si>
  <si>
    <t xml:space="preserve">w****s </t>
  </si>
  <si>
    <t xml:space="preserve">world </t>
  </si>
  <si>
    <t xml:space="preserve">ASH5908CRJ9N947LRad2833 Photo Crop Confidence Score:? </t>
  </si>
  <si>
    <t xml:space="preserve">UAL1354B739N68843a923ef Photo Crop Confidence Score:? </t>
  </si>
  <si>
    <t xml:space="preserve">Nvidia, Broadcom, and Marvell Are Chip Stocks to Benefit in AI Arms Race </t>
  </si>
  <si>
    <t xml:space="preserve">B****N </t>
  </si>
  <si>
    <t xml:space="preserve">Analysts positive on NVIDIA's ChatGPT, AI opportunity By - </t>
  </si>
  <si>
    <t xml:space="preserve">Europe market is estimated to hold more than 25% industry share by 2032? </t>
  </si>
  <si>
    <t xml:space="preserve">A****i </t>
  </si>
  <si>
    <t xml:space="preserve">LG 27 Inch Ultragear? OLEDAmazon - Sold OutWalmart - Sold OutBest Buy - In Stock </t>
  </si>
  <si>
    <t xml:space="preserve">IN STOCK ALERT ??PNY GeForce RTX 4090 24GB XLR8 Gaming Verto Epic-X RGB Triple Fan Graphics Card is in stock a? </t>
  </si>
  <si>
    <t xml:space="preserve">[Lenovo Canada] Legion Pro 7i; Intel Core i9-13900HX(24 core) CPU, Nvidia GeForce RTX 4080 175W Graphics card, 32? </t>
  </si>
  <si>
    <t xml:space="preserve">L****3 </t>
  </si>
  <si>
    <t xml:space="preserve">LXJ601E550N601FXa7cb89 Photo Crop Confidence Score: 0? </t>
  </si>
  <si>
    <t xml:space="preserve">AAL511A321N924USacced9 Photo Crop Confidence Score: 0? </t>
  </si>
  <si>
    <t xml:space="preserve">$NVDA JP MORGAN SAYS THERE ARE 3 SEMICONDUCTOR COMPANIES THAT WILL THRIVE FROM THE RISING DEMAND FOR ARTIFICIAL-I? </t>
  </si>
  <si>
    <t xml:space="preserve">t****9 </t>
  </si>
  <si>
    <t xml:space="preserve">[$1011.26]Asus ROG Strix NVIDIA GeForce RTX 4070 Ti 12GB Gaming GraphiSource: ebay ListingReason: Sold by antonl? </t>
  </si>
  <si>
    <t xml:space="preserve">[US] asus 4070ti tuf (New) for ?$849??ATC: ?Link: ??Feb 10, 5:15 PM ET </t>
  </si>
  <si>
    <t xml:space="preserve">SCX687B738N838SYab77b9 Photo Crop Confidence Score: 0? </t>
  </si>
  <si>
    <t xml:space="preserve">Why do we like $NVDA? To view Diana Avigdors full segment on 's 'The Close', discussing tech, and ou? </t>
  </si>
  <si>
    <t xml:space="preserve">b****l </t>
  </si>
  <si>
    <t xml:space="preserve">Toronto, Ontario </t>
  </si>
  <si>
    <t xml:space="preserve">AAL1607A21NN428AAa51958 Photo Crop Confidence Score:? </t>
  </si>
  <si>
    <t xml:space="preserve">Go To Nvidia Control Panel , select adjust desktop size and position, change perform scaling on from CPU to GPU, thank me later </t>
  </si>
  <si>
    <t xml:space="preserve">s****z </t>
  </si>
  <si>
    <t xml:space="preserve">AAL1398A320N659AWa8ae3e Photo Crop Confidence Score:? </t>
  </si>
  <si>
    <t xml:space="preserve">Short it... </t>
  </si>
  <si>
    <t xml:space="preserve">P****T </t>
  </si>
  <si>
    <t xml:space="preserve">The $NVDA puts from yesterday up 25% at 4k each on two positions.?? Not closing them yet. $NVDA ? </t>
  </si>
  <si>
    <t xml:space="preserve">P****z </t>
  </si>
  <si>
    <t xml:space="preserve">EJA111GL5TN111QSa03159 Photo Crop Confidence Score: 0? </t>
  </si>
  <si>
    <t xml:space="preserve">HP ZBook 15 Workstation PC15 Inch Display, Intel core i7, 8GB RAM/500GB HDD,Processor speed upto 2.7ghz, Nvidia K? </t>
  </si>
  <si>
    <t xml:space="preserve">D****o </t>
  </si>
  <si>
    <t xml:space="preserve">Kenya </t>
  </si>
  <si>
    <t xml:space="preserve">Introducing Vultr Cloud support for the NVIDIA A16 GPU! Vultr's next step to democratizing access to accelerated co? </t>
  </si>
  <si>
    <t xml:space="preserve">AI Joins Hunt for ET: Study Finds 8 Potential Alien Signals </t>
  </si>
  <si>
    <t xml:space="preserve">Working with categorical data? Avoid manual encoding all your categorical variables, and try an XGBoost experimenta? </t>
  </si>
  <si>
    <t xml:space="preserve">NEWS - Hogwarts Legacy : L'AMD Radeon RX 7900 XTX produit plus de FPS que la Nvidia RTX 4090 | Li? </t>
  </si>
  <si>
    <t xml:space="preserve">r****o </t>
  </si>
  <si>
    <t xml:space="preserve">Check out the top session picks for 3D creators. </t>
  </si>
  <si>
    <t xml:space="preserve">Transcription for good: Unravel the inner workings of startup engines that can ide? </t>
  </si>
  <si>
    <t xml:space="preserve">Learn how AI-first cloud infrastructure drives AI innovation in manufacturing and see how BMW is using automated qu? </t>
  </si>
  <si>
    <t xml:space="preserve">How is a global payments provider using to detect and respond to ransomware attacks? Learn how Mastercard and E? </t>
  </si>
  <si>
    <t xml:space="preserve">Different userbase: Gaming-PC around 1000-1500?, Xbox series X 499, Xbox seri? </t>
  </si>
  <si>
    <t xml:space="preserve">Quick salehp Zbook G58 th generation core i7 512gb SSD16GB ram2GB dedicated Nvidia graphics cedis </t>
  </si>
  <si>
    <t xml:space="preserve">Accra, Ghana </t>
  </si>
  <si>
    <t xml:space="preserve">IN STOCK ALERT - UK ??MSI GeForce RTX 4090 SUPRIM X 24G Gaming Graphics Card - 24GB GDDR6X, 2625 MHz, PCI Expr? </t>
  </si>
  <si>
    <t xml:space="preserve">IN STOCK ALERT - UK ??ASUS TUF RTX 4090 O24G Gaming, 90YV0IE0-M0NA00 and 1 other listing are in stock at Amazo? </t>
  </si>
  <si>
    <t xml:space="preserve">AAL2884A321N560UWa728c1 Photo Crop Confidence Score:? </t>
  </si>
  <si>
    <t xml:space="preserve">[$799]PNY NVIDIA GeForce RTX 4070 Ti XLR8 Gaming VERTO EPIC-X RGB Source: B&amp;amp;H InventoryReason: Add to Cart butto? </t>
  </si>
  <si>
    <t xml:space="preserve">Hey Manny, can you provide some material, maybe a screenshot or even a recording of this hap? </t>
  </si>
  <si>
    <t xml:space="preserve">f****t </t>
  </si>
  <si>
    <t xml:space="preserve">Analysts positive on NVIDIA's ChatGPT, AI opportunity &amp;gt; ? </t>
  </si>
  <si>
    <t xml:space="preserve">UAL2112B738N14230a0acf8 Photo Crop Confidence Score:? </t>
  </si>
  <si>
    <t xml:space="preserve">SWA997B737N443WNa557c3 Photo Crop Confidence Score: 0? </t>
  </si>
  <si>
    <t xml:space="preserve">: The market frenzy around artificial intelligence has lifted Corp.?s stock so much that even ma? </t>
  </si>
  <si>
    <t xml:space="preserve">g****b </t>
  </si>
  <si>
    <t xml:space="preserve">Analysts positive on NVIDIA's ChatGPT, AI opportunity </t>
  </si>
  <si>
    <t xml:space="preserve">SWA2444B737N957WNad50a9 Photo Crop Confidence Score:? </t>
  </si>
  <si>
    <t xml:space="preserve">What a horrible job by Nvidia for not bringing out cards with enough VRAM to play games. </t>
  </si>
  <si>
    <t xml:space="preserve">a****h </t>
  </si>
  <si>
    <t xml:space="preserve">Analysts positive on NVIDIA's $NVDA ChatGPT, AI opportunity </t>
  </si>
  <si>
    <t xml:space="preserve">Price testing the 20 period SMA today as wellTheres a move coming at some point soonAnother trade on the ?100%? </t>
  </si>
  <si>
    <t xml:space="preserve">D****d </t>
  </si>
  <si>
    <t xml:space="preserve">Wtf mnc, nvidia diblok servernya? </t>
  </si>
  <si>
    <t xml:space="preserve">d****h </t>
  </si>
  <si>
    <t xml:space="preserve">Bandung, Jawa Barat </t>
  </si>
  <si>
    <t xml:space="preserve">AAL1103B738N819NNab2c04 Photo Crop Confidence Score:? </t>
  </si>
  <si>
    <t xml:space="preserve">I honestly don?t know anymore. I?m tempted to say Nvidia doesn?t have anywhere to go as they?ll hit? </t>
  </si>
  <si>
    <t xml:space="preserve">G****_ </t>
  </si>
  <si>
    <t xml:space="preserve">AAL685A21NN459ANa59398 Photo Crop Confidence Score: 0? </t>
  </si>
  <si>
    <t xml:space="preserve">AAL2152A319N772XFaa7288 Photo Crop Confidence Score:? </t>
  </si>
  <si>
    <t xml:space="preserve">the way the light reflects off his hair kind of gives it away, also the fact NVIDIA posted it and? </t>
  </si>
  <si>
    <t xml:space="preserve">MU </t>
  </si>
  <si>
    <t xml:space="preserve">Deploy YOLOv5 models using custom weights to Roboflow ? In a few lines of code, you can upload your YOLOv5 weight? </t>
  </si>
  <si>
    <t xml:space="preserve">r****w </t>
  </si>
  <si>
    <t xml:space="preserve">Gardner-Johnson turns the tables, soaks up media night - NBC Sports ? </t>
  </si>
  <si>
    <t xml:space="preserve">Read how developed smart hospital solutions powered by NVIDIA Riva text-to-speech to automate check-in? </t>
  </si>
  <si>
    <t xml:space="preserve">N****I </t>
  </si>
  <si>
    <t xml:space="preserve">NVENC is a dedicated encoder chip on recent Nvidia GPUs only.On the 4000 series, the e? </t>
  </si>
  <si>
    <t xml:space="preserve">NW London, UK </t>
  </si>
  <si>
    <t xml:space="preserve">How to fix Hogwarts Legacy Crashing &amp;amp; Not Launching All Errors &amp;amp; Crashes FIX ? </t>
  </si>
  <si>
    <t xml:space="preserve">_****3 </t>
  </si>
  <si>
    <t xml:space="preserve">Scotland, UK </t>
  </si>
  <si>
    <t xml:space="preserve">[US] asus 4070ti tuf (New) for ?$849??ATC: ?Link: ??Feb 10, 4:59 PM ET </t>
  </si>
  <si>
    <t xml:space="preserve">$NVDA Nvidia looking vulnerable here with price slipping below the 8 EMA + channel support... ? </t>
  </si>
  <si>
    <t xml:space="preserve">M****r </t>
  </si>
  <si>
    <t xml:space="preserve">Analysts positive on NVIDIA's ChatGPT, AI opportunity By </t>
  </si>
  <si>
    <t xml:space="preserve">AAL2474B738N339PLa3b88e Photo Crop Confidence Score:? </t>
  </si>
  <si>
    <t xml:space="preserve">$11,729.00 Tarjeta de Video Gigabyte NVIDIA GeForce RTX 3070 Eagle OC, 8GB 256-bit GDDR6, PCI Express x16 4.0 ?? </t>
  </si>
  <si>
    <t xml:space="preserve">Nvidia already messed with "Geoforce? </t>
  </si>
  <si>
    <t xml:space="preserve">F****1 </t>
  </si>
  <si>
    <t xml:space="preserve">How the largest stocks have performed so far today $AAPL +1.4% Microsoft $MSFT -0.5? </t>
  </si>
  <si>
    <t xml:space="preserve">X****9 </t>
  </si>
  <si>
    <t xml:space="preserve">NVIDIA GeForce RTX 40 GPUs Too See Limited Supply This Quarter, RTX 4080 Price Cut Imminent </t>
  </si>
  <si>
    <t xml:space="preserve">EJA910C68AN910QSac981a Photo Crop Confidence Score: 0? </t>
  </si>
  <si>
    <t xml:space="preserve">ENY3717E75LN208ANa1afc8 Photo Crop Confidence Score:? </t>
  </si>
  <si>
    <t xml:space="preserve">LG 27 Inch Ultragear? OLEDGaming Monitor 1440p PS5 PCBest Buy $999.99 ? </t>
  </si>
  <si>
    <t xml:space="preserve">AAL2951A21NN427ANa515ad Photo Crop Confidence Score:? </t>
  </si>
  <si>
    <t xml:space="preserve">AAL2825A21NN401ANa4b065 Photo Crop Confidence Score:? </t>
  </si>
  <si>
    <t xml:space="preserve">*cries in nvidia shadowplay mic quality* </t>
  </si>
  <si>
    <t xml:space="preserve">He/Him </t>
  </si>
  <si>
    <t xml:space="preserve">J.P. Morgan Predicts Increase in Chip Stocks for Nvidia, Broadcom, and Marvell Due to AI Arms Race </t>
  </si>
  <si>
    <t xml:space="preserve">g****o </t>
  </si>
  <si>
    <t xml:space="preserve">AAL1984A319N824AWab3fcc Photo Crop Confidence Score:? </t>
  </si>
  <si>
    <t xml:space="preserve">AI Arms Race Will Lift Chip Stocks Nvidia, Broadcom, and Marvell, Says J.P. Morgan $NVDA $AVGO $MRVL $GOOG $MSFT </t>
  </si>
  <si>
    <t xml:space="preserve">n****o </t>
  </si>
  <si>
    <t xml:space="preserve">they need to stop this bs and release something. i mean if apple can produce something like the M1 or M2 th? </t>
  </si>
  <si>
    <t xml:space="preserve">AAL1332A320N673AWa8e6f2 Photo Crop Confidence Score:? </t>
  </si>
  <si>
    <t xml:space="preserve">IN STOCK ALERT - DE ??PNY GeForce RTX 4090 24GB XLR8 Gaming Verto Epic-X RGB Triple Fan Overclocked Graphics C? </t>
  </si>
  <si>
    <t xml:space="preserve">[$508.54]Asus NVIDIA GeForce RTX 3060 Ti Graphic Card - 8 GB GDDR6 : ebay Listing? </t>
  </si>
  <si>
    <t xml:space="preserve">The next Switch will be using a brand new SOC and not an off the shelf one that wa? </t>
  </si>
  <si>
    <t xml:space="preserve">k****o </t>
  </si>
  <si>
    <t xml:space="preserve">Winter Springs </t>
  </si>
  <si>
    <t xml:space="preserve">The glass, yeah but the others, not really. Nvidia had GeForce now before google came out with? </t>
  </si>
  <si>
    <t xml:space="preserve">i****h </t>
  </si>
  <si>
    <t xml:space="preserve">Bears desperate to exit their puts.Good reason for a short squeeze today. $NVDA. ????NVIDIA (NVDA) PT Ra? </t>
  </si>
  <si>
    <t xml:space="preserve">r****r </t>
  </si>
  <si>
    <t xml:space="preserve">Dall-E, ChatGPT ja Nvidia Canvas </t>
  </si>
  <si>
    <t xml:space="preserve">T****k </t>
  </si>
  <si>
    <t xml:space="preserve">What nvidia driver are you on? </t>
  </si>
  <si>
    <t xml:space="preserve">m****r </t>
  </si>
  <si>
    <t xml:space="preserve">The Netherlands </t>
  </si>
  <si>
    <t xml:space="preserve">AAL554A21NN440ANa54aaa Photo Crop Confidence Score: 0? </t>
  </si>
  <si>
    <t xml:space="preserve">ZOTAC GEFORCE RTX 4090 AMP TRINITY OC now in stock at Amazon for $1777.39. </t>
  </si>
  <si>
    <t xml:space="preserve">Anvil, embedded system featuring NVIDIA Jetson AGX Orin. A supercomputer for next generation auton? </t>
  </si>
  <si>
    <t xml:space="preserve">Pittsboro, NC </t>
  </si>
  <si>
    <t xml:space="preserve">ill post the render i did lastnight in 16k later due to file size, when i did it i tested to see if i could be in N? </t>
  </si>
  <si>
    <t xml:space="preserve">K****r </t>
  </si>
  <si>
    <t xml:space="preserve">Aincrad </t>
  </si>
  <si>
    <t xml:space="preserve">DAL9960A321N305DNa3323d Photo Crop Confidence Score:? </t>
  </si>
  <si>
    <t xml:space="preserve">Forgive me I?ve not kept up to date with the tech for a while, I know Nvenec is N? </t>
  </si>
  <si>
    <t xml:space="preserve">R****6 </t>
  </si>
  <si>
    <t xml:space="preserve">East Midlands, England </t>
  </si>
  <si>
    <t xml:space="preserve">Even Nvidia Bulls See Little Upside for Stock After AI Mania </t>
  </si>
  <si>
    <t xml:space="preserve">New York City </t>
  </si>
  <si>
    <t xml:space="preserve">AAL2634B738N925NNacd1f6 Photo Crop Confidence Score:? </t>
  </si>
  <si>
    <t xml:space="preserve">IN STOCK ALERT ??ASUS ROG Strix NVIDIA GeForce RTX 4070 Ti Gaming Graphics Card (PCIe 4.0, 12GB GDDR6X, HD is? </t>
  </si>
  <si>
    <t xml:space="preserve">AAL2338A320N657AWa8a6d0 Photo Crop Confidence Score:? </t>
  </si>
  <si>
    <t xml:space="preserve">MSI GeForce RTX 4090 SUPRIM X (NVIDIA, Grafikka...Stock changed from "NONE" to "IN_? </t>
  </si>
  <si>
    <t xml:space="preserve">[US] rtx 4090 GeForce RTX 409 for ?$1689? ?Link: ??Feb 10, 4:42 PM ET </t>
  </si>
  <si>
    <t xml:space="preserve">AAL2584A319N810AWab0971 Photo Crop Confidence Score:? </t>
  </si>
  <si>
    <t xml:space="preserve">[US] asus 4070ti tuf (New) for ?$849??ATC: ?Link: ??Feb 10, 4:42 PM ET </t>
  </si>
  <si>
    <t xml:space="preserve">Pretty much a problem with NVIDIA cutting corners with limited VRAM. Runs pretty damn go? </t>
  </si>
  <si>
    <t xml:space="preserve">U****o </t>
  </si>
  <si>
    <t xml:space="preserve">So, the only platform that supports AMD and Intel GPUs is Linux, but it seemingly might not even build. I found a p? </t>
  </si>
  <si>
    <t xml:space="preserve">h****3 </t>
  </si>
  <si>
    <t xml:space="preserve">Tokyo-to, Japan </t>
  </si>
  <si>
    <t xml:space="preserve">American ?? Open box ASUS ROG G1416gb ram1 tb SSD Ryzen 9-5000 series 11th genBacklit keyboard 6gb Nvidia d? </t>
  </si>
  <si>
    <t xml:space="preserve">g****y </t>
  </si>
  <si>
    <t xml:space="preserve">Lagos, Nigeria </t>
  </si>
  <si>
    <t xml:space="preserve">AAY1595A320N277NVa2c1bd Photo Crop Confidence Score:? </t>
  </si>
  <si>
    <t xml:space="preserve">You've got a nvidia card, right? Shadow play does a really good job and barely effectives CPU/GPU perfo? </t>
  </si>
  <si>
    <t xml:space="preserve">H****k </t>
  </si>
  <si>
    <t xml:space="preserve">IN STOCK ALERT ??MSI Gaming GeForce RTX 4090 24GB GDRR6X 384-Bit HDMI/DP Nvlink Tri-Frozr 3 Ada Lovelace Ar is? </t>
  </si>
  <si>
    <t xml:space="preserve">SWA2330B737N784SWaaa107 Photo Crop Confidence Score:? </t>
  </si>
  <si>
    <t xml:space="preserve">A well spent day: the Nvidia Deep Learning course runs very smoothly on their cloud, but I was able to reproduce th? </t>
  </si>
  <si>
    <t xml:space="preserve">p****l </t>
  </si>
  <si>
    <t xml:space="preserve">Nvidia Shield TV review (2017): Nvidia announces a new Shield TV.... </t>
  </si>
  <si>
    <t xml:space="preserve">b****2 </t>
  </si>
  <si>
    <t xml:space="preserve">Tucson, AZ </t>
  </si>
  <si>
    <t xml:space="preserve">SWA596B38MN8777Qac13b3 Photo Crop Confidence Score: 0? </t>
  </si>
  <si>
    <t xml:space="preserve">To be honest it really looks like North Korea has gone all in this time &amp;amp; purchased high level Nvidia cards </t>
  </si>
  <si>
    <t xml:space="preserve">M****n </t>
  </si>
  <si>
    <t xml:space="preserve">SWA3040B738N8569Zabc14d Photo Crop Confidence Score:? </t>
  </si>
  <si>
    <t xml:space="preserve">The issue aligns with the fact that GPU drivers haven't released yet for the game which is pretty? </t>
  </si>
  <si>
    <t xml:space="preserve">Nvidia is the most juicy short in the market. It's just a question of when. Love the company. </t>
  </si>
  <si>
    <t xml:space="preserve">M****5 </t>
  </si>
  <si>
    <t xml:space="preserve">AI is probably the best option now that it's already digitized, but if you still have the tapes? </t>
  </si>
  <si>
    <t xml:space="preserve">K****t </t>
  </si>
  <si>
    <t xml:space="preserve">Paris ?? NYC ?? The Internet </t>
  </si>
  <si>
    <t xml:space="preserve">NVIDIA GeForce RTX 40 GPUs Too See Limited Supply This Quarter, RTX 4080 Rumored Price Cut Imminent </t>
  </si>
  <si>
    <t xml:space="preserve">And and that keep the picture clear. And even though I paid too much (thanks scalpers) and? </t>
  </si>
  <si>
    <t xml:space="preserve">A****e </t>
  </si>
  <si>
    <t xml:space="preserve">College Station </t>
  </si>
  <si>
    <t xml:space="preserve">I prefer Nvidia myself, but to be fair, my AMD cards worked flawlessly.? </t>
  </si>
  <si>
    <t xml:space="preserve">T****z </t>
  </si>
  <si>
    <t xml:space="preserve">Catch the of our weekly where we discussed the latest and mobile? </t>
  </si>
  <si>
    <t xml:space="preserve">H****e </t>
  </si>
  <si>
    <t xml:space="preserve">Boston, MA </t>
  </si>
  <si>
    <t xml:space="preserve">[US] asus 4070ti tuf (New) for ?$849??ATC: ?Link: ??Feb 10, 4:26 PM ET </t>
  </si>
  <si>
    <t xml:space="preserve">NVIDIA GeForce Now Ultimate hands-on: The enthusiast's choice for cloud gaming: copy:? </t>
  </si>
  <si>
    <t xml:space="preserve">S****y </t>
  </si>
  <si>
    <t xml:space="preserve">Alpharetta, GA </t>
  </si>
  <si>
    <t xml:space="preserve">SWA910B737N247WNa24c01 Photo Crop Confidence Score: 0? </t>
  </si>
  <si>
    <t xml:space="preserve">Even Nvidia Bulls See Little Upside for Stock After AI Mania via </t>
  </si>
  <si>
    <t xml:space="preserve">P****e </t>
  </si>
  <si>
    <t xml:space="preserve">Montreal, Canada </t>
  </si>
  <si>
    <t xml:space="preserve">Sasa? you can clearly see a huge bottleneck on Nvidia GPUs here, of cours the Radeon dri? </t>
  </si>
  <si>
    <t xml:space="preserve">W****B </t>
  </si>
  <si>
    <t xml:space="preserve">Why Nvidia don't mention anywhere that this driver contains optimizations for Hogwarts Legacy? It c? </t>
  </si>
  <si>
    <t xml:space="preserve">C****7 </t>
  </si>
  <si>
    <t xml:space="preserve">Portugal </t>
  </si>
  <si>
    <t xml:space="preserve">Tesla, NVIDIA make the list of Wall Street?s top performing large-cap names so far in 2023 </t>
  </si>
  <si>
    <t xml:space="preserve">She answered she is using an Nvidia RTX graphic card already meaning it?s de? </t>
  </si>
  <si>
    <t xml:space="preserve">m****h </t>
  </si>
  <si>
    <t xml:space="preserve">OAU, Ile-Ife </t>
  </si>
  <si>
    <t xml:space="preserve">I just received a contribution towards The Great North - Designer - CPU: Ryzen 9 5900x | GPU: Nvidia RTX 4070 Ti |? </t>
  </si>
  <si>
    <t xml:space="preserve">S****T </t>
  </si>
  <si>
    <t xml:space="preserve">I: </t>
  </si>
  <si>
    <t xml:space="preserve">(BLOOMBERG) Even Nvidia $NVDA Bulls See Little Upside for Stock After Mania ? </t>
  </si>
  <si>
    <t xml:space="preserve">V****h </t>
  </si>
  <si>
    <t xml:space="preserve">Happening now :) join us to hear examples of real-world use cases and walk away with knowledge on how to get starte? </t>
  </si>
  <si>
    <t xml:space="preserve">Lenovo Legion 5i Pro 16" WQXGA Gaming Laptop NVIDIA GeForce RTX 3050 i7-11800H 16GB Ram 512GB SSD W11H, Ebay, 8% of? </t>
  </si>
  <si>
    <t xml:space="preserve">A****2 </t>
  </si>
  <si>
    <t xml:space="preserve">A****l </t>
  </si>
  <si>
    <t xml:space="preserve">Even after the Nvidia driver update yesterday? </t>
  </si>
  <si>
    <t xml:space="preserve">E****y </t>
  </si>
  <si>
    <t xml:space="preserve">I mean it could with DLSS nVidia will say... </t>
  </si>
  <si>
    <t xml:space="preserve">V****o </t>
  </si>
  <si>
    <t xml:space="preserve">Manchester, England </t>
  </si>
  <si>
    <t xml:space="preserve">For 16 gigs plus you need to get an Nvidia Rtx 4090...Are you running an Nvidia card or Amd ? </t>
  </si>
  <si>
    <t xml:space="preserve">D****M </t>
  </si>
  <si>
    <t xml:space="preserve">Mombasa </t>
  </si>
  <si>
    <t xml:space="preserve">Join us at to learn how is revolutionizing development, featuring NVIDIA?s Sarah Tariq, Sa? </t>
  </si>
  <si>
    <t xml:space="preserve">Nvidia Rtx? The Card? </t>
  </si>
  <si>
    <t xml:space="preserve">Microsoft and NVIDIA experts talk AI infrastructure </t>
  </si>
  <si>
    <t xml:space="preserve">$COIN $TSLA $NVDA NEW ARTICLE : Tesla, NVIDIA make the list of Wall Street?s top performing large-cap names so far? </t>
  </si>
  <si>
    <t xml:space="preserve">S****o </t>
  </si>
  <si>
    <t xml:space="preserve">It also seems to be an issue mostly? </t>
  </si>
  <si>
    <t xml:space="preserve">K****P </t>
  </si>
  <si>
    <t xml:space="preserve">SWA2285B737N226WNa1f94c Photo Crop Confidence Score:? </t>
  </si>
  <si>
    <t xml:space="preserve">ChatGPT and GPT-3 have taken over the internet, but did you know about these biggest competitors??1. Megatron-Tur? </t>
  </si>
  <si>
    <t xml:space="preserve">T****I </t>
  </si>
  <si>
    <t xml:space="preserve">Newsletter ? </t>
  </si>
  <si>
    <t xml:space="preserve">GIGABYTE GEFORCE RTX 4080 16 GB AORUS MASTER now in stock at Amazon for $1349.99. </t>
  </si>
  <si>
    <t xml:space="preserve">AAL2176B738N982NNadb3cb Photo Crop Confidence Score:? </t>
  </si>
  <si>
    <t xml:space="preserve">Future CEO of Nvidia just tweeted guys </t>
  </si>
  <si>
    <t xml:space="preserve">p****r </t>
  </si>
  <si>
    <t xml:space="preserve">Southern California </t>
  </si>
  <si>
    <t xml:space="preserve">ZOTAC GEFORCE RTX 4080 16 GB TRINITY OC now in stock at Amazon for $1227.75. </t>
  </si>
  <si>
    <t xml:space="preserve">New baby arrived?! Time to heat the room playing games and running some DL models. ? </t>
  </si>
  <si>
    <t xml:space="preserve">G****1 </t>
  </si>
  <si>
    <t xml:space="preserve">Curitiba / Brazil </t>
  </si>
  <si>
    <t xml:space="preserve">$NVDA $RCL $ALGN - Tesla, NVIDIA make the list of Wall Street?s top performing large-cap names so far in 2023 </t>
  </si>
  <si>
    <t xml:space="preserve">New York </t>
  </si>
  <si>
    <t xml:space="preserve">Agree, there's no short-term upside left in $NVDA. It's up 100% in 4 months, so no need! Except for those who sold? </t>
  </si>
  <si>
    <t xml:space="preserve">Central Florida, USA </t>
  </si>
  <si>
    <t xml:space="preserve">cool </t>
  </si>
  <si>
    <t xml:space="preserve">a****u </t>
  </si>
  <si>
    <t xml:space="preserve">Weirdly enough, I unistalled GeForce Experience. Prior to that, I didn?t even have the overlay from it? </t>
  </si>
  <si>
    <t xml:space="preserve">G****o </t>
  </si>
  <si>
    <t xml:space="preserve">gym </t>
  </si>
  <si>
    <t xml:space="preserve">I would start with disabling any programs that may be instituting an OC on your GPU (Afterburner, Precixe? </t>
  </si>
  <si>
    <t xml:space="preserve">J****s </t>
  </si>
  <si>
    <t xml:space="preserve">PNW </t>
  </si>
  <si>
    <t xml:space="preserve">Nvidia insider sell off never means bullish. $COIN CEO messed me up, but covered calls take the sting out. </t>
  </si>
  <si>
    <t xml:space="preserve">FFT754A20NN311FRa34b15 Photo Crop Confidence Score: 0? </t>
  </si>
  <si>
    <t xml:space="preserve">Here Is Why New AI Tools Like OpenAI's ChatGPT Are Great News for Nvidia and Other Chip Stocks? </t>
  </si>
  <si>
    <t xml:space="preserve">f****k </t>
  </si>
  <si>
    <t xml:space="preserve">US </t>
  </si>
  <si>
    <t xml:space="preserve">SWA2873B737N7875Aaaad8f Photo Crop Confidence Score:? </t>
  </si>
  <si>
    <t xml:space="preserve">[US] asus 4070ti tuf (New) for ?$849??ATC: ?Link: ??Feb 10, 4:09 PM ET </t>
  </si>
  <si>
    <t xml:space="preserve">Can i do that with my nvidia 980 ??!! </t>
  </si>
  <si>
    <t xml:space="preserve">d****7 </t>
  </si>
  <si>
    <t xml:space="preserve">Los Cabos, Baja California Sur </t>
  </si>
  <si>
    <t xml:space="preserve">SWA1439B737N488WNa60852 Photo Crop Confidence Score:? </t>
  </si>
  <si>
    <t xml:space="preserve">HP PROBOOK 450 8TH GEN?WITH DEDICATED NVIDIA GRAPHICS?INTEL CORE I5?STORAGE 16GB RAM/256GB SSD +1TB HDD?SPEED? </t>
  </si>
  <si>
    <t xml:space="preserve">E****1 </t>
  </si>
  <si>
    <t xml:space="preserve">baraka shopping mall </t>
  </si>
  <si>
    <t xml:space="preserve">Nvidia released a driver update to fix some issues. </t>
  </si>
  <si>
    <t xml:space="preserve">Generative AI??: text-to-image? DALL·E 2 (OpenAI) ? Stable Diffusion? Neural .love? Midjourney? Nightcafe?? </t>
  </si>
  <si>
    <t xml:space="preserve">4****m </t>
  </si>
  <si>
    <t xml:space="preserve">The biggest concerns I have of Nintendo's next gen hardware is that they may try to reinvent the wh? </t>
  </si>
  <si>
    <t xml:space="preserve">G****l </t>
  </si>
  <si>
    <t xml:space="preserve">Xbox, PC &amp; Oculus - S Indiana </t>
  </si>
  <si>
    <t xml:space="preserve">Flow Grid Update $NVDA Shares ?4.36% to $213.64 ? </t>
  </si>
  <si>
    <t xml:space="preserve">O****l </t>
  </si>
  <si>
    <t xml:space="preserve">[$499.99]ASUS Dual NVIDIA GeForce RTX 3060 Ti 8GB V2 OC Edition GDDR6 : Walmart Ch? </t>
  </si>
  <si>
    <t xml:space="preserve">SWA1305B737N215WNa1ce16 Photo Crop Confidence Score:? </t>
  </si>
  <si>
    <t xml:space="preserve">Best Buy [$1749.99]: MSI - NVIDIA GeForce RTX 4090 SUPRIM LIQUID X 24G 24GB? 40 at B? </t>
  </si>
  <si>
    <t xml:space="preserve">Will Nvidia GeForce Now add games like Hi-Fi Rush? </t>
  </si>
  <si>
    <t xml:space="preserve">c****d </t>
  </si>
  <si>
    <t xml:space="preserve">2023 could be the year for Arm to go public! Will its valuation exceed $40 billion, the amount offered by NVIDIA? </t>
  </si>
  <si>
    <t xml:space="preserve">_****o </t>
  </si>
  <si>
    <t xml:space="preserve">$11,969.00 Tarjeta de Video Gigabyte NVIDIA GeForce RTX 3070 Eagle OC, 8GB 256-bit GDDR6, PCI Express x16 4.0 ?? </t>
  </si>
  <si>
    <t xml:space="preserve">AAL2888A320N107USa02088 Photo Crop Confidence Score:? </t>
  </si>
  <si>
    <t xml:space="preserve">Shit I have an EVGA GTX 580! Man those were the days, that thing wont run anything within the last 10 years i? </t>
  </si>
  <si>
    <t xml:space="preserve">D****g </t>
  </si>
  <si>
    <t xml:space="preserve">Asquith SK </t>
  </si>
  <si>
    <t xml:space="preserve">Been using an old X79 system paired with a GTX 1080 while my main rig is out of commission. To be honest, I think I? </t>
  </si>
  <si>
    <t xml:space="preserve">Overland Park, KS </t>
  </si>
  <si>
    <t xml:space="preserve">Weekly Jetson Project: Learn how this quadrotor drone flies with only three rotors using onboard vision sensors and? </t>
  </si>
  <si>
    <t xml:space="preserve">g****t </t>
  </si>
  <si>
    <t xml:space="preserve">ASA637B738N597ASa7b779 Photo Crop Confidence Score: 0? </t>
  </si>
  <si>
    <t xml:space="preserve">Same here, you can't go wrong with $RNDR + Apple + Nvidia + AI. Cheers RNDRer! </t>
  </si>
  <si>
    <t xml:space="preserve">I****a </t>
  </si>
  <si>
    <t xml:space="preserve">O A S I S </t>
  </si>
  <si>
    <t xml:space="preserve">Snow Runner live stream </t>
  </si>
  <si>
    <t xml:space="preserve">G****7 </t>
  </si>
  <si>
    <t xml:space="preserve">Extreme immaturity and sadistic !!!With in last 12 months:- Amazon lost $756.7B. - Alphabet shed $689.7B- Met? </t>
  </si>
  <si>
    <t xml:space="preserve">Delhi </t>
  </si>
  <si>
    <t xml:space="preserve">SWA1698B738N8536Zabb5bf Photo Crop Confidence Score:? </t>
  </si>
  <si>
    <t xml:space="preserve">$RNDR ? NVIDIA$RNDR will lead crypto into the AI bullrun ???? $sol $eth $matic $apt $agix $vra $fet? </t>
  </si>
  <si>
    <t xml:space="preserve">SWA1925B738N8308Kab5bd4 Photo Crop Confidence Score:? </t>
  </si>
  <si>
    <t xml:space="preserve">SWA2213B738N8640Dabe00f Photo Crop Confidence Score:? </t>
  </si>
  <si>
    <t xml:space="preserve">[US] asus 4070ti tuf (New) for ?$849??ATC: ?Link: ??Feb 10, 3:53 PM ET </t>
  </si>
  <si>
    <t xml:space="preserve">AAL2748A321N988ALadc8e7 Photo Crop Confidence Score:? </t>
  </si>
  <si>
    <t xml:space="preserve">[$335.91]TUF NVIDIA GeForce GTX 1660 SUPER Graphic Card - 6 GB GDDR6: ebay ListingReason: Sold by? </t>
  </si>
  <si>
    <t xml:space="preserve">I would do a fresh install of the driver if you haven't already with DDU (Display Driver U? </t>
  </si>
  <si>
    <t xml:space="preserve">SWA1941B738N8545Vabb94f Photo Crop Confidence Score:? </t>
  </si>
  <si>
    <t xml:space="preserve">Made 52% on Nvidia. Moved some gains to NIO today. Added 100 shares ? </t>
  </si>
  <si>
    <t xml:space="preserve">C****d </t>
  </si>
  <si>
    <t xml:space="preserve">EJA122GL5TN122QSa05c8f Photo Crop Confidence Score: 0? </t>
  </si>
  <si>
    <t xml:space="preserve">4% di sconto Precision T1700 WorkStation PC CAD Desktop i7 4770 16GB RAM 480GB SSD + 500GB HD? </t>
  </si>
  <si>
    <t xml:space="preserve">o****3 </t>
  </si>
  <si>
    <t xml:space="preserve">You do know that neither console runs on Nvidia hardware rightboth are AMD RDNA 2 </t>
  </si>
  <si>
    <t xml:space="preserve">C****g </t>
  </si>
  <si>
    <t xml:space="preserve">The age of the 'AMD drivers bad' meme is finally over, now it's the Nvidia drivers that suck </t>
  </si>
  <si>
    <t xml:space="preserve">Unknown </t>
  </si>
  <si>
    <t xml:space="preserve">The Nvidia driver? Yeah it?s made it worse </t>
  </si>
  <si>
    <t xml:space="preserve">W****g </t>
  </si>
  <si>
    <t xml:space="preserve">England, United Kingdom </t>
  </si>
  <si>
    <t xml:space="preserve">SWA2600B737N7741Caa7a61 Photo Crop Confidence Score:? </t>
  </si>
  <si>
    <t xml:space="preserve">You can't see me: Adversarial Images for John Cena Classification"John Cena, NvidiaIn this paper, we e? </t>
  </si>
  <si>
    <t xml:space="preserve">Amazon?.it: GeForce RTX 3060 VENTUS 2X 12G OC - Scheda Video gaming Nvidia? ?386.98 as o? </t>
  </si>
  <si>
    <t xml:space="preserve">The big companies to watch out for in 2023,1?? ?? ?? ?? ?? ??? </t>
  </si>
  <si>
    <t xml:space="preserve">Chennai, India </t>
  </si>
  <si>
    <t xml:space="preserve">Where they favored all high-end Nvidia gpus, i think there.. </t>
  </si>
  <si>
    <t xml:space="preserve">f****5 </t>
  </si>
  <si>
    <t xml:space="preserve">$36,389.00 Tarjeta de Video Zotac NVIDIA GeForce RTX 4090 Gaming AMP Extreme AIRO, 24GB 384-bit GDDR6X, PCI Exp? </t>
  </si>
  <si>
    <t xml:space="preserve">[$254.13]MSI NVIDIA GeForce GTX 1650 Graphic Card - 4 GB GDDR6: ebay ListingReason: Sold by anton? </t>
  </si>
  <si>
    <t xml:space="preserve">[PATCH v3 1/2] Support NVIDIA BlueField-3 GPIO controller </t>
  </si>
  <si>
    <t xml:space="preserve">l****l </t>
  </si>
  <si>
    <t xml:space="preserve">Dominating the world </t>
  </si>
  <si>
    <t xml:space="preserve">UAL1382B739N68842a923ee Photo Crop Confidence Score:? </t>
  </si>
  <si>
    <t xml:space="preserve">NVIDIA W(UPD): Into 1st Res. ? </t>
  </si>
  <si>
    <t xml:space="preserve">s****l </t>
  </si>
  <si>
    <t xml:space="preserve">India </t>
  </si>
  <si>
    <t xml:space="preserve">TOP 5 stocks so far in 20231. Tesla $TSLA +75.1%?2. Coinbase $COIN +64.1%?3. Nvidia $NVDA +50.65%?4. Spotify? </t>
  </si>
  <si>
    <t xml:space="preserve">e****l </t>
  </si>
  <si>
    <t xml:space="preserve">Will you guys release the day 1 patch today?Pc performance its realy bad, even with high end pcs.? </t>
  </si>
  <si>
    <t xml:space="preserve">l****z </t>
  </si>
  <si>
    <t xml:space="preserve">That makes sense, but probably the 6650XT L3 cache is alleviating the VRAM limitation. I? </t>
  </si>
  <si>
    <t xml:space="preserve">j****l </t>
  </si>
  <si>
    <t xml:space="preserve">Sao Paulo, Brazil </t>
  </si>
  <si>
    <t xml:space="preserve">Yeah 10GB 3080 being good long term 4k was ALWAYS going to be copium.I think while it was mainstream N? </t>
  </si>
  <si>
    <t xml:space="preserve">SWA1377B737N770SAaa6a98 Photo Crop Confidence Score:? </t>
  </si>
  <si>
    <t xml:space="preserve">Yeah you can go for rtx 4070ti. Nvidia is greedy but you will get hell of a perf? </t>
  </si>
  <si>
    <t xml:space="preserve">K****1 </t>
  </si>
  <si>
    <t xml:space="preserve">Orissa, India </t>
  </si>
  <si>
    <t xml:space="preserve">AAL2266A21NN425ANa50e3f Photo Crop Confidence Score:? </t>
  </si>
  <si>
    <t xml:space="preserve">The enemy is after your mind. Out to worry you to death, out to stress you to death?out to make you quit!?WE AR? </t>
  </si>
  <si>
    <t xml:space="preserve">Cleveland, OH </t>
  </si>
  <si>
    <t xml:space="preserve">AAL413A321N567UWa742c2 Photo Crop Confidence Score: 0? </t>
  </si>
  <si>
    <t xml:space="preserve">[US] asus 4070ti tuf (New) for ?$849??ATC: ?Link: ??Feb 10, 3:35 PM ET </t>
  </si>
  <si>
    <t xml:space="preserve">SWA2903B738N8543Zabb90d Photo Crop Confidence Score:? </t>
  </si>
  <si>
    <t xml:space="preserve">Accept that your first 20 shows will likely suck, but get those reps under your belt? Use A.I to? </t>
  </si>
  <si>
    <t xml:space="preserve">d****e </t>
  </si>
  <si>
    <t xml:space="preserve">JAS59GLF4N59APa79b1c Photo Crop Confidence Score: 0.876? </t>
  </si>
  <si>
    <t xml:space="preserve">SWA717B737N7735Aaa7734 Photo Crop Confidence Score: 0? </t>
  </si>
  <si>
    <t xml:space="preserve">specs : ? Merk &amp;amp; Tipe : ASUS A422U? Processor : Intel Core i7-7500U? Ukuran Layar : 14?? Resolusi Layar: 1920? </t>
  </si>
  <si>
    <t xml:space="preserve">h****a </t>
  </si>
  <si>
    <t xml:space="preserve">ABX505B763N760CKaa41c4 Photo Crop Confidence Score: 0? </t>
  </si>
  <si>
    <t xml:space="preserve">Looking for a low-light camera to power your embedded vision application?e-con Systems' e-CAM82_CUOAGX makes it e? </t>
  </si>
  <si>
    <t xml:space="preserve">e****s </t>
  </si>
  <si>
    <t xml:space="preserve">SWA371B738N8510Eabad6c Photo Crop Confidence Score: 0? </t>
  </si>
  <si>
    <t xml:space="preserve">Even Nvidia Bulls See Little Upside for Stock After AI Mania </t>
  </si>
  <si>
    <t xml:space="preserve">SWA1778B738N8329Bab635d Photo Crop Confidence Score:? </t>
  </si>
  <si>
    <t xml:space="preserve">Founders Edition (FR): NVIDIA GEFORCE RTX 4080 ?1399 as of (2/10/2023, 3:28:29 PM GMT) </t>
  </si>
  <si>
    <t xml:space="preserve">Founders Edition (IT): NVIDIA GEFORCE RTX 4080 ?1399 as of (2/10/2023, 3:28:29 PM GMT) </t>
  </si>
  <si>
    <t xml:space="preserve">Founders Edition (ES): NVIDIA GEFORCE RTX 4080 ?1399 as of (2/10/2023, 3:28:29 PM GMT) </t>
  </si>
  <si>
    <t xml:space="preserve">If the high system RAM is why I think it is I?m disappointed. Resizable BAR should largely fix the need to cache mo? </t>
  </si>
  <si>
    <t xml:space="preserve">n****r </t>
  </si>
  <si>
    <t xml:space="preserve">Asheville, NC </t>
  </si>
  <si>
    <t xml:space="preserve">Getting things ready for that wizard stream. Be live in an hour.Hogwarts Legacy has been great so far! Great care? </t>
  </si>
  <si>
    <t xml:space="preserve">This driver is not game ready for hogwarts legacy - checked with nvidia profiler there is no profil? </t>
  </si>
  <si>
    <t xml:space="preserve">c****5 </t>
  </si>
  <si>
    <t xml:space="preserve">Juggling CUDA, Nvidia driver, CuDNN, Nvidia runtime, pytorch and tensorflow alo? </t>
  </si>
  <si>
    <t xml:space="preserve">m****u </t>
  </si>
  <si>
    <t xml:space="preserve">Pajeet Land </t>
  </si>
  <si>
    <t xml:space="preserve">&amp;gt;update nvidia drivers&amp;gt;all my games run extremely slow now&amp;gt;can't even play shit like OverwatchGREAT UPDATE GUYS? </t>
  </si>
  <si>
    <t xml:space="preserve">L****1 </t>
  </si>
  <si>
    <t xml:space="preserve">SWA2131B38MN8734Qac046e Photo Crop Confidence Score:? </t>
  </si>
  <si>
    <t xml:space="preserve">AAL1261A321N544UWa6e89f Photo Crop Confidence Score:? </t>
  </si>
  <si>
    <t xml:space="preserve">R****d </t>
  </si>
  <si>
    <t xml:space="preserve">Miami Beach, FL </t>
  </si>
  <si>
    <t xml:space="preserve">[BLOOMBERG]: The market frenzy around AI has lifted Nvidia?s stock so much that even many bullish analysts don?t se? </t>
  </si>
  <si>
    <t xml:space="preserve">b****o </t>
  </si>
  <si>
    <t xml:space="preserve">OFFERTONA? Amazon ??Acer Swift X SFX14-41G-R5VA PC Portatile, Notebook, Processore AMD Ryzen 7 5700U, RAM 8 GB? </t>
  </si>
  <si>
    <t xml:space="preserve">[US] asus 4070ti tuf (New) for ?$849??ATC: ?Link: ??Feb 10, 3:19 PM ET </t>
  </si>
  <si>
    <t xml:space="preserve">SWQ1914B738N916SCacae88 Photo Crop Confidence Score:? </t>
  </si>
  <si>
    <t xml:space="preserve">UAL2207B739N75426aa2ba2 Photo Crop Confidence Score:? </t>
  </si>
  <si>
    <t xml:space="preserve">Amazon?.de: Zotac Grafikkarte Nvidia GeForce RTX 3060 Ti 8 GB Twin Edge OC LHR 8 GB Gaming GEFORCE, Schwarz?? </t>
  </si>
  <si>
    <t xml:space="preserve">$27,179.00 Tarjeta de Video PNY NVIDIA GeForce RTX 4080 16GB Uprising Triple Fan, 16GB 256-bit GDDR6X, PCI Expr? </t>
  </si>
  <si>
    <t xml:space="preserve">Did Nvidia drop an update today? I have been looking forward to? </t>
  </si>
  <si>
    <t xml:space="preserve">P****U </t>
  </si>
  <si>
    <t xml:space="preserve">Nvidia is one of the OG in this Industry I'd say </t>
  </si>
  <si>
    <t xml:space="preserve">o****o </t>
  </si>
  <si>
    <t xml:space="preserve">Agree. Simulations nodes and all new directions and features announce during the last conference are goin? </t>
  </si>
  <si>
    <t xml:space="preserve">p****v </t>
  </si>
  <si>
    <t xml:space="preserve">DLSS 3 has very little to do with 2 (thanks Nvidia), other than an FPS incrase. DLSS 2 is? </t>
  </si>
  <si>
    <t xml:space="preserve">j****t </t>
  </si>
  <si>
    <t xml:space="preserve">From this week's issue: A blog post that covers the training of a two-tower neural network to solve the cold start? </t>
  </si>
  <si>
    <t xml:space="preserve">d****y </t>
  </si>
  <si>
    <t xml:space="preserve">EJA513C68AN513QSa66e03 Photo Crop Confidence Score: 0? </t>
  </si>
  <si>
    <t xml:space="preserve">Asus ROG Zephyrus 1611th gen Core I916gb ram6gb Nvidia RTX 306016 inch UHD screen Condition: Brand New ( Seal? </t>
  </si>
  <si>
    <t xml:space="preserve">j****1 </t>
  </si>
  <si>
    <t xml:space="preserve">Akure, Nigeria </t>
  </si>
  <si>
    <t xml:space="preserve">This NVIDIA update has nothing to do with Hogwarts. Where is the real patch? </t>
  </si>
  <si>
    <t xml:space="preserve">Even Nvidia (NVDA) Bulls See Little Upside for Stock After AI Mania - Bloomberg </t>
  </si>
  <si>
    <t xml:space="preserve">F****0 </t>
  </si>
  <si>
    <t xml:space="preserve">?editing as a nat sec policy </t>
  </si>
  <si>
    <t xml:space="preserve">SWA2115B738N8676Aabec03 Photo Crop Confidence Score:? </t>
  </si>
  <si>
    <t xml:space="preserve">b****s </t>
  </si>
  <si>
    <t xml:space="preserve">New York and the World </t>
  </si>
  <si>
    <t xml:space="preserve">Apple Nvidia bears ko nag three point clutch!!! For tesla I wasn?t able to execute any bearish spreads coz I wait? </t>
  </si>
  <si>
    <t xml:space="preserve">F****r </t>
  </si>
  <si>
    <t xml:space="preserve">National Capital Region </t>
  </si>
  <si>
    <t xml:space="preserve">Hm, upon reboot (thanks NVIDIA), the Wave XLR connected and remembered hardware settings without needing to be phys? </t>
  </si>
  <si>
    <t xml:space="preserve">u****n </t>
  </si>
  <si>
    <t xml:space="preserve">Washington, DC </t>
  </si>
  <si>
    <t xml:space="preserve">Dell Gaming precision 5520, 5530 &amp;amp; 5540. (With 4GB NVIDIA dedicated graphics ??Intel core i7 processor32GB ram5? </t>
  </si>
  <si>
    <t xml:space="preserve">A****g </t>
  </si>
  <si>
    <t xml:space="preserve">Nvidia?s sales surpass £3 billion for the first time in fiscal Q3 - </t>
  </si>
  <si>
    <t xml:space="preserve">I****l </t>
  </si>
  <si>
    <t xml:space="preserve">London, UK </t>
  </si>
  <si>
    <t xml:space="preserve">Apple tesla Nvidia bears win! Last minute win!!!!! :) hallelujah Feb 10 great expiry date! </t>
  </si>
  <si>
    <t xml:space="preserve">VH8MJGLEXVH-8MJ7cadd9 -8MJ Photo Crop Confidence Score: 0.75? </t>
  </si>
  <si>
    <t xml:space="preserve">$VXV is likely going to $5-10 within a month or two. Whenthey announce their big partnership with? </t>
  </si>
  <si>
    <t xml:space="preserve">NEWS ALERT? Even Nvidia Bulls See Little Upside for Stock After AI Mania </t>
  </si>
  <si>
    <t xml:space="preserve">Zürich, CH </t>
  </si>
  <si>
    <t xml:space="preserve">[US] asus 4070ti tuf (New) for ?$849??ATC: ?Link: ??Feb 10, 3:03 PM ET </t>
  </si>
  <si>
    <t xml:space="preserve">The entire AI industry is being built on top of Nvidia, surely you can find better companies to bet against? </t>
  </si>
  <si>
    <t xml:space="preserve">? </t>
  </si>
  <si>
    <t xml:space="preserve">Want to know why -powered are so powerful? Here's why! Learn a? </t>
  </si>
  <si>
    <t xml:space="preserve">v****s </t>
  </si>
  <si>
    <t xml:space="preserve">Israel </t>
  </si>
  <si>
    <t xml:space="preserve">Giving data to Digital Foundry is nice, they would care about the problems of different PCs way more than Nvidia. </t>
  </si>
  <si>
    <t xml:space="preserve">Gijón, España </t>
  </si>
  <si>
    <t xml:space="preserve">Flow Grid Update $NVDA Shares ?3.21% to $216.25 ? </t>
  </si>
  <si>
    <t xml:space="preserve">T****F </t>
  </si>
  <si>
    <t xml:space="preserve">Releases Jetson Orin NX 16 GB Module: Performance and Efficiency for Drones and Robots </t>
  </si>
  <si>
    <t xml:space="preserve">Houston, TX </t>
  </si>
  <si>
    <t xml:space="preserve">This closes 100% tonight and I collect my entire credit spread. As long as Nvidia stays below 220 :) that?s all I w? </t>
  </si>
  <si>
    <t xml:space="preserve">$37,129.00 Tarjeta de Video Zotac NVIDIA GeForce RTX 4090 Gaming AMP Extreme AIRO, 24GB 384-bit GDDR6X, PCI Exp? </t>
  </si>
  <si>
    <t xml:space="preserve">AAL447A321N543UWa6e4e8 Photo Crop Confidence Score: 0? </t>
  </si>
  <si>
    <t xml:space="preserve">Enter the 2023 + Hackathon: from UF, Southeastern Conference member unive? </t>
  </si>
  <si>
    <t xml:space="preserve">G****T </t>
  </si>
  <si>
    <t xml:space="preserve">University of Florida </t>
  </si>
  <si>
    <t xml:space="preserve">AI Eye Contact: Creepy or cool? Get the pros and cons on using this controversial new technology from communication? </t>
  </si>
  <si>
    <t xml:space="preserve">A****o </t>
  </si>
  <si>
    <t xml:space="preserve">Columbus, Ohio </t>
  </si>
  <si>
    <t xml:space="preserve">For those selling credit, we don?t need Nvidia to drop like a stone. We just need it below 220 and we are fine :) </t>
  </si>
  <si>
    <t xml:space="preserve">FDX601B77LN847FDab9a5b Photo Crop Confidence Score: 0? </t>
  </si>
  <si>
    <t xml:space="preserve">Sorry to bother you again? do you reckon this would work on an nvidia shield!? </t>
  </si>
  <si>
    <t xml:space="preserve">A****h </t>
  </si>
  <si>
    <t xml:space="preserve">I won't believe the reversal of Nvidia unless it breaks 200 in a convincing way </t>
  </si>
  <si>
    <t xml:space="preserve">Trieste, Friuli-Venezia Giulia </t>
  </si>
  <si>
    <t xml:space="preserve">We are showcasing a wide range of solutions with our partners, the BOXER series based on NVIDIA Orin, RTX GPU,? </t>
  </si>
  <si>
    <t xml:space="preserve">$NVDA bought puts Yesterday. Expecting short term pull back. </t>
  </si>
  <si>
    <t xml:space="preserve">Nvidia just wants de 10 year deal to? </t>
  </si>
  <si>
    <t xml:space="preserve">Brazil </t>
  </si>
  <si>
    <t xml:space="preserve">I was so enthusiastic after the initial RX7000 reveal, but the instability of? </t>
  </si>
  <si>
    <t xml:space="preserve">D****6 </t>
  </si>
  <si>
    <t xml:space="preserve">A new digital earth - Lockheed Martin and NVIDIA are collaborating to provide more timely information about weather? </t>
  </si>
  <si>
    <t xml:space="preserve">C****3 </t>
  </si>
  <si>
    <t xml:space="preserve">The Nvidia GeForce RTX 3080 and AMD Radeon RX 6800 XT were released in 2020. With the GeForce 40 series and Radeon? </t>
  </si>
  <si>
    <t xml:space="preserve">E****h </t>
  </si>
  <si>
    <t xml:space="preserve">22102 N Pepper Rd, Suite 201, Lake Barrington, IL 60010 </t>
  </si>
  <si>
    <t xml:space="preserve">Nvidia and Tesla have the same chart, but tesla ppl will think they?re special! ?? </t>
  </si>
  <si>
    <t xml:space="preserve">Good time to buy for those value investors that complain about Nvidia?s 22x P/S ratioYou?re getting a real bargain here /s </t>
  </si>
  <si>
    <t xml:space="preserve">Nvidia Bulls See Little Upside for Stock After AI Mania </t>
  </si>
  <si>
    <t xml:space="preserve">Bringing Data Center Management Features to the Edge | NVIDIA Technical Blog </t>
  </si>
  <si>
    <t xml:space="preserve">If anyone is looking for a new rigNVIDIA RTX 3070AMD RYZEN 5900X32GB RAM 3.2GHZ DDR41TB SSD + 500GB SSDLOGITE? </t>
  </si>
  <si>
    <t xml:space="preserve">N****z </t>
  </si>
  <si>
    <t xml:space="preserve">Twitch </t>
  </si>
  <si>
    <t xml:space="preserve">The fall of $NVDA is a wonderful wonderful thing :) for the bears heehee! King and queen Nvidia and tesla falling d? </t>
  </si>
  <si>
    <t xml:space="preserve">[$500.04]HP NVIDIA T1000 Graphic Card - 8 GBSource: ebay ListingReason: Sold by antonlineGet the Inventory Bot? </t>
  </si>
  <si>
    <t xml:space="preserve">Having said all of this, shouldn't developers be optimizing and fine tuning their games to cater f? </t>
  </si>
  <si>
    <t xml:space="preserve">I****_ </t>
  </si>
  <si>
    <t xml:space="preserve">South Africa </t>
  </si>
  <si>
    <t xml:space="preserve">Nvidia too, of course microsoft screwed them out of? </t>
  </si>
  <si>
    <t xml:space="preserve">l****n </t>
  </si>
  <si>
    <t xml:space="preserve">on linux? it?s pretty easy nowadays. i?d agree a few years back, but nvidia are very ince? </t>
  </si>
  <si>
    <t xml:space="preserve">Closing below 220 Nvidia $nvda Kaya super fast theta decay :) whee!Saw it go from negative to later 100% gain co? </t>
  </si>
  <si>
    <t xml:space="preserve">[US] asus 4070ti tuf (New) for ?$849??ATC: ?Link: ??Feb 10, 2:45 PM ET </t>
  </si>
  <si>
    <t xml:space="preserve">A down scaled 8k tender is still better than a down scaled 4k render, its why AMD and Nvidia? </t>
  </si>
  <si>
    <t xml:space="preserve">E****i </t>
  </si>
  <si>
    <t xml:space="preserve">Lmao Nvidia driver overhead </t>
  </si>
  <si>
    <t xml:space="preserve">SWA2053B737N452WNa57b8b Photo Crop Confidence Score:? </t>
  </si>
  <si>
    <t xml:space="preserve">Paris </t>
  </si>
  <si>
    <t xml:space="preserve">UNBOXING Alienware m16 R1 2023 W - RTX 4080 GPU / i9 24 core CPU via vi? </t>
  </si>
  <si>
    <t xml:space="preserve">S****e </t>
  </si>
  <si>
    <t xml:space="preserve">Me watching Nvidia finally be red after weeks of rallying </t>
  </si>
  <si>
    <t xml:space="preserve">O****c </t>
  </si>
  <si>
    <t xml:space="preserve">David you need to remind Jim that right Nvidia missed earnings to quarters in a row first time since 20? </t>
  </si>
  <si>
    <t xml:space="preserve">P****2 </t>
  </si>
  <si>
    <t xml:space="preserve">Just use NVClean install and get like v.436 or sum, wtv the best performance install is for nvidia </t>
  </si>
  <si>
    <t xml:space="preserve">1****s </t>
  </si>
  <si>
    <t xml:space="preserve">16 | Him | East Coast </t>
  </si>
  <si>
    <t xml:space="preserve">Is there a day one patch for steam . The nvidia driver says nothing that it supports? </t>
  </si>
  <si>
    <t xml:space="preserve">England </t>
  </si>
  <si>
    <t xml:space="preserve">ASUS GEFORCE RTX 4080 16 GB TUF OC now in stock at Amazon for $1333.0. </t>
  </si>
  <si>
    <t xml:space="preserve">IN STOCK ALERT ??MSI RTX 4080 16GB Ventus 3X (Used) is in stock at Amazon for $1,199.99 (MSRP)? </t>
  </si>
  <si>
    <t xml:space="preserve">***Lenovo Ideapad 3i Gaming - 15.6" FHD Display - Intel Core i5-12500H - 8GB DDR4 RAM - 512GB M.2 TLC SSD - NVIDI? </t>
  </si>
  <si>
    <t xml:space="preserve">M****4 </t>
  </si>
  <si>
    <t xml:space="preserve">Nvidia RTX 3070 </t>
  </si>
  <si>
    <t xml:space="preserve">AAL1177A321N536UWa6c88e Photo Crop Confidence Score:? </t>
  </si>
  <si>
    <t xml:space="preserve">got an GPU too? She really the GOAT out here. </t>
  </si>
  <si>
    <t xml:space="preserve">U****G </t>
  </si>
  <si>
    <t xml:space="preserve">Hyrule </t>
  </si>
  <si>
    <t xml:space="preserve">[$95.36]Asus NVIDIA GeForce GT 730 Graphic Card - 2 GB GDDR5 - Low-pSource: ebay ListingReason: Sold by antonlin? </t>
  </si>
  <si>
    <t xml:space="preserve">PNY GEFORCE RTX 4080 16 GB VERTO OC now in stock at Amazon for $1229.99. </t>
  </si>
  <si>
    <t xml:space="preserve">Tech Tip: nvidia </t>
  </si>
  <si>
    <t xml:space="preserve">New nvidia app gives you constant eye contact via AI ? </t>
  </si>
  <si>
    <t xml:space="preserve">[$103.23]Zotac NVIDIA GeForce GT 730 Graphic Card - 4 GB DDR3 SDRAMSource: ebay ListingReason: Sold by antonline? </t>
  </si>
  <si>
    <t xml:space="preserve">Amazon just sliced $350 off this Lenovo Ideapad 3i with Nvidia RTX 3050 ? don't miss this great discount on a budge? </t>
  </si>
  <si>
    <t xml:space="preserve">D****r </t>
  </si>
  <si>
    <t xml:space="preserve">London/Bath </t>
  </si>
  <si>
    <t xml:space="preserve">KFE305FA7X9H-MOON4d2398 -MOON Photo Crop Confidence Score:? </t>
  </si>
  <si>
    <t xml:space="preserve">IN STOCK ALERT ??ZOTAC Gaming GeForce RTX 4090 Trinity OC 24GB GDDR6X 384-bit 21 Gbps PCIE 4.0 Gaming Graph is? </t>
  </si>
  <si>
    <t xml:space="preserve">Unless you have excellent lighting I?d say use ?NVidia Broadcast? it removes your background digital? </t>
  </si>
  <si>
    <t xml:space="preserve">k****1 </t>
  </si>
  <si>
    <t xml:space="preserve">United States, Michigan </t>
  </si>
  <si>
    <t xml:space="preserve">Lenovo IdeaPad Gaming 3 - 2022 - Everyday Gaming Laptop - NVIDIA GeForce RTX 3050 Graphics - 15 6" F(10:32 AM) </t>
  </si>
  <si>
    <t xml:space="preserve">i****q </t>
  </si>
  <si>
    <t xml:space="preserve">DAL2142B738N3772Ha45072 Photo Crop Confidence Score:? </t>
  </si>
  <si>
    <t xml:space="preserve">Tell us the difference between softbank owning them vs nvidi? </t>
  </si>
  <si>
    <t xml:space="preserve">j****5 </t>
  </si>
  <si>
    <t xml:space="preserve">If you own payday on steam you can play it on the nvidia ge force now page/app on the? </t>
  </si>
  <si>
    <t xml:space="preserve">n****5 </t>
  </si>
  <si>
    <t xml:space="preserve">[US] asus 4070ti tuf (New) for ?$849??ATC: ?Link: ??Feb 10, 2:30 PM ET </t>
  </si>
  <si>
    <t xml:space="preserve">Consoles &amp;amp; GPU Makers talk about "Power"(Xbox , Nintendo , PLaystation , Nvidia etc.)But From 2012 until 2023 we? </t>
  </si>
  <si>
    <t xml:space="preserve">D****i </t>
  </si>
  <si>
    <t xml:space="preserve">Roma \ Rome </t>
  </si>
  <si>
    <t xml:space="preserve">UPS5529B763N302UPa32890 Photo Crop Confidence Score:? </t>
  </si>
  <si>
    <t xml:space="preserve">$NVDANvidia Corp is up over 100% in less than 4 months. But...it rates a "Bearish" 26 out of 100 on Money &amp;amp; Market? </t>
  </si>
  <si>
    <t xml:space="preserve">Highest-Paying Internships in the ??U.S. for 2022, Median Monthly Pay:1. Roblox: $9,6672. Uber: $8,3? </t>
  </si>
  <si>
    <t xml:space="preserve">w****_ </t>
  </si>
  <si>
    <t xml:space="preserve">These, specifically: </t>
  </si>
  <si>
    <t xml:space="preserve">f****s </t>
  </si>
  <si>
    <t xml:space="preserve">Minneapolis, MN, USA </t>
  </si>
  <si>
    <t xml:space="preserve">Lol "im a fanboy for MS so the companies i fanboy for share my immature l? </t>
  </si>
  <si>
    <t xml:space="preserve">DAL847B739N851DNabab67 Photo Crop Confidence Score: 0? </t>
  </si>
  <si>
    <t xml:space="preserve">Amazon (DE): MSI GeForce RTX 4070 Ti Gaming X Trio 12G Gaming Graphics Card - NVIDIA RTX 4080, 12GB GDDR6X Memory? </t>
  </si>
  <si>
    <t xml:space="preserve">Hi I have been give a finance related project I?ve approached several companies like ? </t>
  </si>
  <si>
    <t xml:space="preserve">S****8 </t>
  </si>
  <si>
    <t xml:space="preserve">NVIDIA (NVDA) - Will report quarterly results on Thursday of next week. The company has historically reported earnings around 4:20 p.m. </t>
  </si>
  <si>
    <t xml:space="preserve">J****a </t>
  </si>
  <si>
    <t xml:space="preserve">If we target and test an average forever things won't move forward. 2000 series? </t>
  </si>
  <si>
    <t xml:space="preserve">A****N </t>
  </si>
  <si>
    <t xml:space="preserve">Greensboro, NC, USA </t>
  </si>
  <si>
    <t xml:space="preserve">UAL2010B38MN27258a2b112 Photo Crop Confidence Score:? </t>
  </si>
  <si>
    <t xml:space="preserve">ASA645B39MN924AKaccd10 Photo Crop Confidence Score: 0? </t>
  </si>
  <si>
    <t xml:space="preserve">Nvidia RTX 4060 and 4050 GPUs spotted ? but don?t get your hopes up too much: cc:? </t>
  </si>
  <si>
    <t xml:space="preserve">Game am an expert digital mar? </t>
  </si>
  <si>
    <t xml:space="preserve">R****t </t>
  </si>
  <si>
    <t xml:space="preserve">Most active stocks in today's pre market tradingTesla $TSLA$LYFTFacebook $METAMicron $MUMicrosoft $MSFTFord? </t>
  </si>
  <si>
    <t xml:space="preserve">Hell it's not even a few years. You are being generous to Nvidia. It's been just over 2 years sinc? </t>
  </si>
  <si>
    <t xml:space="preserve">ção ? Monitor Gamer LG 29" Ultrawide 29UM69G - Full HD IPS, 1ms Motion Blur Reduction, NVIDIA? Loja? </t>
  </si>
  <si>
    <t xml:space="preserve">T****R </t>
  </si>
  <si>
    <t xml:space="preserve">DAL542A321N304DNa32e86 Photo Crop Confidence Score: 0? </t>
  </si>
  <si>
    <t xml:space="preserve">Instead of railing against the plague of issues that are ruining pc gaming as of late Hardware unb? </t>
  </si>
  <si>
    <t xml:space="preserve">IN STOCK ALERT - UK ??MSI GeForce RTX 4090 SUPRIM Liquid X 24G, V510-007R and 2 other listings are in stock at? </t>
  </si>
  <si>
    <t xml:space="preserve">A****n </t>
  </si>
  <si>
    <t xml:space="preserve">Singapore </t>
  </si>
  <si>
    <t xml:space="preserve">Playing with Nvidia Game Filters, no G, no shade! LOL, I did this just for that pun! </t>
  </si>
  <si>
    <t xml:space="preserve">b****t </t>
  </si>
  <si>
    <t xml:space="preserve">The Windy City </t>
  </si>
  <si>
    <t xml:space="preserve">Because they use slightly slower but higher capacity and higher yield GDDR? </t>
  </si>
  <si>
    <t xml:space="preserve">C****n </t>
  </si>
  <si>
    <t xml:space="preserve">HAL35A332N396HAa499c3 Photo Crop Confidence Score: 0.9? </t>
  </si>
  <si>
    <t xml:space="preserve">Lenovo thinkpad i9 9th generation 32gb ram,1TB 18logical processors 2.30ghz4gb graphics card NVIDIA RTX dedicat? </t>
  </si>
  <si>
    <t xml:space="preserve">a****a </t>
  </si>
  <si>
    <t xml:space="preserve">How is being used in financial services? We surveyed nearly 500 industry professionals to find out. Read the bl? </t>
  </si>
  <si>
    <t xml:space="preserve">SWA3106B737N917WNacb2ad Photo Crop Confidence Score:? </t>
  </si>
  <si>
    <t xml:space="preserve">: Interested in learning how to set up and configure the ROS Navigation Stack for a mobile robo? </t>
  </si>
  <si>
    <t xml:space="preserve">AAL2749B738N848NNab9eca Photo Crop Confidence Score:? </t>
  </si>
  <si>
    <t xml:space="preserve">Older games will have been optimized by bot? </t>
  </si>
  <si>
    <t xml:space="preserve">J****d </t>
  </si>
  <si>
    <t xml:space="preserve">[US] asus 4070ti tuf (New) for ?$849??ATC: ?Link: ??Feb 10, 2:14 PM ET </t>
  </si>
  <si>
    <t xml:space="preserve">DAL1179B753N595NWa7b13b Photo Crop Confidence Score:? </t>
  </si>
  <si>
    <t xml:space="preserve">Nvidia choose to be the snail in Hogwarts Legacy benchmakrs, AMD in fact being the fastest @ low and medium resolut? </t>
  </si>
  <si>
    <t xml:space="preserve">g****s </t>
  </si>
  <si>
    <t xml:space="preserve">Sparse (IT) </t>
  </si>
  <si>
    <t xml:space="preserve">IN STOCK ALERT - UK ??ASUS TUF RTX 4090 O24G Gaming, 90YV0IE0-M0NA00 is in stock at Amazon for £1,928.67 (orig? </t>
  </si>
  <si>
    <t xml:space="preserve">SWA2038B738N8605Eabd1e3 Photo Crop Confidence Score:? </t>
  </si>
  <si>
    <t xml:space="preserve">Quest Global, NVIDIA partner to build next-gen Omniverse digital twin solutions for manufacturing industry? </t>
  </si>
  <si>
    <t xml:space="preserve">Amsterdam </t>
  </si>
  <si>
    <t xml:space="preserve">Please, please! Do something about the optimization on PC. The constant stutters and fps drops need? </t>
  </si>
  <si>
    <t xml:space="preserve">m****o </t>
  </si>
  <si>
    <t xml:space="preserve">3 - Everyday Gaming Laptop - 3050$649.99? </t>
  </si>
  <si>
    <t xml:space="preserve">Razer Blade 18 Review: An 18-inch Gaming Laptop for Big Screen Dreams - CNET ? </t>
  </si>
  <si>
    <t xml:space="preserve">DAL1373B739N895DNac583f Photo Crop Confidence Score:? </t>
  </si>
  <si>
    <t xml:space="preserve">Top Deals &amp;amp; Steals?For $1499.99 from $1699.99HP Envy Desktop Bundle PC, NVIDIA GeForce RTX 3070 Graphics,12th? </t>
  </si>
  <si>
    <t xml:space="preserve">IN STOCK ALERT ??Inno3D GeForce RTX 4090 X3 OC 24G GDDR6X desktop/E-sports/game graphics card is in stock at W? </t>
  </si>
  <si>
    <t xml:space="preserve">Nvidia shadowplay. It usually hides the cursor in games but RE for some reason doesn?t </t>
  </si>
  <si>
    <t xml:space="preserve">She/Her || 20 </t>
  </si>
  <si>
    <t xml:space="preserve">We have the Lenovo Legion 5i Pro, supercharged with Ray Tracing Cores, Tensor Cores, streaming multiprocessors, and? </t>
  </si>
  <si>
    <t xml:space="preserve">B****d </t>
  </si>
  <si>
    <t xml:space="preserve">AAL1212A321N919USacb9ed Photo Crop Confidence Score:? </t>
  </si>
  <si>
    <t xml:space="preserve">There was an nvidia update yesterday, did you update? </t>
  </si>
  <si>
    <t xml:space="preserve">G****e </t>
  </si>
  <si>
    <t xml:space="preserve">Tampa, FL </t>
  </si>
  <si>
    <t xml:space="preserve">SWA2111B737N751SWaa1f65 Photo Crop Confidence Score:? </t>
  </si>
  <si>
    <t xml:space="preserve">The after party??? I am a little jealous?. Sorry I don?t have some fancy shmancy? </t>
  </si>
  <si>
    <t xml:space="preserve">n****0 </t>
  </si>
  <si>
    <t xml:space="preserve">Maryland, USA </t>
  </si>
  <si>
    <t xml:space="preserve">It has to be coming soon since it was on the NVIDIA list and SE has been putting out several tactical RPGs recently. </t>
  </si>
  <si>
    <t xml:space="preserve">A****Y </t>
  </si>
  <si>
    <t xml:space="preserve">Valisthea </t>
  </si>
  <si>
    <t xml:space="preserve">and amd is way better making cpus than nvidia and intel, weird you didnt say that to </t>
  </si>
  <si>
    <t xml:space="preserve">1080p with both cards. Yet to play on the 1650 with yesterdays nvidia update though. </t>
  </si>
  <si>
    <t xml:space="preserve">1****y </t>
  </si>
  <si>
    <t xml:space="preserve">Wherever </t>
  </si>
  <si>
    <t xml:space="preserve">Mr Ma and company doing some cool and interesting work here: AI Joins Hunt for ET: Study Finds 8 Potential Alien Si? </t>
  </si>
  <si>
    <t xml:space="preserve">N****e </t>
  </si>
  <si>
    <t xml:space="preserve">Nuevos juegos para el servicio GeForce Now??Recipe for Disaster (gratis en Epic Games)??Baldur?s Gate 3 (Steam)? </t>
  </si>
  <si>
    <t xml:space="preserve">B****G </t>
  </si>
  <si>
    <t xml:space="preserve">Midgard </t>
  </si>
  <si>
    <t xml:space="preserve">I'm really impressed by Elon Musk's innovations, like the Cybertruck and Starlink. I believe they will make the? </t>
  </si>
  <si>
    <t xml:space="preserve">[US] asus 4070ti tuf (New) for ?$849??ATC: ?Link: ??Feb 10, 1:59 PM ET </t>
  </si>
  <si>
    <t xml:space="preserve">Ofcourse it's not, but boi he can't be neutral for Nvidia or Intel. </t>
  </si>
  <si>
    <t xml:space="preserve">UAL2046B753N57868a76f6c Photo Crop Confidence Score:? </t>
  </si>
  <si>
    <t xml:space="preserve">Nvidia and 5 Other Stocks at High Risk for Short Selling - Barron's </t>
  </si>
  <si>
    <t xml:space="preserve">s****n </t>
  </si>
  <si>
    <t xml:space="preserve">Stockexamen | Yokohama, Japan </t>
  </si>
  <si>
    <t xml:space="preserve">New Acer Predator Triton 300 Gaming Laptop No box15.6" inch 144Hz DisplayIntel Core i7-11th Gen 32GB Ram1TB SSD? </t>
  </si>
  <si>
    <t xml:space="preserve">g****1 </t>
  </si>
  <si>
    <t xml:space="preserve">all over nigeria </t>
  </si>
  <si>
    <t xml:space="preserve">CTF617HDJTN617AFa808c5 Photo Crop Confidence Score: 0? </t>
  </si>
  <si>
    <t xml:space="preserve">I?m betting she?s using this new creepy AI eye tracking software that gives the appearance of looking? </t>
  </si>
  <si>
    <t xml:space="preserve">T****V </t>
  </si>
  <si>
    <t xml:space="preserve">TOP AMAZON SLICKDEALS OF THE DAY!Lenovo Ideapad 3i Gaming - 15.6" FHD Display - Intel Core i5-12500H - 8GB DDR4 R? </t>
  </si>
  <si>
    <t xml:space="preserve">S****F </t>
  </si>
  <si>
    <t xml:space="preserve">South Florida, FL </t>
  </si>
  <si>
    <t xml:space="preserve">Another dunce who actually thinks companies are toxic fanboys like they are on t? </t>
  </si>
  <si>
    <t xml:space="preserve">Will it happen? We have no idea obviously. But history (even MS own) shoes that even with the best? </t>
  </si>
  <si>
    <t xml:space="preserve">E****s </t>
  </si>
  <si>
    <t xml:space="preserve">Amazon (IT): VGA GIGABYTE RTX 3080 TURBO 10G (REV. 2.0) NVIDIA 10 GB GDDR6X GEFORCE </t>
  </si>
  <si>
    <t xml:space="preserve">IN STOCK ALERT ??PNY NVIDIA GeForce RTX 4070 Ti XLR8 Gaming VERTO EPIC-X RGB Graphics Card is in stock at B&amp;amp;H? </t>
  </si>
  <si>
    <t xml:space="preserve">SWA2309B737N293WNa302a0 Photo Crop Confidence Score:? </t>
  </si>
  <si>
    <t xml:space="preserve">I also have 1080Ti but the game is not optimized for it and/or Nvidia just haven't updated t? </t>
  </si>
  <si>
    <t xml:space="preserve">4****8 </t>
  </si>
  <si>
    <t xml:space="preserve">A****q </t>
  </si>
  <si>
    <t xml:space="preserve">3. ? Nvidia CEO calls for government regulation of AI technology. </t>
  </si>
  <si>
    <t xml:space="preserve">a****r </t>
  </si>
  <si>
    <t xml:space="preserve">crazy how yall new to the GPU game and are the first to release a game ready driver? </t>
  </si>
  <si>
    <t xml:space="preserve">L****6 </t>
  </si>
  <si>
    <t xml:space="preserve">Bayamón, Puerto Rico </t>
  </si>
  <si>
    <t xml:space="preserve">Hahahahahahha laughable ? only for a moment? I got to enjoy the full concert ? and a? </t>
  </si>
  <si>
    <t xml:space="preserve">Lol these fanboys think for profit companies participate in these console wars...money is what matters. I? </t>
  </si>
  <si>
    <t xml:space="preserve">I am pulling for AMD and Intel but if you w? </t>
  </si>
  <si>
    <t xml:space="preserve">Now people want to justify that we need a 4070ti to be happy. Nvidia is happy with it... The game? </t>
  </si>
  <si>
    <t xml:space="preserve">J****9 </t>
  </si>
  <si>
    <t xml:space="preserve">After the NVIDIA driver update my game runs on high setting now. Still the occa? </t>
  </si>
  <si>
    <t xml:space="preserve">W****a </t>
  </si>
  <si>
    <t xml:space="preserve">Texas, USA </t>
  </si>
  <si>
    <t xml:space="preserve">I have to say I agree with the Doc. Nvidia? </t>
  </si>
  <si>
    <t xml:space="preserve">Sounds bullish Nvidia! </t>
  </si>
  <si>
    <t xml:space="preserve">f****2 </t>
  </si>
  <si>
    <t xml:space="preserve">There are no press drivers for this game from either AMD or nVidia at this point. </t>
  </si>
  <si>
    <t xml:space="preserve">J****D </t>
  </si>
  <si>
    <t xml:space="preserve">Yharnham </t>
  </si>
  <si>
    <t xml:space="preserve">Did I fix the error? Will update the post after thorough testing with other games I play. ? </t>
  </si>
  <si>
    <t xml:space="preserve">Quezon City, PH </t>
  </si>
  <si>
    <t xml:space="preserve">Attention AI entrepreneurs ? Developer Conference takes place on 20-23rd March - explore breakthroughs i? </t>
  </si>
  <si>
    <t xml:space="preserve">A****k </t>
  </si>
  <si>
    <t xml:space="preserve">Scotland, United Kingdom </t>
  </si>
  <si>
    <t xml:space="preserve">2022 Acer predator Helios 300 gaming PCPrice: 800,000 nairaSpecs:Core i7 12th generation Intel iris xe512gb s? </t>
  </si>
  <si>
    <t xml:space="preserve">d****g </t>
  </si>
  <si>
    <t xml:space="preserve">Computer village, ikeja. </t>
  </si>
  <si>
    <t xml:space="preserve">UAL2428B38MN27268a2b135 Photo Crop Confidence Score:? </t>
  </si>
  <si>
    <t xml:space="preserve">Amazon?.de: Zotac Carte Graphique Nvidia GeForce RTX 4080 Trinity 16Go? ?1,327.99 as of? </t>
  </si>
  <si>
    <t xml:space="preserve">FarCry 6 -1Subscribe My Channel : on YouTube : </t>
  </si>
  <si>
    <t xml:space="preserve">s****9 </t>
  </si>
  <si>
    <t xml:space="preserve">Rajkot </t>
  </si>
  <si>
    <t xml:space="preserve">SWA2090B737N930WNace7aa Photo Crop Confidence Score:? </t>
  </si>
  <si>
    <t xml:space="preserve">SWA762B737N932WNacef18 Photo Crop Confidence Score: 0? </t>
  </si>
  <si>
    <t xml:space="preserve">[US] asus 4070ti tuf (New) for ?$849??ATC: ?Link: ??Feb 10, 1:42 PM ET </t>
  </si>
  <si>
    <t xml:space="preserve">I?m genuinely curious what a new console would look like. It?s a given that it?s gonna be another nvi? </t>
  </si>
  <si>
    <t xml:space="preserve">r****k </t>
  </si>
  <si>
    <t xml:space="preserve">Kuwait </t>
  </si>
  <si>
    <t xml:space="preserve">[US] rtx 4090 GeForce RTX 409 for ?$1699? ?Link: ??Feb 10, 1:36 PM ET </t>
  </si>
  <si>
    <t xml:space="preserve">[US] rtx 4070ti GeForce RTX 407 for ?$869.99? ?Link: ??Feb 10, 1:36 PM ET </t>
  </si>
  <si>
    <t xml:space="preserve">[US] rtx 4080-16G GeForce RTX 408 for ?$1309? ?Link: -16G ??Feb 10, 1:36 PM ET </t>
  </si>
  <si>
    <t xml:space="preserve">[US] rtx 4070ti GeForce RTX 407 for ?$839.99? ?Link: ??Feb 10, 1:36 PM ET </t>
  </si>
  <si>
    <t xml:space="preserve">[US] rtx 4080-16G GeForce RTX 408 for ?$1249? ?Link: -16G ??Feb 10, 1:36 PM ET </t>
  </si>
  <si>
    <t xml:space="preserve">[US] rtx 4070ti GeForce RTX 407 for ?$799.99? ?Link: ??Feb 10, 1:36 PM ET </t>
  </si>
  <si>
    <t xml:space="preserve">Thee second roundd is aboutt to end! check banner below ? </t>
  </si>
  <si>
    <t xml:space="preserve">F****o </t>
  </si>
  <si>
    <t xml:space="preserve">SSD wouldn't make a difference people don't have support for Re-BAR. AMD 6000 and up or Nvidia? </t>
  </si>
  <si>
    <t xml:space="preserve">FDX428B763N188FEa15ee6 Photo Crop Confidence Score: 0? </t>
  </si>
  <si>
    <t xml:space="preserve">HP Envy M7 17.3 Core i7 6500U 16GB Memory 1TB HDD 2GB Nvidia Laptop </t>
  </si>
  <si>
    <t xml:space="preserve">z****e </t>
  </si>
  <si>
    <t xml:space="preserve">EJA640C68AN640QSa866aa Photo Crop Confidence Score: 0? </t>
  </si>
  <si>
    <t xml:space="preserve">IN STOCK ALERT ??Gigabyte GeForce RTX 4090 GAMING OC Graphics Card is in stock at B&amp;amp;H Photo for $1,699.99 (MSR? </t>
  </si>
  <si>
    <t xml:space="preserve">Star Trek is closer now than ever before! </t>
  </si>
  <si>
    <t xml:space="preserve">Owasso, Oklahoma </t>
  </si>
  <si>
    <t xml:space="preserve">EJA660C56XN660QSa8b5a8 Photo Crop Confidence Score: 0? </t>
  </si>
  <si>
    <t xml:space="preserve">PC is in the repair shop because it won't boot and I'm 95% sure its because of that graphics driver update I downlo? </t>
  </si>
  <si>
    <t xml:space="preserve">b****3 </t>
  </si>
  <si>
    <t xml:space="preserve">Ramsgate/London </t>
  </si>
  <si>
    <t xml:space="preserve">And Nvidia is 60%, what's your point. Stop embarrassing yourself... </t>
  </si>
  <si>
    <t xml:space="preserve">O****o </t>
  </si>
  <si>
    <t xml:space="preserve">$7,679.00 Tarjeta de Video Zotac NVIDIA GeForce RTX 3060 Twin Edge OC, 12GB 192-bit GDDR6, PCI Express x16 4.0? </t>
  </si>
  <si>
    <t xml:space="preserve">Don?t miss out on this deep dive session and learn how to use feature in Toolkit for faster AI m? </t>
  </si>
  <si>
    <t xml:space="preserve">SWA2101B737N7722Baa7315 Photo Crop Confidence Score:? </t>
  </si>
  <si>
    <t xml:space="preserve">SWA237B737N7874Baaad6d Photo Crop Confidence Score: 0? </t>
  </si>
  <si>
    <t xml:space="preserve">No, it's Nvidia eye capture. </t>
  </si>
  <si>
    <t xml:space="preserve">O****9 </t>
  </si>
  <si>
    <t xml:space="preserve">SWA2126B737N240WNa23200 Photo Crop Confidence Score:? </t>
  </si>
  <si>
    <t xml:space="preserve">NVIDIA Teams With Microsoft to Build Massive Cloud AI Computer[ ? </t>
  </si>
  <si>
    <t xml:space="preserve">[US] asus 4070ti tuf (New) for ?$849??ATC: ?Link: ??Feb 10, 1:24 PM ET </t>
  </si>
  <si>
    <t xml:space="preserve">SWA2042B737N7838Aaa9f1c Photo Crop Confidence Score:? </t>
  </si>
  <si>
    <t xml:space="preserve">Few things I would try: turn off vsync in game if its on(not gsync), disable discord overlay, try differen? </t>
  </si>
  <si>
    <t xml:space="preserve">L****T </t>
  </si>
  <si>
    <t xml:space="preserve">Top 10 trending stocks on WallStreetBets as of Feb 10, 20231. Tesla $TSLA2. PayPal Holdings $PYPL3. Google? </t>
  </si>
  <si>
    <t xml:space="preserve">M****k </t>
  </si>
  <si>
    <t xml:space="preserve">SWA2069B737N455WNa586b0 Photo Crop Confidence Score:? </t>
  </si>
  <si>
    <t xml:space="preserve">Nvidia SoC chips aren't that powerful. They're designed for mobile, good GPS, au? </t>
  </si>
  <si>
    <t xml:space="preserve">U****y </t>
  </si>
  <si>
    <t xml:space="preserve">Greenfields (Woodbury, NJ), Un </t>
  </si>
  <si>
    <t xml:space="preserve">UPS2855MD11N254UPa2682a Photo Crop Confidence Score:? </t>
  </si>
  <si>
    <t xml:space="preserve">i hope they still have nvidia shadowplay when the total heat death of the universe happens </t>
  </si>
  <si>
    <t xml:space="preserve">two more papers down the line .... ? </t>
  </si>
  <si>
    <t xml:space="preserve">When you dropping a NVIDIA filter video? </t>
  </si>
  <si>
    <t xml:space="preserve">J****y </t>
  </si>
  <si>
    <t xml:space="preserve">Tombstone </t>
  </si>
  <si>
    <t xml:space="preserve">Mellonax NIC -MCX4121A-XCAT ??Price: 77USD?Warranty: 1 year?Lead time: 3-5 days ? </t>
  </si>
  <si>
    <t xml:space="preserve">AAL698A321N913USaca3a3 Photo Crop Confidence Score: 0? </t>
  </si>
  <si>
    <t xml:space="preserve">SWA2087B38MN8752Qac0b96 Photo Crop Confidence Score:? </t>
  </si>
  <si>
    <t xml:space="preserve">IN STOCK ALERT ??PNY GeForce RTX 4090 24GB XLR8 Gaming GPU VERTO EPIC-X RGB Triple Fan Graphics Card Nvidia an? </t>
  </si>
  <si>
    <t xml:space="preserve">this looks like an Nvidia graphics demo the last place i'd think this would be from is a barbie movie ? </t>
  </si>
  <si>
    <t xml:space="preserve">W****_ </t>
  </si>
  <si>
    <t xml:space="preserve">may rt a lot </t>
  </si>
  <si>
    <t xml:space="preserve">SWA1718B737N427WNa517a1 Photo Crop Confidence Score:? </t>
  </si>
  <si>
    <t xml:space="preserve">Independent Cloud Computing Leader Vultr Adds NVIDIA A16 to its A40, A100, and Fractional GPU Offerings? </t>
  </si>
  <si>
    <t xml:space="preserve">A****y </t>
  </si>
  <si>
    <t xml:space="preserve">Hawthorne, CA </t>
  </si>
  <si>
    <t xml:space="preserve">I can finally turn on ray tracing in without combusting my computer. </t>
  </si>
  <si>
    <t xml:space="preserve">w****7 </t>
  </si>
  <si>
    <t xml:space="preserve">Badlands </t>
  </si>
  <si>
    <t xml:space="preserve">play </t>
  </si>
  <si>
    <t xml:space="preserve">B****2 </t>
  </si>
  <si>
    <t xml:space="preserve">Bengaluru, India </t>
  </si>
  <si>
    <t xml:space="preserve">Intel and NVIDIA are two of the most popular Graphics Processing Unit (GPU) providers, but what makes them differen? </t>
  </si>
  <si>
    <t xml:space="preserve">INDIA </t>
  </si>
  <si>
    <t xml:space="preserve">DAL710A321N112DNa033f9 Photo Crop Confidence Score: 0? </t>
  </si>
  <si>
    <t xml:space="preserve">SWA1461B738N8568Zabc12a Photo Crop Confidence Score:? </t>
  </si>
  <si>
    <t xml:space="preserve">NVIDIA GeForce??? RTX </t>
  </si>
  <si>
    <t xml:space="preserve">love it when the nvidia clean installer mid-install just reboots without asking and then just doesn't shut down and? </t>
  </si>
  <si>
    <t xml:space="preserve">W1-2 </t>
  </si>
  <si>
    <t xml:space="preserve">Capture, Render, Win: ? Announcing the Contest ? Read more about how to create an immersive scene wi? </t>
  </si>
  <si>
    <t xml:space="preserve">a****0 </t>
  </si>
  <si>
    <t xml:space="preserve">Pune, India </t>
  </si>
  <si>
    <t xml:space="preserve">state of r/nvidia from u/_WreakingHavok_ on reddit ? </t>
  </si>
  <si>
    <t xml:space="preserve">[US] asus 4070ti tuf (New) for ?$849??ATC: ?Link: ??Feb 10, 1:07 PM ET </t>
  </si>
  <si>
    <t xml:space="preserve">Incredible, since I Download what you give, the game is now totaly unplayable, keep charging for i? </t>
  </si>
  <si>
    <t xml:space="preserve">We are pleased to officially present our HEATKILLER® V Pro for RTX 4090 Founders Edition. The cooler has be? </t>
  </si>
  <si>
    <t xml:space="preserve">W****N </t>
  </si>
  <si>
    <t xml:space="preserve">Waren (Müritz), Deutschland </t>
  </si>
  <si>
    <t xml:space="preserve">MSI GT Titan GT77 comes with NVIDIA's RTX 4090 and an Intel I9-13980HX processor. It's the fastest laptop I've ever? </t>
  </si>
  <si>
    <t xml:space="preserve">Amazon (IT): Zotac Gaming Geforce Rtx 3070 Ti Trinity Oc Nvidia 8 Gb Gddr6X, Nero, 31.76 x 5.88 x 11.76 cm; 1.7? </t>
  </si>
  <si>
    <t xml:space="preserve">very cool but the German is awkward and hard to understand without subtitles (native speaker here) </t>
  </si>
  <si>
    <t xml:space="preserve">alpha centauri </t>
  </si>
  <si>
    <t xml:space="preserve">I don't understand all the columns here, but I'm guessing Tesla and Nvidia. Are these custom-scripted c? </t>
  </si>
  <si>
    <t xml:space="preserve">SWA2507B737N474WNa5d1f7 Photo Crop Confidence Score:? </t>
  </si>
  <si>
    <t xml:space="preserve">African gamers, get ready to revolutionize your gaming experience with nvidia geforce! No more limited access to h? </t>
  </si>
  <si>
    <t xml:space="preserve">i****a </t>
  </si>
  <si>
    <t xml:space="preserve">Mars </t>
  </si>
  <si>
    <t xml:space="preserve">Buy SuperforceX? At Cryptocurrency Market Statistical Analysis| Growth Forecast | Advanced? </t>
  </si>
  <si>
    <t xml:space="preserve">L****y </t>
  </si>
  <si>
    <t xml:space="preserve">[Components] WTS: 300+, GPU NVIDIA, QUADRO K600 1GB 128-BIT DDR3 LP/NP, Pulls, Cheap, ASK EUR? </t>
  </si>
  <si>
    <t xml:space="preserve">Precision 14, 15 &amp;amp; 17? 5000 series all make the list for best light weight mobile laptops. ? </t>
  </si>
  <si>
    <t xml:space="preserve">Quest Global, NVIDIA partner to build next-gen Omniverse digital twin solutions for manufacturing industry ? </t>
  </si>
  <si>
    <t xml:space="preserve">M****o </t>
  </si>
  <si>
    <t xml:space="preserve">Torre del Lago Puccini (LU) </t>
  </si>
  <si>
    <t xml:space="preserve">IN STOCK ALERT - DE ??Zotac Gaming GeForce RTX 4090 Trinity OC is in stock at Amazon for ?1,919.00? </t>
  </si>
  <si>
    <t xml:space="preserve">Love the game, no issues until new Nvidia drivers came out , now it freezes at the preparin? </t>
  </si>
  <si>
    <t xml:space="preserve">N****A </t>
  </si>
  <si>
    <t xml:space="preserve">iPhone: 27.942348,-82.347938 </t>
  </si>
  <si>
    <t xml:space="preserve">IN STOCK ALERT - UK ??Gigabyte GeForce RTX 4090 GAMING OC 24GB Graphics Card is in stock at Amazon for £1,749.? </t>
  </si>
  <si>
    <t xml:space="preserve">BS. Everyone loves California and you know it. The 5th largest economy in the world. +California's S? </t>
  </si>
  <si>
    <t xml:space="preserve">r****c </t>
  </si>
  <si>
    <t xml:space="preserve">It does, but whoever wrote the tweet clearly thinks that only nvidia makes gpus. </t>
  </si>
  <si>
    <t xml:space="preserve">Nvidia wins with DLSS vs FSR.AMD wins w/o FSR/DLSS.But in the gen after this they may be ~ equal. </t>
  </si>
  <si>
    <t xml:space="preserve">i****k </t>
  </si>
  <si>
    <t xml:space="preserve">??????, ?????? </t>
  </si>
  <si>
    <t xml:space="preserve">do you know if the forced vsync and fps cap can be disabled in killer instinct? I?m playing with a gsy? </t>
  </si>
  <si>
    <t xml:space="preserve">C****i </t>
  </si>
  <si>
    <t xml:space="preserve">Ok I found a way around it for anyone that wants help. If you use a higher FPS monit? </t>
  </si>
  <si>
    <t xml:space="preserve">D****T </t>
  </si>
  <si>
    <t xml:space="preserve">Reading, England </t>
  </si>
  <si>
    <t xml:space="preserve">MSI GEFORCE RTX 4080 16 GB VENTUS 3X OC now in stock at Amazon for $1249.99. </t>
  </si>
  <si>
    <t xml:space="preserve">IN STOCK ALERT - UK ??Gigabyte GeForce RTX 4090 WINDFORCE 24GB Graphics Card and 1 other listing are in stock? </t>
  </si>
  <si>
    <t xml:space="preserve">New videos tomorrow I was stuck updating windows and nvidia drivers yesterday that took forever. </t>
  </si>
  <si>
    <t xml:space="preserve">g****e </t>
  </si>
  <si>
    <t xml:space="preserve">Nowhere </t>
  </si>
  <si>
    <t xml:space="preserve">ATN3461B763N457AZa58c35 Photo Crop Confidence Score:? </t>
  </si>
  <si>
    <t xml:space="preserve">[US] asus 4070ti tuf (New) for ?$849??ATC: ?Link: ??Feb 10, 12:51 PM ET </t>
  </si>
  <si>
    <t xml:space="preserve">Friday of ! In 2008, graphic card manufacturers such as Intel, AMD/ATI, or NVIDIA developed differen? </t>
  </si>
  <si>
    <t xml:space="preserve">Barcelona, Spain </t>
  </si>
  <si>
    <t xml:space="preserve">Two generations of Professional Desktop Workstation GPUs, the NVIDIA RTX A6000 (Ampere) and the new NVIDI? </t>
  </si>
  <si>
    <t xml:space="preserve">j****n </t>
  </si>
  <si>
    <t xml:space="preserve">Chesterfield, MO USA </t>
  </si>
  <si>
    <t xml:space="preserve">SWA1657B737N749SWaa159e Photo Crop Confidence Score:? </t>
  </si>
  <si>
    <t xml:space="preserve">Notebook Gamer Lenovo Gaming3i, Intel® Core? i5, NVIDIA GTX 1650, 8GB, 512GB SSD, Windows 11Por: 4.349,00Fastshop? </t>
  </si>
  <si>
    <t xml:space="preserve">SL makes eye contact through AI </t>
  </si>
  <si>
    <t xml:space="preserve">S****d </t>
  </si>
  <si>
    <t xml:space="preserve">The Velvet Room </t>
  </si>
  <si>
    <t xml:space="preserve">Nvidia GPUs in general don't age well. Just look at Kepler vs GCN. Horizon has flickering on Kepler but? </t>
  </si>
  <si>
    <t xml:space="preserve">P****l </t>
  </si>
  <si>
    <t xml:space="preserve">The expression recognition model has been published, he has been successfully deployed in NVIDIA jetson nano enviro? </t>
  </si>
  <si>
    <t xml:space="preserve">q****n </t>
  </si>
  <si>
    <t xml:space="preserve">?? ??? </t>
  </si>
  <si>
    <t xml:space="preserve">This is what happens if you let developers let loose. Work with them to implement Sam? </t>
  </si>
  <si>
    <t xml:space="preserve">G****8 </t>
  </si>
  <si>
    <t xml:space="preserve">SWA2740B737N732SWa9d41e Photo Crop Confidence Score:? </t>
  </si>
  <si>
    <t xml:space="preserve">$NVDA Better Growth Stock: Nvidia vs. Apple </t>
  </si>
  <si>
    <t xml:space="preserve">$AAPL Better Growth Stock: Nvidia vs. Apple </t>
  </si>
  <si>
    <t xml:space="preserve">Amazing! </t>
  </si>
  <si>
    <t xml:space="preserve">r****n </t>
  </si>
  <si>
    <t xml:space="preserve">Brasil </t>
  </si>
  <si>
    <t xml:space="preserve">Linux Mint Cinnamon (Ubuntu) and Manjaro Linux work great on Intel 4th Gen CPU desktop/laptop. The prices are good? </t>
  </si>
  <si>
    <t xml:space="preserve">[Components] WTS: 35, GPU NVIDIA, Quadro RTX 4000 8GB, L40549-002, Pulls, Send offer EUR Li? </t>
  </si>
  <si>
    <t xml:space="preserve">This was in the nvidia leak. So pretty much confirmed. </t>
  </si>
  <si>
    <t xml:space="preserve">From Staten Island in PA </t>
  </si>
  <si>
    <t xml:space="preserve">You still ain't doing upgrade a bit by bit? Our GPU's are pretty much on par, my CPU just has advantage? </t>
  </si>
  <si>
    <t xml:space="preserve">Finland </t>
  </si>
  <si>
    <t xml:space="preserve">Looks like buying an RX 6800 over the 3070ti was worth it.I knew the vram would come to bite the? </t>
  </si>
  <si>
    <t xml:space="preserve">_****7 </t>
  </si>
  <si>
    <t xml:space="preserve">What if you could speak to anyone in their native language? With it seems it will be possible.Full video:? </t>
  </si>
  <si>
    <t xml:space="preserve">COMPANY INVIDIA https www nvidia com en eu First Theoretical Approach... - </t>
  </si>
  <si>
    <t xml:space="preserve">I've gotten Manjaro Linux Cinnamon to work on Laptop with INTEL/NVIDIA hybrid graphics. </t>
  </si>
  <si>
    <t xml:space="preserve">[US] asus 4070ti tuf (New) for ?$849??ATC: ?Link: ??Feb 10, 12:35 PM ET </t>
  </si>
  <si>
    <t xml:space="preserve">SWA2260B738N8535Sabb595 Photo Crop Confidence Score:? </t>
  </si>
  <si>
    <t xml:space="preserve">SWA775B737N482WNa5f208 Photo Crop Confidence Score: 0? </t>
  </si>
  <si>
    <t xml:space="preserve">SWA1568B737N7855Aaaa621 Photo Crop Confidence Score:? </t>
  </si>
  <si>
    <t xml:space="preserve">[$181.7]HP NVIDIA T400 Graphic Card - 2 GB GDDR6 - Low-profileSource: ebay ListingReason: Sold by antonlineGet? </t>
  </si>
  <si>
    <t xml:space="preserve">ASUS GEFORCE RTX 4090 TUF OC now in stock at Amazon for $1799.99. ? </t>
  </si>
  <si>
    <t xml:space="preserve">SWA2049B738N8573Zabc432 Photo Crop Confidence Score:? </t>
  </si>
  <si>
    <t xml:space="preserve">stock: 2023/02/10 07:25(EST)ASUS ROG XG Mobile External GPU Dock, NVIDIA GeForce RTX 3080 16GB, Lo $1,499.99??? </t>
  </si>
  <si>
    <t xml:space="preserve">CA </t>
  </si>
  <si>
    <t xml:space="preserve">[US] asus 4070ti tuf (New) for ?$849??ATC: ?Link: ??Feb 10, 12:17 PM ET </t>
  </si>
  <si>
    <t xml:space="preserve">This is also very different from 's results, also there is a DLSS3 bug that turn itself on with NVIDIA GPUs </t>
  </si>
  <si>
    <t xml:space="preserve">x****8 </t>
  </si>
  <si>
    <t xml:space="preserve">I've entered Rokk's BIG GIVEAWAY: HOGWARTS LEGACY on any platform + 60 days of either Xbox Game Pass Ultimate, PS+? </t>
  </si>
  <si>
    <t xml:space="preserve">P****n </t>
  </si>
  <si>
    <t xml:space="preserve">ZOTAC GEFORCE RTX 4080 16 GB TRINITY AMP EXTREME AIRO now in stock at Amazon for $1223.91.? </t>
  </si>
  <si>
    <t xml:space="preserve">Got Nvidia dlss on? Try put sharpening of it to 0. looks the same for me in 2K und runs so much better </t>
  </si>
  <si>
    <t xml:space="preserve">Turn 2D Images into Immersive 3D Scenes with NVIDIA Instant NeRF in VR | NVIDIA Technical Blog </t>
  </si>
  <si>
    <t xml:space="preserve">2021 Us used Lenovo legion 5 17"Price: 770,000 nairaSpecs:Amd Ryzen 7 5800h with Radeon graphics1tb SSD16gb? </t>
  </si>
  <si>
    <t xml:space="preserve">Some details here. I think they're committed to custom silicon. Comparison charts with Nvi? </t>
  </si>
  <si>
    <t xml:space="preserve">l****t </t>
  </si>
  <si>
    <t xml:space="preserve">East Sussex, England </t>
  </si>
  <si>
    <t xml:space="preserve">why is the NEW 7i a downgrade In ports and chassis features? Lighting is gone, there's less features? </t>
  </si>
  <si>
    <t xml:space="preserve">U****N </t>
  </si>
  <si>
    <t xml:space="preserve">Manhattan nyc </t>
  </si>
  <si>
    <t xml:space="preserve">I think TPU didn't use the press driver from AMD or Nvidia. They simply made use of their pre-order copy and used old drivers. </t>
  </si>
  <si>
    <t xml:space="preserve">P****r </t>
  </si>
  <si>
    <t xml:space="preserve">since everyone else is asking questions, i should try as wellwill tekken 8 have support for higher? </t>
  </si>
  <si>
    <t xml:space="preserve">t****k </t>
  </si>
  <si>
    <t xml:space="preserve">ZOTAC GEFORCE RTX 4080 16 GB TRINITY now in stock at Amazon for $1199.99. </t>
  </si>
  <si>
    <t xml:space="preserve">nvidia geforce experience </t>
  </si>
  <si>
    <t xml:space="preserve">a****y </t>
  </si>
  <si>
    <t xml:space="preserve">18 she/they </t>
  </si>
  <si>
    <t xml:space="preserve">[Components] WTS: 447, Mixed Lot, 447x Hi-End nVidia card, Grade A, Offer EUR Link to the o? </t>
  </si>
  <si>
    <t xml:space="preserve">[US] asus 4070ti tuf (New) for ?$849??ATC: ?Link: ??Feb 10, 11:59 AM ET </t>
  </si>
  <si>
    <t xml:space="preserve">My brother who works in the industry believes it to be a memory leak on nvidia cards. Something is? </t>
  </si>
  <si>
    <t xml:space="preserve">Experience the co-op FPS, Perish, enhanced with ray tracing, NVIDIA Reflex, and AI-powered DLSS 3 for max performan? </t>
  </si>
  <si>
    <t xml:space="preserve">N****K </t>
  </si>
  <si>
    <t xml:space="preserve">Those 0-day drivers are doing wonders for the lack of VRAM in nvidia cards... go talk about that :P </t>
  </si>
  <si>
    <t xml:space="preserve">r****s </t>
  </si>
  <si>
    <t xml:space="preserve">38.654523,-27.217558 </t>
  </si>
  <si>
    <t xml:space="preserve">Need Fast Computer? iBUYPOWER - Trace MR - Intel $INTC i7 11700KF - 16GB Memory - Nvidia $NVDA...? </t>
  </si>
  <si>
    <t xml:space="preserve">Bro, utiliza la NVIDIA RTX IA Broadcast </t>
  </si>
  <si>
    <t xml:space="preserve">Cardedeu, España </t>
  </si>
  <si>
    <t xml:space="preserve">[US] rtx 4090 GeForce RTX 409 for ?$1689? ?Link: ??Feb 10, 11:54 AM ET </t>
  </si>
  <si>
    <t xml:space="preserve">[US] rtx 4090 GeForce RTX 409 for ?$1699? ?Link: ??Feb 10, 11:54 AM ET </t>
  </si>
  <si>
    <t xml:space="preserve">[£343.64]ASUS Dual NVIDIA GeForce RTX 3050 OC Edition Gaming GraphicsSource: Amazon Checker v3R (Offer Pop? </t>
  </si>
  <si>
    <t xml:space="preserve">Remember when I said over and over back in 2020-2021 that cards like the 3070 and 3080 were not going to age very w? </t>
  </si>
  <si>
    <t xml:space="preserve">F****e </t>
  </si>
  <si>
    <t xml:space="preserve">Lumbridge, Gielinor </t>
  </si>
  <si>
    <t xml:space="preserve">[$1267.84]PNY NVIDIA Quadro RTX A4000 Graphic Card - 16 GB GDDR6Source: ebay ListingReason: Sold by antonlineG? </t>
  </si>
  <si>
    <t xml:space="preserve">That was the entire reason I didn't buy a 3080 even before the prices went crazy.It was NVidia cheaping out massi? </t>
  </si>
  <si>
    <t xml:space="preserve">c****h </t>
  </si>
  <si>
    <t xml:space="preserve">In vertigo you will be </t>
  </si>
  <si>
    <t xml:space="preserve">Better Growth Stock: Nvidia vs. Apple </t>
  </si>
  <si>
    <t xml:space="preserve">Amazon?.es: Gigabyte Technology GeForce RTX 3060 Eagle 12G (Rev. 2.0) NVIDIA 12 GB GDDR6 (NO VALIDO para MINERIA?? </t>
  </si>
  <si>
    <t xml:space="preserve">Amazon?.fr: GIGABYTE GeForce RTX 3060 Eagle 12G (rev. 2.0) NVIDIA 12 Go GDDR6 Noir? ?384? </t>
  </si>
  <si>
    <t xml:space="preserve">Amazon?.fr: Zotac Gaming GeForce RTX 3060 Ti Twin Edge OC LHR NVIDIA 8 Go GDDR6 Noir? ?4? </t>
  </si>
  <si>
    <t xml:space="preserve">[US] asus 4070ti tuf (New) for ?$849??ATC: ?Link: ??Feb 10, 11:43 AM ET </t>
  </si>
  <si>
    <t xml:space="preserve">Speed also depends on the sampler and many parameters. Right now I'm generating images of food plates fo? </t>
  </si>
  <si>
    <t xml:space="preserve">h****o </t>
  </si>
  <si>
    <t xml:space="preserve">You're only revealing your own bias. Regulatory bodies unlike fans on this app are looki? </t>
  </si>
  <si>
    <t xml:space="preserve">n****_ </t>
  </si>
  <si>
    <t xml:space="preserve">Tomorrow is . At , we?re reflecting on the best initiative? </t>
  </si>
  <si>
    <t xml:space="preserve">On my pc it is?bc of Nvidia filtering?.. </t>
  </si>
  <si>
    <t xml:space="preserve">A****_ </t>
  </si>
  <si>
    <t xml:space="preserve">According to the NVIDIA website this game is not even on their games supported list lol So this was? </t>
  </si>
  <si>
    <t xml:space="preserve">Acer Predator Helios 300 PH315-54-760S Gaming Laptop, Intel i7-11800H, NVIDIA GeForce RTX 3060 Laptop GPU, 15.6 inc? </t>
  </si>
  <si>
    <t xml:space="preserve">Ar Rimayah, Riyadh 14611 </t>
  </si>
  <si>
    <t xml:space="preserve">NVIDIA, not many people know about this and you pointed it out earlier too. </t>
  </si>
  <si>
    <t xml:space="preserve">Nvidia will never again be value, even if they lose all metrics, which they won't. They will not sto? </t>
  </si>
  <si>
    <t xml:space="preserve">Hey man, great job. Could you please add DLSS 3 too? Many thanks </t>
  </si>
  <si>
    <t xml:space="preserve">nowhere </t>
  </si>
  <si>
    <t xml:space="preserve">Outplayed/overwolf is decent, it records the entire game but has time stamps for kills and s? </t>
  </si>
  <si>
    <t xml:space="preserve">K****i </t>
  </si>
  <si>
    <t xml:space="preserve">What a mess of a company. Reported dump files indicating failure in their products.? </t>
  </si>
  <si>
    <t xml:space="preserve">What a mess of a company. Reported dump files indicating failure in their p? </t>
  </si>
  <si>
    <t xml:space="preserve">Octoml, NVIDIA, Amazon... </t>
  </si>
  <si>
    <t xml:space="preserve">Aiguafreda </t>
  </si>
  <si>
    <t xml:space="preserve">position traders' interests go. And if you did enter for the first time in a stock like Nvidia in Oct last year, it? </t>
  </si>
  <si>
    <t xml:space="preserve">B****6 </t>
  </si>
  <si>
    <t xml:space="preserve">point-E can do 3d, but still really early and Nvidia has something. its not the? </t>
  </si>
  <si>
    <t xml:space="preserve">C****6 </t>
  </si>
  <si>
    <t xml:space="preserve">is unplayable on pc, I have NVIDIA GeForce GTX 1660 Super graphics card with 16gb of ram which sur? </t>
  </si>
  <si>
    <t xml:space="preserve">R****h </t>
  </si>
  <si>
    <t xml:space="preserve">Cheshire </t>
  </si>
  <si>
    <t xml:space="preserve">it's not about either, driver stability is a big factor, besides the nvidia specific beta/research too? </t>
  </si>
  <si>
    <t xml:space="preserve">He/Any </t>
  </si>
  <si>
    <t xml:space="preserve">The issue here is a very obvious VRAM over spill problem !!! Here clearly s? </t>
  </si>
  <si>
    <t xml:space="preserve">m****5 </t>
  </si>
  <si>
    <t xml:space="preserve">Nvidia and Shopify have been my fav stocks since Oct. And they have performed and how? Both rose some 100% each fro? </t>
  </si>
  <si>
    <t xml:space="preserve">[US] asus 4070ti tuf (New) for ?$849??ATC: ?Link: ??Feb 10, 11:28 AM ET </t>
  </si>
  <si>
    <t xml:space="preserve">Nvidia RTX 4090 GPUs are great, but have you tried stuffing four of them into one workstation? The new Comino Gran? </t>
  </si>
  <si>
    <t xml:space="preserve">C****h </t>
  </si>
  <si>
    <t xml:space="preserve">Can we always expect Nvidia's self-driving platforms like Nvidia's Hyperion 9 to always be fitted to Lucid Air?? </t>
  </si>
  <si>
    <t xml:space="preserve">c****9 </t>
  </si>
  <si>
    <t xml:space="preserve">ABX3129B762N768AXaa5f56 Photo Crop Confidence Score:? </t>
  </si>
  <si>
    <t xml:space="preserve">So Nvidia should have gotten ARM then? </t>
  </si>
  <si>
    <t xml:space="preserve">s****3 </t>
  </si>
  <si>
    <t xml:space="preserve">JUST A FEW DAYS TO GET A REAL STEAL! Head to our page here . Don?t miss out on a? </t>
  </si>
  <si>
    <t xml:space="preserve">J****N </t>
  </si>
  <si>
    <t xml:space="preserve">Franklin Lakes, NJ </t>
  </si>
  <si>
    <t xml:space="preserve">NVIDIA eyes. ? ? </t>
  </si>
  <si>
    <t xml:space="preserve">+ are inevitable. Just look at Nvidia DLSS already ? </t>
  </si>
  <si>
    <t xml:space="preserve">L****n </t>
  </si>
  <si>
    <t xml:space="preserve">Found a 2060 vs 2060 12GB review.... news flash, literally 1-2FPS difference.? </t>
  </si>
  <si>
    <t xml:space="preserve">[US] asus 4070ti tuf (New) for ?$849??ATC: ?Link: ??Feb 10, 11:13 AM ET </t>
  </si>
  <si>
    <t xml:space="preserve">NVIDIA Announces New Studio Laptops Powered by GeForce RTX GPUs To Unleash Creativity </t>
  </si>
  <si>
    <t xml:space="preserve">s****t </t>
  </si>
  <si>
    <t xml:space="preserve">?????? </t>
  </si>
  <si>
    <t xml:space="preserve">fox had no relationship with any other major film and movie company ABK is the biggest? </t>
  </si>
  <si>
    <t xml:space="preserve">g****2 </t>
  </si>
  <si>
    <t xml:space="preserve">CONFIGURATIONlaptop Name - HPModel - SPECTRE 15 GEMCUT GOLDProcessor ? intel core i7 - 10th GenerationProcesso? </t>
  </si>
  <si>
    <t xml:space="preserve">L****g </t>
  </si>
  <si>
    <t xml:space="preserve">Wow?. 16gb? ? That?s a lot6GB NVidia RTX graphics card isn?t a joke in anyways. </t>
  </si>
  <si>
    <t xml:space="preserve">I would love to be able to recommend Radeon, because frankly Nvidia sucksBut there are areas where Nv? </t>
  </si>
  <si>
    <t xml:space="preserve">UPS920B763N322UPa3778e Photo Crop Confidence Score: 0? </t>
  </si>
  <si>
    <t xml:space="preserve">feeling worse and worse about my 3070 purchase with every passing day. i really dont understand nv? </t>
  </si>
  <si>
    <t xml:space="preserve">B****g </t>
  </si>
  <si>
    <t xml:space="preserve">Hamburg </t>
  </si>
  <si>
    <t xml:space="preserve">Do you have an RTX graphics card? If so use Nvidia broadcast. Otherwise is rather good </t>
  </si>
  <si>
    <t xml:space="preserve">London </t>
  </si>
  <si>
    <t xml:space="preserve">The has the potential to revolutionize the way we work, play, and interact. Ronnie Vasishta will explain? </t>
  </si>
  <si>
    <t xml:space="preserve">Just READ the post and TRY to understand before you post anything. He's? </t>
  </si>
  <si>
    <t xml:space="preserve">Hmm i see, gpu driver esp is painful in linux (at least nvidia in ubuntu based on experience). </t>
  </si>
  <si>
    <t xml:space="preserve">e****_ </t>
  </si>
  <si>
    <t xml:space="preserve">Sanssouci </t>
  </si>
  <si>
    <t xml:space="preserve">[US] asus 4070ti tuf (New) for ?$849??ATC: ?Link: ??Feb 10, 10:57 AM ET </t>
  </si>
  <si>
    <t xml:space="preserve">ZOTAC GEFORCE RTX 4090 TRINITY now in stock at Amazon for $1599.99. ? </t>
  </si>
  <si>
    <t xml:space="preserve">This guy did it with the built in power supply and splitting the 2x8 pins to 4x 8pins. At? </t>
  </si>
  <si>
    <t xml:space="preserve">d****_ </t>
  </si>
  <si>
    <t xml:space="preserve">Always options first. Have to ensure subtitles are on, performance mode is on, and check the HDR settings.? </t>
  </si>
  <si>
    <t xml:space="preserve">j****o </t>
  </si>
  <si>
    <t xml:space="preserve">Helsinki, Finland </t>
  </si>
  <si>
    <t xml:space="preserve">High Performance Gaming PC ??? Razer BladeCore i7 10th Gen1tb ssd32gb Ram16gb Nvidia RTX 3080Keyboard Light? </t>
  </si>
  <si>
    <t xml:space="preserve">Amazon?.de: ASUS Phoenix GeForce RTX 3060 12G V2 Gaming Grafikkarte (LHR (Lite Hash Rate), Nvidia RTX3060, 12GB ?? </t>
  </si>
  <si>
    <t xml:space="preserve">Nvidia s.ucks balls still going with only 12gb vram on the 4070 series. Should be at least 256 bit 16 gb </t>
  </si>
  <si>
    <t xml:space="preserve">Did you check the new eye contact feature by ?This feature enhances virtual communication using to make? </t>
  </si>
  <si>
    <t xml:space="preserve">C****2 </t>
  </si>
  <si>
    <t xml:space="preserve">NVIDIA has the ultimate solution for blurry and pixelated videos </t>
  </si>
  <si>
    <t xml:space="preserve">g****m </t>
  </si>
  <si>
    <t xml:space="preserve">Explore Dell Alienware's thinnest &amp;amp; lightest 15? high-performance Laptop X15 R116GB Ram, 2TB SSD | Intel Core i7 P? </t>
  </si>
  <si>
    <t xml:space="preserve">e****m </t>
  </si>
  <si>
    <t xml:space="preserve">Lusaka, Zambia </t>
  </si>
  <si>
    <t xml:space="preserve">[US] asus 4070ti tuf (New) for ?$849??ATC: ?Link: ??Feb 10, 10:40 AM ET </t>
  </si>
  <si>
    <t xml:space="preserve">The main thing will be the power supply and cables. You could need to have an open case.? </t>
  </si>
  <si>
    <t xml:space="preserve">Manchester UK </t>
  </si>
  <si>
    <t xml:space="preserve">Amazon (FR): GIGABYTE GeForce RTX 3070 Gaming OC 8G (rev. 2.0) NVIDIA 8 Go GDDR6 Noir </t>
  </si>
  <si>
    <t xml:space="preserve">Shader complication issues are new and did not exist until D? </t>
  </si>
  <si>
    <t xml:space="preserve">Birmingham, UK </t>
  </si>
  <si>
    <t xml:space="preserve">Hot damn. Unless you crank up settings and resolution Nvidia cards hit a brick wall with a CPU bottleneck. At 144? </t>
  </si>
  <si>
    <t xml:space="preserve">Primal, Lamia </t>
  </si>
  <si>
    <t xml:space="preserve">M****S </t>
  </si>
  <si>
    <t xml:space="preserve">Just tell me the graphics card of this Engine is Nvidia RTX ??? </t>
  </si>
  <si>
    <t xml:space="preserve">I play on PC, however i managed to fix a little FPS issue, PC players need to turn off Nvidia Reflex and Ra? </t>
  </si>
  <si>
    <t xml:space="preserve">s****e </t>
  </si>
  <si>
    <t xml:space="preserve">Plymouth, England </t>
  </si>
  <si>
    <t xml:space="preserve">J****3 </t>
  </si>
  <si>
    <t xml:space="preserve">Hp OMEN 3 PRO gaming laptop 15.6inchK789,000?Intel core i5-7th Generation 2.5ghz ?8gb Ram ?SSD256gb+1TB HDD?NVIDI? </t>
  </si>
  <si>
    <t xml:space="preserve">E****x </t>
  </si>
  <si>
    <t xml:space="preserve">Malawi </t>
  </si>
  <si>
    <t xml:space="preserve">American used Razer blade 1532gb ram1 TB SSD Core i710th gen16gb Nvidia dedicated graphics RTX 30804k displa? </t>
  </si>
  <si>
    <t xml:space="preserve">Nvidia keeps robbing you and you?re in complete submission with 0 resistance ? </t>
  </si>
  <si>
    <t xml:space="preserve">V****l </t>
  </si>
  <si>
    <t xml:space="preserve">Also I somehow have been sleeping under a rock because I legitimately only noticed yesterday that NVIDIA Broadcast? </t>
  </si>
  <si>
    <t xml:space="preserve">Comms open </t>
  </si>
  <si>
    <t xml:space="preserve">L2D riggers! Can you use the mouth &amp;amp; / face blend shapes using VTS? NVIDIA broadcast or is it exclusive to VBridger ? </t>
  </si>
  <si>
    <t xml:space="preserve">I wonder if people will easily get one on release. Or will it be a farce like when the 30 series nvidia cards came out </t>
  </si>
  <si>
    <t xml:space="preserve">S****v </t>
  </si>
  <si>
    <t xml:space="preserve">T-Shirt Marketing: How to Market a T-Shirt Business ? </t>
  </si>
  <si>
    <t xml:space="preserve">v****_ </t>
  </si>
  <si>
    <t xml:space="preserve">Calicut </t>
  </si>
  <si>
    <t xml:space="preserve">ABX3152B762N767AXaa5b9f Photo Crop Confidence Score:? </t>
  </si>
  <si>
    <t xml:space="preserve">IN STOCK ALERT - DE ??Zotac Gaming GeForce RTX 4090 Trinity OC and 1 other listing are in stock at Amazon? </t>
  </si>
  <si>
    <t xml:space="preserve">[US] asus 4070ti tuf (New) for ?$849??ATC: ?Link: ??Feb 10, 10:20 AM ET </t>
  </si>
  <si>
    <t xml:space="preserve">Headlines of NCN?s Top 10 News of the Week???? ???? ? ? </t>
  </si>
  <si>
    <t xml:space="preserve">New Delhi </t>
  </si>
  <si>
    <t xml:space="preserve">The VPN could be at the router level maybe? Would certainly increase the complexity a lot? </t>
  </si>
  <si>
    <t xml:space="preserve">w****w </t>
  </si>
  <si>
    <t xml:space="preserve">Lenovo ThinkPad P53s 20N6004XUS 15.6" Touchscreen Mobile Workstation - 1920 x 1080 - Core i? </t>
  </si>
  <si>
    <t xml:space="preserve">Z****p </t>
  </si>
  <si>
    <t xml:space="preserve">I'm not using DLSS, seeing how Nvidia hasn't released a driver update, with DLSS? </t>
  </si>
  <si>
    <t xml:space="preserve">O****0 </t>
  </si>
  <si>
    <t xml:space="preserve">Lenovo ThinkPad P53s 20N60053US 15.6" Touchscreen Mobile Workstation - 1920 x 1080 - Core i? </t>
  </si>
  <si>
    <t xml:space="preserve">The Nvidia driver update made my whole PC perform worse lol hope that gets fixed as well. I?d imagine it w? </t>
  </si>
  <si>
    <t xml:space="preserve">Nvidia be like: eew you still have a 3070? </t>
  </si>
  <si>
    <t xml:space="preserve">A****3 </t>
  </si>
  <si>
    <t xml:space="preserve">Helsinki </t>
  </si>
  <si>
    <t xml:space="preserve">Rogue Carrier for AGX Orin has arrived. Its small form factor integrates perfectly with the NVIDIA Jetson AGX Orin?? </t>
  </si>
  <si>
    <t xml:space="preserve">s****y </t>
  </si>
  <si>
    <t xml:space="preserve">Yeah, not arguing with you at all. Both companies have their pros and cons. Nvidia gene? </t>
  </si>
  <si>
    <t xml:space="preserve">L****r </t>
  </si>
  <si>
    <t xml:space="preserve">RTX Video Super Resolution : le DLSS pour YouTube, Netflix et Twitch arrive </t>
  </si>
  <si>
    <t xml:space="preserve">f****r </t>
  </si>
  <si>
    <t xml:space="preserve">Tou </t>
  </si>
  <si>
    <t xml:space="preserve">It's not called that all I can find is references to Google using nvidia GPU's </t>
  </si>
  <si>
    <t xml:space="preserve">h****9 </t>
  </si>
  <si>
    <t xml:space="preserve">Swansea, Wales </t>
  </si>
  <si>
    <t xml:space="preserve">imagine charging $70 for a game on what's essentially an underclocked nvidia shield portable from 2013 </t>
  </si>
  <si>
    <t xml:space="preserve">h****l </t>
  </si>
  <si>
    <t xml:space="preserve">Asus ROG Zephyrus M1515.6 inch FHD display 16gb ram1tb SSDCore i710th generation Nvidia GeForce rtx 2070 ma? </t>
  </si>
  <si>
    <t xml:space="preserve">_****i </t>
  </si>
  <si>
    <t xml:space="preserve">Otigba Strt, Compt Vill, ikeja </t>
  </si>
  <si>
    <t xml:space="preserve">Nvidia Please fix your shit! </t>
  </si>
  <si>
    <t xml:space="preserve">smae thing happens to me for nvidia, im playing a game, new driver update comes out, i g? </t>
  </si>
  <si>
    <t xml:space="preserve">You can play on Xbox via Geforce Now. All you need is a Steam account, a Geforce Now acco? </t>
  </si>
  <si>
    <t xml:space="preserve">P****h </t>
  </si>
  <si>
    <t xml:space="preserve">UK USEDASUS ZenBook Pro Duo Laptop, 15.6? OLED 4K UHD Touch DisplayI9 10th Gen32GB RAM1TB SSDNvidia GeForce R? </t>
  </si>
  <si>
    <t xml:space="preserve">The only downside is each laptop is the size of a healthy mammal and costs as much as a purebred dog. </t>
  </si>
  <si>
    <t xml:space="preserve">everyone! Who's up for some gaming this weekend? ?????The HST F3 Red G Series 8GB RAM 500GB GT730 NV? </t>
  </si>
  <si>
    <t xml:space="preserve">H****K </t>
  </si>
  <si>
    <t xml:space="preserve">I tried my 3090 in it and it was VERY tight but worked flawlessly. I use the eGPU on my Lapto? </t>
  </si>
  <si>
    <t xml:space="preserve">[US] asus 4070ti tuf (New) for ?$849??ATC: ?Link: ??Feb 10, 9:58 AM ET </t>
  </si>
  <si>
    <t xml:space="preserve">NVidia Shadow Play </t>
  </si>
  <si>
    <t xml:space="preserve">i****e </t>
  </si>
  <si>
    <t xml:space="preserve">Interesting. This guy got it in though, you just gotta bend a bit of metal on the Razer Core? </t>
  </si>
  <si>
    <t xml:space="preserve">That's the point of this software "features", Nvidia can take these back at any g? </t>
  </si>
  <si>
    <t xml:space="preserve">L****I </t>
  </si>
  <si>
    <t xml:space="preserve">Pingfan Wu, a senior architectural researcher at the Hunan Architectural Design Institute (HNADI) Group in south-ce? </t>
  </si>
  <si>
    <t xml:space="preserve">Amazon (DE): Gigabyte GeForce RTX 4090 Gaming OC 24G NVIDIA 24 GB GDDR6X ?1955.61 as? </t>
  </si>
  <si>
    <t xml:space="preserve">can i run this game in 8gb ram, nvidia rtx 3050 4gb, ryzen7 5800H? </t>
  </si>
  <si>
    <t xml:space="preserve">It's the zephyrus M16 (non led back) edition. Graphics is RTX 4090 mobile. </t>
  </si>
  <si>
    <t xml:space="preserve">t****m </t>
  </si>
  <si>
    <t xml:space="preserve">india </t>
  </si>
  <si>
    <t xml:space="preserve">Just like every other Nvidia tech it is "enticing" untill it isn't.It was the s? </t>
  </si>
  <si>
    <t xml:space="preserve">What?s new in AI? Find the latest articles, white papers, and more about AI, HPC, and cloud vs. on-prem. See how Mi? </t>
  </si>
  <si>
    <t xml:space="preserve">Amazon?.fr: Zotac Carte Graphique Nvidia GeForce RTX 4080 Trinity 16Go? ?1,471.00 as of? </t>
  </si>
  <si>
    <t xml:space="preserve">ASUS Vivobook X513EP-EJ1142 , 15.6 Inch FHD , Intel Core i7-1165G7 , Nvidia Geforce MX330 2GB , 8GB RAM DDR4 , Stor? </t>
  </si>
  <si>
    <t xml:space="preserve">Dell Inspiron 15 3511 2022 Laptop, 11th Gen Intel Core i7-1165G7, 15.6 Inch FHD, 512GB SSD, 8 GB RAM, NVIDIA® GeFor? </t>
  </si>
  <si>
    <t xml:space="preserve">Dell G15 5520 Latest Gaming Laptop, 12th Gen Intel Core i7-12700H, 15.6 Inch FHD, 512GB SSD, 16 GB RAM, NVIDIA GeFo? </t>
  </si>
  <si>
    <t xml:space="preserve">ASUS VivoBook , X1500EP-BQ542W , 15.6" FHD , Core i7 1165G7 ,8GB RAM,512 SSD ,Nvidia MX330 2GB DDR5, AR-EN Keyboard? </t>
  </si>
  <si>
    <t xml:space="preserve">Dell Inspiron 16 5620 Latest 2022 Laptop, 12th Gen Intel Core i7-1255U, 16 Inch FHD, 1TB SSD, 16 GB RAM, NVIDIA® Ge? </t>
  </si>
  <si>
    <t xml:space="preserve">Better late than never. I?m learning UIUX design and also a football show host. Would need th? </t>
  </si>
  <si>
    <t xml:space="preserve">Nigeria </t>
  </si>
  <si>
    <t xml:space="preserve">ASUS ROG Flow Z13 (2022) Gaming Laptop Tablet,13.4? 120Hz FHD+ Display,NVIDIA GeForce RTX 3050,Intel Core i7-12700H? </t>
  </si>
  <si>
    <t xml:space="preserve">HUAWEI MateBook X Pro 2020 Laptop, 13.9-Inch Full View Touchscreen Ultrabook, 10th Gen Intel i7-10510U , 16GB RAM,? </t>
  </si>
  <si>
    <t xml:space="preserve">All metrics?What does that mean exactly?AMD could decide to have lower prices, so it would win th? </t>
  </si>
  <si>
    <t xml:space="preserve">I****V </t>
  </si>
  <si>
    <t xml:space="preserve">Mirova US LLC increased stake in $NVDA (NVIDIA CORPORATION) to 236.71 Billion according to recent filing: </t>
  </si>
  <si>
    <t xml:space="preserve">t****r </t>
  </si>
  <si>
    <t xml:space="preserve">up 24% YTD - nae bad - would have thought it might be another early lead... but storm? </t>
  </si>
  <si>
    <t xml:space="preserve">o****z </t>
  </si>
  <si>
    <t xml:space="preserve">Paddington Station </t>
  </si>
  <si>
    <t xml:space="preserve">[US] asus 4070ti tuf (New) for ?$849??ATC: ?Link: ??Feb 10, 9:39 AM ET </t>
  </si>
  <si>
    <t xml:space="preserve">I didnt have time to do it yet. But the oficial hogwarts legacy Page sai? </t>
  </si>
  <si>
    <t xml:space="preserve">p****4 </t>
  </si>
  <si>
    <t xml:space="preserve">UnB </t>
  </si>
  <si>
    <t xml:space="preserve">IGNORE leaks and go with your gut instincts, if you had to guess, will Nvidia or AMD be 'on top' for RTX 50/RDNA 4?? </t>
  </si>
  <si>
    <t xml:space="preserve">I think this is just if you are using an Intel GFX card. If you are using an Nvidia or AMD card you? </t>
  </si>
  <si>
    <t xml:space="preserve">O****2 </t>
  </si>
  <si>
    <t xml:space="preserve">Western Sydney </t>
  </si>
  <si>
    <t xml:space="preserve">IN STOCK ALERT - CA ??MSI Gaming GeForce RTX 4090 24GB GDRR6X 384-Bit HDMI/DP Nvlink Tri-Frozr 3 Ada Lovelace? </t>
  </si>
  <si>
    <t xml:space="preserve">Im palying game on PC since 3 days we need patch. My windows and nvidia drivers are lastes version.? </t>
  </si>
  <si>
    <t xml:space="preserve">o****y </t>
  </si>
  <si>
    <t xml:space="preserve">Working on some new blog article around cluster building with a Mac M1. Tbh, bye NVIDIA, hello Apple! Price/Perform? </t>
  </si>
  <si>
    <t xml:space="preserve">X****k </t>
  </si>
  <si>
    <t xml:space="preserve">Belgium </t>
  </si>
  <si>
    <t xml:space="preserve">When AMD's software is awful there isn't really much options out there unfortunately.? </t>
  </si>
  <si>
    <t xml:space="preserve">L****N </t>
  </si>
  <si>
    <t xml:space="preserve">?? United Kingdom ?? </t>
  </si>
  <si>
    <t xml:space="preserve">21 days. TWENTYONE DAYS. That's really cruel.. . Linux users are second choice users.You treat u? </t>
  </si>
  <si>
    <t xml:space="preserve">B****x </t>
  </si>
  <si>
    <t xml:space="preserve">Tyrol </t>
  </si>
  <si>
    <t xml:space="preserve">NVIDIA Launches New Studio Laptops Powered by GeForce RTX GPUs - </t>
  </si>
  <si>
    <t xml:space="preserve">Dubai, United Arab Emirates </t>
  </si>
  <si>
    <t xml:space="preserve">Nvidia is launching more laptop GPUs than desktop ones.?In the Video:1. Nvidia launches mobile RTX 4080/40902.? </t>
  </si>
  <si>
    <t xml:space="preserve">Can read the T&amp;amp;Cs here: </t>
  </si>
  <si>
    <t xml:space="preserve">Congratulations to for winning the GeForce RTX 4070 Ti in the NVIDIA Reflex Challenge! T? </t>
  </si>
  <si>
    <t xml:space="preserve">nvidia fans cant accept </t>
  </si>
  <si>
    <t xml:space="preserve">select full screen in nvidia settings </t>
  </si>
  <si>
    <t xml:space="preserve">m****1 </t>
  </si>
  <si>
    <t xml:space="preserve">Kalyan Dombivali, India </t>
  </si>
  <si>
    <t xml:space="preserve">that is called stretched only. and you have to change the settings to stretch from nvidi? </t>
  </si>
  <si>
    <t xml:space="preserve">s****8 </t>
  </si>
  <si>
    <t xml:space="preserve">Kolkata, India </t>
  </si>
  <si>
    <t xml:space="preserve">Social Boost: How to Boost Social Media Presence in 2023 ? </t>
  </si>
  <si>
    <t xml:space="preserve">J****0 </t>
  </si>
  <si>
    <t xml:space="preserve">That is objectively false as nvidia did not optimize performance dedicated for Hogwarts Legacy. The? </t>
  </si>
  <si>
    <t xml:space="preserve">6600 was the most profitable 3D card in the $250-300/euro category, since Nvidia offers only the RTX 3050 at this p? </t>
  </si>
  <si>
    <t xml:space="preserve">[US] asus 4070ti tuf (New) for ?$849??ATC: ?Link: ??Feb 10, 9:22 AM ET </t>
  </si>
  <si>
    <t xml:space="preserve">MUX Switch with NVIDIA Advanced Optimus </t>
  </si>
  <si>
    <t xml:space="preserve">A****J </t>
  </si>
  <si>
    <t xml:space="preserve">Fremont, California </t>
  </si>
  <si>
    <t xml:space="preserve">stock: 2023/02/10 04:20(EST)ASUS ROG XG Mobile External GPU Dock, NVIDIA GeForce RTX 3080 16GB, Lo $1,499.99??? </t>
  </si>
  <si>
    <t xml:space="preserve">Stocks on my watchlist for day trades to the downside if they fall below the levels listed$TLT ETF? </t>
  </si>
  <si>
    <t xml:space="preserve">M****e </t>
  </si>
  <si>
    <t xml:space="preserve">Landover/ West Baltimore </t>
  </si>
  <si>
    <t xml:space="preserve">Mellanox MCX512A-ACAT ConnectX-5 EN Network Interface Card Dual Port SFP28 PCIe 3x8E-Mail?service-energyit.com? </t>
  </si>
  <si>
    <t xml:space="preserve">E****u </t>
  </si>
  <si>
    <t xml:space="preserve">can nvidia pls fix their shit i miss the my filters for val </t>
  </si>
  <si>
    <t xml:space="preserve">k****i </t>
  </si>
  <si>
    <t xml:space="preserve">any | les </t>
  </si>
  <si>
    <t xml:space="preserve">MSI GEFORCE RTX 4090 SUPRIM LIQUID X now in stock at Amazon for $1749.99. </t>
  </si>
  <si>
    <t xml:space="preserve">And 360/GameCube/PS3 were still powered by AMD/Ati and Nvidia graphics? </t>
  </si>
  <si>
    <t xml:space="preserve">G****K </t>
  </si>
  <si>
    <t xml:space="preserve">[$452.92]Lenovo NVIDIA GeForce RTX 3060 Graphic Card - 12 GB GDDR6X : ebay ListingRea? </t>
  </si>
  <si>
    <t xml:space="preserve">that sucks! I had a similar issue (where my PC would lag and the mouse would stutter and start making a? </t>
  </si>
  <si>
    <t xml:space="preserve">H****y </t>
  </si>
  <si>
    <t xml:space="preserve">Sydney, Australia </t>
  </si>
  <si>
    <t xml:space="preserve">Nvidia need you buy new RTX4000 </t>
  </si>
  <si>
    <t xml:space="preserve">O****5 </t>
  </si>
  <si>
    <t xml:space="preserve">????? </t>
  </si>
  <si>
    <t xml:space="preserve">We have a gaming industry dominated by AMD tech in various designs and a? </t>
  </si>
  <si>
    <t xml:space="preserve">T****l </t>
  </si>
  <si>
    <t xml:space="preserve">Pays de la LoireFR, Nantes </t>
  </si>
  <si>
    <t xml:space="preserve">Drivers hasn't fixed any of the issues. Troubleshooting steps neither. Seems to be primarily Nvidia? </t>
  </si>
  <si>
    <t xml:space="preserve">J****t </t>
  </si>
  <si>
    <t xml:space="preserve">Nvidia gouges customers money but yet, apple gets the most hate Google tracks everything they do? </t>
  </si>
  <si>
    <t xml:space="preserve">Best Buy [$1699.99]: GIGABYTE - NVIDIA GeForce RTX 4090 Gaming OC 24GB? 40 at BB? </t>
  </si>
  <si>
    <t xml:space="preserve">[US] asus 4070ti tuf (New) for ?$849??ATC: ?Link: ??Feb 10, 9:03 AM ET </t>
  </si>
  <si>
    <t xml:space="preserve">Hasn't it been a tendency for many generations, including the 700 series, to generally having too? </t>
  </si>
  <si>
    <t xml:space="preserve">N****6 </t>
  </si>
  <si>
    <t xml:space="preserve">Denmark </t>
  </si>
  <si>
    <t xml:space="preserve">Amazon?.co?.uk: Zotac GAMING NVIDIA GeForce RTX 3060? £414.52 as of ? 09:02:51 UTC? Sol? </t>
  </si>
  <si>
    <t xml:space="preserve">WARNING: zero Nvidia rig ?? </t>
  </si>
  <si>
    <t xml:space="preserve">Nairobi, Kenya </t>
  </si>
  <si>
    <t xml:space="preserve">Day 2 at with , showcasing their AI software - Cityvision running on our BOXER-8240AI based o? </t>
  </si>
  <si>
    <t xml:space="preserve">Plus the new NVIDIA Omniverse Unreal Engine Connector 200.2 is out now unlocking the ability to open, edit and syn? </t>
  </si>
  <si>
    <t xml:space="preserve">Driverissue? Is it a Nvidia card? </t>
  </si>
  <si>
    <t xml:space="preserve">E****r </t>
  </si>
  <si>
    <t xml:space="preserve">Internet </t>
  </si>
  <si>
    <t xml:space="preserve">Joins Hunt for ET: Study Finds 8 Potential Alien Signals | ?? </t>
  </si>
  <si>
    <t xml:space="preserve">Glocal // SoFL </t>
  </si>
  <si>
    <t xml:space="preserve">About the BM800 I recommended that has been tested before, got a lot of peeps to use it and you can? </t>
  </si>
  <si>
    <t xml:space="preserve">Z****x </t>
  </si>
  <si>
    <t xml:space="preserve">with vsync and unlimited frames - it looks OK. probably about the same as without vsync and with rust limiting the? </t>
  </si>
  <si>
    <t xml:space="preserve">kilgoar.su </t>
  </si>
  <si>
    <t xml:space="preserve">In this webinar, learn how to build Isaac ROS on your NVIDIA and your workstation. Starting with an introdu? </t>
  </si>
  <si>
    <t xml:space="preserve">Too late for the answer but that one function captures the active window. I can't say about mac but nV? </t>
  </si>
  <si>
    <t xml:space="preserve">P****V </t>
  </si>
  <si>
    <t xml:space="preserve">Discount Quick Deal :Mint ConditionAcer Nitro 5Core i5 10th Gen512 ssd16gb Ram4gb Nvidia 1650RGB Keyboard? </t>
  </si>
  <si>
    <t xml:space="preserve">man I hate those folks who complain about high hardware prices. What t? </t>
  </si>
  <si>
    <t xml:space="preserve">Coruscant </t>
  </si>
  <si>
    <t xml:space="preserve">Y****e </t>
  </si>
  <si>
    <t xml:space="preserve">RTX Video Super Resolution : le DLSS pour YouTube, Netflix et Twitch arriveSource: Frandroid ://t.co/yRAqyTC4Ka </t>
  </si>
  <si>
    <t xml:space="preserve">G****f </t>
  </si>
  <si>
    <t xml:space="preserve">Metaverse </t>
  </si>
  <si>
    <t xml:space="preserve">shit. This is why i am afraid to update. Did you try to install it again and do a "cle? </t>
  </si>
  <si>
    <t xml:space="preserve">W****h </t>
  </si>
  <si>
    <t xml:space="preserve">Hogwarts Castle </t>
  </si>
  <si>
    <t xml:space="preserve">N662CHGLF6N662CHa8bbe1 Photo Crop Confidence Score: 0.8? </t>
  </si>
  <si>
    <t xml:space="preserve">IN STOCK ALERT - UK ??Zotac VGA RTX4090 24 Go AMP Extreme AIRO, ZT-D40900B-10P is in stock at Amazon for £1,80? </t>
  </si>
  <si>
    <t xml:space="preserve">[US] asus 4070ti tuf (New) for ?$849??ATC: ?Link: ??Feb 10, 8:47 AM ET </t>
  </si>
  <si>
    <t xml:space="preserve">[$469.06]Lenovo NVIDIA RTX A2000 Graphic Card - 6 GB GDDR6Source: ebay ListingReason: Sold by antonlineGet the? </t>
  </si>
  <si>
    <t xml:space="preserve">IN STOCK ALERT - UK ??Gigabyte GeForce RTX 4090 WINDFORCE 24GB Graphics Card is in stock at Amazon for £1,849.? </t>
  </si>
  <si>
    <t xml:space="preserve">[Components] WTS: 2, DELL, NVIDIA TESLA T4 16GB HCKJM, REFURB, 950 EUR Link to the offer ?? </t>
  </si>
  <si>
    <t xml:space="preserve">Taiwan Already Has 3-nm Chips; Why the U.S. Lags ? </t>
  </si>
  <si>
    <t xml:space="preserve">P****O </t>
  </si>
  <si>
    <t xml:space="preserve">Barcelona, Catalunya </t>
  </si>
  <si>
    <t xml:space="preserve">RTX Video Super Resolution : le DLSS pour YouTube, Netflix et Twitch arrive &amp;gt;&amp;gt; Frandroid &amp;lt;&amp;lt; </t>
  </si>
  <si>
    <t xml:space="preserve">b****k </t>
  </si>
  <si>
    <t xml:space="preserve">sur mon smartphone </t>
  </si>
  <si>
    <t xml:space="preserve">One month ago: But all good, it?s still great tech! Blew my mind too when I saw it making the rounds. </t>
  </si>
  <si>
    <t xml:space="preserve">G****i </t>
  </si>
  <si>
    <t xml:space="preserve">Join my newsletter ? </t>
  </si>
  <si>
    <t xml:space="preserve">[US] gigabyte 4090 windforce (New) for ?$1699??ATC: ?Link: ? </t>
  </si>
  <si>
    <t xml:space="preserve">Learn how to improve your customers? contact center experience with a speech AI-based ? </t>
  </si>
  <si>
    <t xml:space="preserve">Nvidia will launch the R530 version driver later this month: Brings RTX VSR functionality </t>
  </si>
  <si>
    <t xml:space="preserve">Vnorovy, ?eská republika </t>
  </si>
  <si>
    <t xml:space="preserve">Shared from a Reddit post. Cancelled Interview - Nvidia </t>
  </si>
  <si>
    <t xml:space="preserve">R****3 </t>
  </si>
  <si>
    <t xml:space="preserve">I had a technical interview scheduled at Nvidia in the coming week. The recruiter called me yesterday and said that? </t>
  </si>
  <si>
    <t xml:space="preserve">Yeah it's unstable, but the day-1 patch that comes out today should hopefully fix most of that stuff. Also? </t>
  </si>
  <si>
    <t xml:space="preserve">T****4 </t>
  </si>
  <si>
    <t xml:space="preserve">nvidia damned us to windows, i don?t like it either </t>
  </si>
  <si>
    <t xml:space="preserve">k****l </t>
  </si>
  <si>
    <t>created_at</t>
  </si>
  <si>
    <t>text</t>
  </si>
  <si>
    <t>user</t>
  </si>
  <si>
    <t>location</t>
  </si>
  <si>
    <t>retweet_count</t>
  </si>
  <si>
    <t>favorite_count</t>
  </si>
  <si>
    <t>lang</t>
  </si>
  <si>
    <t>IsDup</t>
  </si>
  <si>
    <t>Positive</t>
  </si>
  <si>
    <t>Negative</t>
  </si>
  <si>
    <t>admire</t>
  </si>
  <si>
    <t>bad</t>
  </si>
  <si>
    <t>beautiful</t>
  </si>
  <si>
    <t>ban</t>
  </si>
  <si>
    <t>best</t>
  </si>
  <si>
    <t>boycott</t>
  </si>
  <si>
    <t>better</t>
  </si>
  <si>
    <t>broke</t>
  </si>
  <si>
    <t>build</t>
  </si>
  <si>
    <t>cheat</t>
  </si>
  <si>
    <t>building</t>
  </si>
  <si>
    <t>close</t>
  </si>
  <si>
    <t>buy</t>
  </si>
  <si>
    <t>closing</t>
  </si>
  <si>
    <t>buying</t>
  </si>
  <si>
    <t>complaint</t>
  </si>
  <si>
    <t>calls</t>
  </si>
  <si>
    <t>concern</t>
  </si>
  <si>
    <t>clever</t>
  </si>
  <si>
    <t>crap</t>
  </si>
  <si>
    <t>cool</t>
  </si>
  <si>
    <t>crash</t>
  </si>
  <si>
    <t>cute</t>
  </si>
  <si>
    <t>cry</t>
  </si>
  <si>
    <t>easier</t>
  </si>
  <si>
    <t>dangerous</t>
  </si>
  <si>
    <t>easy</t>
  </si>
  <si>
    <t>die</t>
  </si>
  <si>
    <t>enjoy</t>
  </si>
  <si>
    <t>disaster</t>
  </si>
  <si>
    <t>excellent</t>
  </si>
  <si>
    <t>dislike</t>
  </si>
  <si>
    <t>fan</t>
  </si>
  <si>
    <t>drop</t>
  </si>
  <si>
    <t>favorite</t>
  </si>
  <si>
    <t>fake</t>
  </si>
  <si>
    <t>fix</t>
  </si>
  <si>
    <t>fee</t>
  </si>
  <si>
    <t>fund</t>
  </si>
  <si>
    <t>fine</t>
  </si>
  <si>
    <t>gain</t>
  </si>
  <si>
    <t>fraud</t>
  </si>
  <si>
    <t>good</t>
  </si>
  <si>
    <t>guilty</t>
  </si>
  <si>
    <t>gratitude</t>
  </si>
  <si>
    <t>hard</t>
  </si>
  <si>
    <t>great</t>
  </si>
  <si>
    <t>harm</t>
  </si>
  <si>
    <t>growth</t>
  </si>
  <si>
    <t>hate</t>
  </si>
  <si>
    <t>happy</t>
  </si>
  <si>
    <t>hated</t>
  </si>
  <si>
    <t>heaven</t>
  </si>
  <si>
    <t>hell</t>
  </si>
  <si>
    <t>high</t>
  </si>
  <si>
    <t>kill</t>
  </si>
  <si>
    <t>hope</t>
  </si>
  <si>
    <t>lose</t>
  </si>
  <si>
    <t>immaculate</t>
  </si>
  <si>
    <t>lost</t>
  </si>
  <si>
    <t>important</t>
  </si>
  <si>
    <t>low</t>
  </si>
  <si>
    <t>invest</t>
  </si>
  <si>
    <t>nightmare</t>
  </si>
  <si>
    <t>like</t>
  </si>
  <si>
    <t>outrage</t>
  </si>
  <si>
    <t>liked</t>
  </si>
  <si>
    <t xml:space="preserve">overvalued </t>
  </si>
  <si>
    <t>love</t>
  </si>
  <si>
    <t>panic</t>
  </si>
  <si>
    <t>loved</t>
  </si>
  <si>
    <t>poor</t>
  </si>
  <si>
    <t>nice</t>
  </si>
  <si>
    <t>problem</t>
  </si>
  <si>
    <t>open</t>
  </si>
  <si>
    <t>puts</t>
  </si>
  <si>
    <t>opening</t>
  </si>
  <si>
    <t>quit</t>
  </si>
  <si>
    <t>opportunity</t>
  </si>
  <si>
    <t>sad</t>
  </si>
  <si>
    <t>peaceful</t>
  </si>
  <si>
    <t>scam</t>
  </si>
  <si>
    <t>production</t>
  </si>
  <si>
    <t>scheme</t>
  </si>
  <si>
    <t>progress</t>
  </si>
  <si>
    <t>sell</t>
  </si>
  <si>
    <t>rally</t>
  </si>
  <si>
    <t>selling</t>
  </si>
  <si>
    <t>real</t>
  </si>
  <si>
    <t>selloff</t>
  </si>
  <si>
    <t>recover</t>
  </si>
  <si>
    <t>shambles</t>
  </si>
  <si>
    <t>reward</t>
  </si>
  <si>
    <t>shit</t>
  </si>
  <si>
    <t>rich</t>
  </si>
  <si>
    <t>sold</t>
  </si>
  <si>
    <t>right</t>
  </si>
  <si>
    <t>steal</t>
  </si>
  <si>
    <t>safe</t>
  </si>
  <si>
    <t>stealing</t>
  </si>
  <si>
    <t>safest</t>
  </si>
  <si>
    <t>sucks</t>
  </si>
  <si>
    <t>solution</t>
  </si>
  <si>
    <t>suffering</t>
  </si>
  <si>
    <t>success</t>
  </si>
  <si>
    <t>terrible</t>
  </si>
  <si>
    <t>successful</t>
  </si>
  <si>
    <t>traitor</t>
  </si>
  <si>
    <t>support</t>
  </si>
  <si>
    <t>ugly</t>
  </si>
  <si>
    <t>surge</t>
  </si>
  <si>
    <t>useless</t>
  </si>
  <si>
    <t>want</t>
  </si>
  <si>
    <t>violent</t>
  </si>
  <si>
    <t>win</t>
  </si>
  <si>
    <t>waste</t>
  </si>
  <si>
    <t>won</t>
  </si>
  <si>
    <t>worst</t>
  </si>
  <si>
    <t>fast</t>
  </si>
  <si>
    <t>quick</t>
  </si>
  <si>
    <t>exquisite</t>
  </si>
  <si>
    <t>expensive</t>
  </si>
  <si>
    <t>overpriced</t>
  </si>
  <si>
    <t>tragedy</t>
  </si>
  <si>
    <t>Overall Sentiment</t>
  </si>
  <si>
    <t>Average</t>
  </si>
  <si>
    <t>Total Positive</t>
  </si>
  <si>
    <t>Total Negative</t>
  </si>
  <si>
    <t>Total Neutral</t>
  </si>
  <si>
    <t>Average Sentiment By Location</t>
  </si>
  <si>
    <t>Favourited  Setiment</t>
  </si>
  <si>
    <t>Retweets by Sentiment Category</t>
  </si>
  <si>
    <t>Sum</t>
  </si>
  <si>
    <t>Australia</t>
  </si>
  <si>
    <t>Canada</t>
  </si>
  <si>
    <t>England</t>
  </si>
  <si>
    <t>France</t>
  </si>
  <si>
    <t>Germany</t>
  </si>
  <si>
    <t>India</t>
  </si>
  <si>
    <t>Ireland</t>
  </si>
  <si>
    <t>Scotland</t>
  </si>
  <si>
    <t>Netherlands</t>
  </si>
  <si>
    <t>South Africa</t>
  </si>
  <si>
    <t>China</t>
  </si>
  <si>
    <t>United States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</si>
</sst>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mm\ d\,\ yyyy\ hh:mm:ss"/>
  </numFmts>
  <fonts count="2" x14ac:knownFonts="1">
    <font>
      <sz val="12"/>
      <color theme="1"/>
      <name val="Calibri"/>
      <family val="2"/>
      <scheme val="minor"/>
    </font>
    <font>
      <b/>
      <sz val="12"/>
      <color theme="1"/>
      <name val="Calibri"/>
      <family val="2"/>
      <scheme val="minor"/>
    </font>
  </fonts>
  <fills count="6">
    <fill>
      <patternFill patternType="none"/>
    </fill>
    <fill>
      <patternFill patternType="gray125"/>
    </fill>
    <fill>
      <patternFill patternType="solid">
        <fgColor theme="8" tint="0.59999389629810485"/>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6">
    <xf numFmtId="0" fontId="0" fillId="0" borderId="0" xfId="0"/>
    <xf numFmtId="0" fontId="1" fillId="0" borderId="0" xfId="0" applyFont="1"/>
    <xf numFmtId="0" fontId="1" fillId="0" borderId="0" xfId="0" applyFont="1" applyAlignment="1">
      <alignment horizontal="center"/>
    </xf>
    <xf numFmtId="164" fontId="0" fillId="0" borderId="0" xfId="0" applyNumberFormat="1"/>
    <xf numFmtId="2" fontId="0" fillId="0" borderId="0" xfId="0" applyNumberFormat="1"/>
    <xf numFmtId="49" fontId="0" fillId="0" borderId="0" xfId="0" applyNumberFormat="1"/>
    <xf numFmtId="0" fontId="1" fillId="2" borderId="1" xfId="0" applyFont="1" applyFill="1" applyBorder="1"/>
    <xf numFmtId="0" fontId="0" fillId="2" borderId="1" xfId="0"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2" fontId="0" fillId="4" borderId="1" xfId="0" applyNumberFormat="1" applyFill="1" applyBorder="1"/>
    <xf numFmtId="0" fontId="1" fillId="5" borderId="1" xfId="0" applyFont="1" applyFill="1" applyBorder="1"/>
    <xf numFmtId="0" fontId="0" fillId="5" borderId="1" xfId="0" applyFill="1" applyBorder="1"/>
    <xf numFmtId="2" fontId="0" fillId="2" borderId="1" xfId="0" applyNumberFormat="1" applyFill="1" applyBorder="1"/>
  </cellXfs>
  <cellStyles count="1">
    <cellStyle name="Normal" xfId="0" builtinId="0"/>
  </cellStyles>
  <dxfs count="0"/>
  <tableStyles count="0" defaultTableStyle="TableStyleMedium2" defaultPivotStyle="PivotStyleLight16"/>
  <colors>
    <mruColors>
      <color rgb="FFF53B2B"/>
      <color rgb="FFFF232E"/>
      <color rgb="FFFF2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7</xdr:col>
      <xdr:colOff>495300</xdr:colOff>
      <xdr:row>1</xdr:row>
      <xdr:rowOff>25400</xdr:rowOff>
    </xdr:from>
    <xdr:to>
      <xdr:col>14</xdr:col>
      <xdr:colOff>342900</xdr:colOff>
      <xdr:row>23</xdr:row>
      <xdr:rowOff>165100</xdr:rowOff>
    </xdr:to>
    <xdr:sp macro="" textlink="">
      <xdr:nvSpPr>
        <xdr:cNvPr id="2" name="TextBox 1">
          <a:extLst>
            <a:ext uri="{FF2B5EF4-FFF2-40B4-BE49-F238E27FC236}">
              <a16:creationId xmlns:a16="http://schemas.microsoft.com/office/drawing/2014/main" id="{03D3D9B1-9CB9-5568-5B62-AF2EF8BD30AA}"/>
            </a:ext>
          </a:extLst>
        </xdr:cNvPr>
        <xdr:cNvSpPr txBox="1"/>
      </xdr:nvSpPr>
      <xdr:spPr>
        <a:xfrm>
          <a:off x="7264400" y="228600"/>
          <a:ext cx="5626100" cy="4610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200" b="0" i="0">
              <a:solidFill>
                <a:schemeClr val="dk1"/>
              </a:solidFill>
              <a:effectLst/>
              <a:latin typeface="+mn-lt"/>
              <a:ea typeface="+mn-ea"/>
              <a:cs typeface="+mn-cs"/>
            </a:rPr>
            <a:t>	Based on the analysis of the provided data, the keyword searched seems to have a mostly neutral sentiment, with an overall average sentiment score of 0.51. The majority of the tweets analyzed were categorized as neutral, with a total count of 1565, while positive and negative tweets had a count of 250 and 184, respectively. Interestingly, tweets that were favorited at least once had a higher average sentiment score of 1.81, suggesting that users were more likely to react positively to tweets with a positive sentiment. However, the number of favorited tweets was significantly smaller, with only 63 positive tweets compared to the 250 total positive tweets.</a:t>
          </a:r>
        </a:p>
        <a:p>
          <a:endParaRPr lang="en-CA" sz="1200" b="0" i="0">
            <a:solidFill>
              <a:schemeClr val="dk1"/>
            </a:solidFill>
            <a:effectLst/>
            <a:latin typeface="+mn-lt"/>
            <a:ea typeface="+mn-ea"/>
            <a:cs typeface="+mn-cs"/>
          </a:endParaRPr>
        </a:p>
        <a:p>
          <a:r>
            <a:rPr lang="en-CA" sz="1200" b="0" i="0">
              <a:solidFill>
                <a:schemeClr val="dk1"/>
              </a:solidFill>
              <a:effectLst/>
              <a:latin typeface="+mn-lt"/>
              <a:ea typeface="+mn-ea"/>
              <a:cs typeface="+mn-cs"/>
            </a:rPr>
            <a:t>	When analyzing the sentiment of tweets by location, it can be observed that Australia and South Africa had the most negative sentiment scores of -5 and -10, respectively. In contrast, England had the most positive sentiment score of 2.78. It is interesting to note that Canada had a sentiment score of 0, indicating a neutral sentiment towards the chosen keyword.</a:t>
          </a:r>
        </a:p>
        <a:p>
          <a:endParaRPr lang="en-CA" sz="1200" b="0" i="0">
            <a:solidFill>
              <a:schemeClr val="dk1"/>
            </a:solidFill>
            <a:effectLst/>
            <a:latin typeface="+mn-lt"/>
            <a:ea typeface="+mn-ea"/>
            <a:cs typeface="+mn-cs"/>
          </a:endParaRPr>
        </a:p>
        <a:p>
          <a:r>
            <a:rPr lang="en-CA" sz="1200" b="0" i="0">
              <a:solidFill>
                <a:schemeClr val="dk1"/>
              </a:solidFill>
              <a:effectLst/>
              <a:latin typeface="+mn-lt"/>
              <a:ea typeface="+mn-ea"/>
              <a:cs typeface="+mn-cs"/>
            </a:rPr>
            <a:t>	Overall, it can be concluded that the sentiment towards the chosen keyword is mostly positive, with the majority of tweets falling under the neutral category. The higher sentiment scores for tweets that were favorited at least once indicate that well-received tweets tend to have a more positive sentiment. However, it is important to note that sentiment can be subjective and influenced by various factors such as personal opinions and cultural background. Further analysis may be needed to obtain a more comprehensive understanding of the sentiment towards the chosen keyword.</a:t>
          </a:r>
        </a:p>
        <a:p>
          <a:endParaRPr lang="en-US" sz="1200" b="1"/>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8EB419-1B9C-5542-82AA-A7469EF5DAB8}">
  <sheetPr codeName="Sheet1"/>
  <dimension ref="A1:H2001"/>
  <sheetViews>
    <sheetView topLeftCell="B1" workbookViewId="0">
      <selection activeCell="I2" sqref="I2"/>
    </sheetView>
  </sheetViews>
  <sheetFormatPr baseColWidth="10" defaultRowHeight="16" x14ac:dyDescent="0.2"/>
  <cols>
    <col min="1" max="1" width="25.5" bestFit="1" customWidth="1"/>
    <col min="2" max="2" width="118.1640625" bestFit="1" customWidth="1"/>
    <col min="3" max="3" width="9.1640625" bestFit="1" customWidth="1"/>
    <col min="4" max="4" width="48.83203125" bestFit="1" customWidth="1"/>
    <col min="5" max="6" width="13.1640625" bestFit="1" customWidth="1"/>
    <col min="7" max="7" width="10.6640625" customWidth="1"/>
  </cols>
  <sheetData>
    <row r="1" spans="1:8" x14ac:dyDescent="0.2">
      <c r="A1" s="2" t="s">
        <v>2148</v>
      </c>
      <c r="B1" s="2" t="s">
        <v>2149</v>
      </c>
      <c r="C1" s="2" t="s">
        <v>2150</v>
      </c>
      <c r="D1" s="2" t="s">
        <v>2151</v>
      </c>
      <c r="E1" s="1" t="s">
        <v>2152</v>
      </c>
      <c r="F1" s="2" t="s">
        <v>2153</v>
      </c>
      <c r="G1" s="2" t="s">
        <v>2154</v>
      </c>
      <c r="H1" s="2" t="s">
        <v>2155</v>
      </c>
    </row>
    <row r="2" spans="1:8" x14ac:dyDescent="0.2">
      <c r="A2" s="3">
        <v>44967.921493055554</v>
      </c>
      <c r="B2" t="s">
        <v>0</v>
      </c>
      <c r="C2" t="s">
        <v>1</v>
      </c>
      <c r="E2">
        <v>0</v>
      </c>
      <c r="F2">
        <v>0</v>
      </c>
      <c r="G2" t="s">
        <v>2</v>
      </c>
      <c r="H2" cm="1">
        <f t="array" ref="H2">-isDup(B2,B3,0.7)</f>
        <v>0</v>
      </c>
    </row>
    <row r="3" spans="1:8" x14ac:dyDescent="0.2">
      <c r="A3" s="3">
        <v>44968.921492997688</v>
      </c>
      <c r="B3" t="s">
        <v>3</v>
      </c>
      <c r="C3" t="s">
        <v>4</v>
      </c>
      <c r="D3" t="s">
        <v>5</v>
      </c>
      <c r="E3">
        <v>0</v>
      </c>
      <c r="F3">
        <v>0</v>
      </c>
      <c r="G3" t="s">
        <v>2</v>
      </c>
      <c r="H3" cm="1">
        <f t="array" ref="H3">-isDup(B3,B4,0.7)</f>
        <v>0</v>
      </c>
    </row>
    <row r="4" spans="1:8" x14ac:dyDescent="0.2">
      <c r="A4" s="3">
        <v>44969.921492997688</v>
      </c>
      <c r="B4" t="s">
        <v>6</v>
      </c>
      <c r="C4" t="s">
        <v>7</v>
      </c>
      <c r="E4">
        <v>0</v>
      </c>
      <c r="F4">
        <v>0</v>
      </c>
      <c r="G4" t="s">
        <v>2</v>
      </c>
      <c r="H4" cm="1">
        <f t="array" ref="H4">-isDup(B4,B5,0.7)</f>
        <v>0</v>
      </c>
    </row>
    <row r="5" spans="1:8" x14ac:dyDescent="0.2">
      <c r="A5" s="3">
        <v>44970.921492997688</v>
      </c>
      <c r="B5" t="s">
        <v>8</v>
      </c>
      <c r="C5" t="s">
        <v>9</v>
      </c>
      <c r="D5" t="s">
        <v>10</v>
      </c>
      <c r="E5">
        <v>0</v>
      </c>
      <c r="F5">
        <v>0</v>
      </c>
      <c r="G5" t="s">
        <v>2</v>
      </c>
      <c r="H5" cm="1">
        <f t="array" ref="H5">-isDup(B5,B6,0.7)</f>
        <v>0</v>
      </c>
    </row>
    <row r="6" spans="1:8" x14ac:dyDescent="0.2">
      <c r="A6" s="3">
        <v>44971.921492997688</v>
      </c>
      <c r="B6" t="s">
        <v>11</v>
      </c>
      <c r="C6" t="s">
        <v>12</v>
      </c>
      <c r="D6" t="s">
        <v>13</v>
      </c>
      <c r="E6">
        <v>0</v>
      </c>
      <c r="F6">
        <v>0</v>
      </c>
      <c r="G6" t="s">
        <v>2</v>
      </c>
      <c r="H6" cm="1">
        <f t="array" ref="H6">-isDup(B6,B7,0.7)</f>
        <v>0</v>
      </c>
    </row>
    <row r="7" spans="1:8" x14ac:dyDescent="0.2">
      <c r="A7" s="3">
        <v>44972.921492997688</v>
      </c>
      <c r="B7" t="s">
        <v>14</v>
      </c>
      <c r="C7" t="s">
        <v>15</v>
      </c>
      <c r="D7" t="s">
        <v>16</v>
      </c>
      <c r="E7">
        <v>0</v>
      </c>
      <c r="F7">
        <v>0</v>
      </c>
      <c r="G7" t="s">
        <v>2</v>
      </c>
      <c r="H7" cm="1">
        <f t="array" ref="H7">-isDup(B7,B8,0.7)</f>
        <v>0</v>
      </c>
    </row>
    <row r="8" spans="1:8" x14ac:dyDescent="0.2">
      <c r="A8" s="3">
        <v>44973.921492997688</v>
      </c>
      <c r="B8" t="s">
        <v>17</v>
      </c>
      <c r="C8" t="s">
        <v>18</v>
      </c>
      <c r="D8" t="s">
        <v>19</v>
      </c>
      <c r="E8">
        <v>0</v>
      </c>
      <c r="F8">
        <v>0</v>
      </c>
      <c r="G8" t="s">
        <v>2</v>
      </c>
      <c r="H8" cm="1">
        <f t="array" ref="H8">-isDup(B8,B9,0.7)</f>
        <v>0</v>
      </c>
    </row>
    <row r="9" spans="1:8" x14ac:dyDescent="0.2">
      <c r="A9" s="3">
        <v>44974.921492997688</v>
      </c>
      <c r="B9" t="s">
        <v>20</v>
      </c>
      <c r="C9" t="s">
        <v>7</v>
      </c>
      <c r="E9">
        <v>0</v>
      </c>
      <c r="F9">
        <v>0</v>
      </c>
      <c r="G9" t="s">
        <v>2</v>
      </c>
      <c r="H9" cm="1">
        <f t="array" ref="H9">-isDup(B9,B10,0.7)</f>
        <v>0</v>
      </c>
    </row>
    <row r="10" spans="1:8" x14ac:dyDescent="0.2">
      <c r="A10" s="3">
        <v>44975.921492997688</v>
      </c>
      <c r="B10" t="s">
        <v>21</v>
      </c>
      <c r="C10" t="s">
        <v>22</v>
      </c>
      <c r="E10">
        <v>0</v>
      </c>
      <c r="F10">
        <v>0</v>
      </c>
      <c r="G10" t="s">
        <v>2</v>
      </c>
      <c r="H10" cm="1">
        <f t="array" ref="H10">-isDup(B10,B11,0.7)</f>
        <v>-1</v>
      </c>
    </row>
    <row r="11" spans="1:8" x14ac:dyDescent="0.2">
      <c r="A11" s="3">
        <v>44976.921492997688</v>
      </c>
      <c r="B11" t="s">
        <v>21</v>
      </c>
      <c r="C11" t="s">
        <v>22</v>
      </c>
      <c r="E11">
        <v>0</v>
      </c>
      <c r="F11">
        <v>0</v>
      </c>
      <c r="G11" t="s">
        <v>2</v>
      </c>
      <c r="H11" cm="1">
        <f t="array" ref="H11">-isDup(B11,B12,0.7)</f>
        <v>0</v>
      </c>
    </row>
    <row r="12" spans="1:8" x14ac:dyDescent="0.2">
      <c r="A12" s="3">
        <v>44977.921492997688</v>
      </c>
      <c r="B12" t="s">
        <v>23</v>
      </c>
      <c r="C12" t="s">
        <v>24</v>
      </c>
      <c r="D12" t="s">
        <v>25</v>
      </c>
      <c r="E12">
        <v>0</v>
      </c>
      <c r="F12">
        <v>1</v>
      </c>
      <c r="G12" t="s">
        <v>2</v>
      </c>
      <c r="H12" cm="1">
        <f t="array" ref="H12">-isDup(B12,B13,0.7)</f>
        <v>0</v>
      </c>
    </row>
    <row r="13" spans="1:8" x14ac:dyDescent="0.2">
      <c r="A13" s="3">
        <v>44978.921492997688</v>
      </c>
      <c r="B13" t="s">
        <v>26</v>
      </c>
      <c r="C13" t="s">
        <v>7</v>
      </c>
      <c r="E13">
        <v>0</v>
      </c>
      <c r="F13">
        <v>0</v>
      </c>
      <c r="G13" t="s">
        <v>2</v>
      </c>
      <c r="H13" cm="1">
        <f t="array" ref="H13">-isDup(B13,B14,0.7)</f>
        <v>0</v>
      </c>
    </row>
    <row r="14" spans="1:8" x14ac:dyDescent="0.2">
      <c r="A14" s="3">
        <v>44979.921492997688</v>
      </c>
      <c r="B14" t="s">
        <v>27</v>
      </c>
      <c r="C14" t="s">
        <v>12</v>
      </c>
      <c r="D14" t="s">
        <v>13</v>
      </c>
      <c r="E14">
        <v>0</v>
      </c>
      <c r="F14">
        <v>0</v>
      </c>
      <c r="G14" t="s">
        <v>2</v>
      </c>
      <c r="H14" cm="1">
        <f t="array" ref="H14">-isDup(B14,B15,0.7)</f>
        <v>0</v>
      </c>
    </row>
    <row r="15" spans="1:8" x14ac:dyDescent="0.2">
      <c r="A15" s="3">
        <v>44980.921492997688</v>
      </c>
      <c r="B15" t="s">
        <v>28</v>
      </c>
      <c r="C15" t="s">
        <v>7</v>
      </c>
      <c r="E15">
        <v>0</v>
      </c>
      <c r="F15">
        <v>0</v>
      </c>
      <c r="G15" t="s">
        <v>2</v>
      </c>
      <c r="H15" cm="1">
        <f t="array" ref="H15">-isDup(B15,B16,0.7)</f>
        <v>0</v>
      </c>
    </row>
    <row r="16" spans="1:8" x14ac:dyDescent="0.2">
      <c r="A16" s="3">
        <v>44981.921492997688</v>
      </c>
      <c r="B16" t="s">
        <v>29</v>
      </c>
      <c r="C16" t="s">
        <v>30</v>
      </c>
      <c r="D16" t="s">
        <v>31</v>
      </c>
      <c r="E16">
        <v>0</v>
      </c>
      <c r="F16">
        <v>0</v>
      </c>
      <c r="G16" t="s">
        <v>2</v>
      </c>
      <c r="H16" cm="1">
        <f t="array" ref="H16">-isDup(B16,B17,0.7)</f>
        <v>0</v>
      </c>
    </row>
    <row r="17" spans="1:8" x14ac:dyDescent="0.2">
      <c r="A17" s="3">
        <v>44982.921492997688</v>
      </c>
      <c r="B17" t="s">
        <v>32</v>
      </c>
      <c r="C17" t="s">
        <v>33</v>
      </c>
      <c r="D17" t="s">
        <v>34</v>
      </c>
      <c r="E17">
        <v>0</v>
      </c>
      <c r="F17">
        <v>0</v>
      </c>
      <c r="G17" t="s">
        <v>2</v>
      </c>
      <c r="H17" cm="1">
        <f t="array" ref="H17">-isDup(B17,B18,0.7)</f>
        <v>0</v>
      </c>
    </row>
    <row r="18" spans="1:8" x14ac:dyDescent="0.2">
      <c r="A18" s="3">
        <v>44983.921492997688</v>
      </c>
      <c r="B18" t="s">
        <v>35</v>
      </c>
      <c r="C18" t="s">
        <v>33</v>
      </c>
      <c r="D18" t="s">
        <v>34</v>
      </c>
      <c r="E18">
        <v>0</v>
      </c>
      <c r="F18">
        <v>0</v>
      </c>
      <c r="G18" t="s">
        <v>2</v>
      </c>
      <c r="H18" cm="1">
        <f t="array" ref="H18">-isDup(B18,B19,0.7)</f>
        <v>0</v>
      </c>
    </row>
    <row r="19" spans="1:8" x14ac:dyDescent="0.2">
      <c r="A19" s="3">
        <v>44984.921492997688</v>
      </c>
      <c r="B19" t="s">
        <v>36</v>
      </c>
      <c r="C19" t="s">
        <v>33</v>
      </c>
      <c r="D19" t="s">
        <v>34</v>
      </c>
      <c r="E19">
        <v>0</v>
      </c>
      <c r="F19">
        <v>0</v>
      </c>
      <c r="G19" t="s">
        <v>2</v>
      </c>
      <c r="H19" cm="1">
        <f t="array" ref="H19">-isDup(B19,B20,0.7)</f>
        <v>0</v>
      </c>
    </row>
    <row r="20" spans="1:8" x14ac:dyDescent="0.2">
      <c r="A20" s="3">
        <v>44985.921492997688</v>
      </c>
      <c r="B20" t="s">
        <v>37</v>
      </c>
      <c r="C20" t="s">
        <v>33</v>
      </c>
      <c r="D20" t="s">
        <v>34</v>
      </c>
      <c r="E20">
        <v>0</v>
      </c>
      <c r="F20">
        <v>0</v>
      </c>
      <c r="G20" t="s">
        <v>2</v>
      </c>
      <c r="H20" cm="1">
        <f t="array" ref="H20">-isDup(B20,B21,0.7)</f>
        <v>0</v>
      </c>
    </row>
    <row r="21" spans="1:8" x14ac:dyDescent="0.2">
      <c r="A21" s="3">
        <v>44986.921492997688</v>
      </c>
      <c r="B21" t="s">
        <v>38</v>
      </c>
      <c r="C21" t="s">
        <v>39</v>
      </c>
      <c r="E21">
        <v>0</v>
      </c>
      <c r="F21">
        <v>0</v>
      </c>
      <c r="G21" t="s">
        <v>2</v>
      </c>
      <c r="H21" cm="1">
        <f t="array" ref="H21">-isDup(B21,B22,0.7)</f>
        <v>0</v>
      </c>
    </row>
    <row r="22" spans="1:8" x14ac:dyDescent="0.2">
      <c r="A22" s="3">
        <v>44987.921492997688</v>
      </c>
      <c r="B22" t="s">
        <v>40</v>
      </c>
      <c r="C22" t="s">
        <v>30</v>
      </c>
      <c r="D22" t="s">
        <v>31</v>
      </c>
      <c r="E22">
        <v>0</v>
      </c>
      <c r="F22">
        <v>0</v>
      </c>
      <c r="G22" t="s">
        <v>2</v>
      </c>
      <c r="H22" cm="1">
        <f t="array" ref="H22">-isDup(B22,B23,0.7)</f>
        <v>0</v>
      </c>
    </row>
    <row r="23" spans="1:8" x14ac:dyDescent="0.2">
      <c r="A23" s="3">
        <v>44988.921492997688</v>
      </c>
      <c r="B23" t="s">
        <v>41</v>
      </c>
      <c r="C23" t="s">
        <v>7</v>
      </c>
      <c r="E23">
        <v>0</v>
      </c>
      <c r="F23">
        <v>0</v>
      </c>
      <c r="G23" t="s">
        <v>2</v>
      </c>
      <c r="H23" cm="1">
        <f t="array" ref="H23">-isDup(B23,B24,0.7)</f>
        <v>-1</v>
      </c>
    </row>
    <row r="24" spans="1:8" x14ac:dyDescent="0.2">
      <c r="A24" s="3">
        <v>44989.921492997688</v>
      </c>
      <c r="B24" t="s">
        <v>42</v>
      </c>
      <c r="C24" t="s">
        <v>7</v>
      </c>
      <c r="E24">
        <v>0</v>
      </c>
      <c r="F24">
        <v>0</v>
      </c>
      <c r="G24" t="s">
        <v>2</v>
      </c>
      <c r="H24" cm="1">
        <f t="array" ref="H24">-isDup(B24,B25,0.7)</f>
        <v>0</v>
      </c>
    </row>
    <row r="25" spans="1:8" x14ac:dyDescent="0.2">
      <c r="A25" s="3">
        <v>44990.921492997688</v>
      </c>
      <c r="B25" t="s">
        <v>43</v>
      </c>
      <c r="C25" t="s">
        <v>44</v>
      </c>
      <c r="D25" t="s">
        <v>45</v>
      </c>
      <c r="E25">
        <v>0</v>
      </c>
      <c r="F25">
        <v>0</v>
      </c>
      <c r="G25" t="s">
        <v>2</v>
      </c>
      <c r="H25" cm="1">
        <f t="array" ref="H25">-isDup(B25,B26,0.7)</f>
        <v>0</v>
      </c>
    </row>
    <row r="26" spans="1:8" x14ac:dyDescent="0.2">
      <c r="A26" s="3">
        <v>44991.921492997688</v>
      </c>
      <c r="B26" t="s">
        <v>46</v>
      </c>
      <c r="C26" t="s">
        <v>22</v>
      </c>
      <c r="E26">
        <v>0</v>
      </c>
      <c r="F26">
        <v>0</v>
      </c>
      <c r="G26" t="s">
        <v>2</v>
      </c>
      <c r="H26" cm="1">
        <f t="array" ref="H26">-isDup(B26,B27,0.7)</f>
        <v>0</v>
      </c>
    </row>
    <row r="27" spans="1:8" x14ac:dyDescent="0.2">
      <c r="A27" s="3">
        <v>44992.921492997688</v>
      </c>
      <c r="B27" t="s">
        <v>47</v>
      </c>
      <c r="C27" t="s">
        <v>48</v>
      </c>
      <c r="D27" t="s">
        <v>49</v>
      </c>
      <c r="E27">
        <v>6</v>
      </c>
      <c r="F27">
        <v>12</v>
      </c>
      <c r="G27" t="s">
        <v>2</v>
      </c>
      <c r="H27" cm="1">
        <f t="array" ref="H27">-isDup(B27,B28,0.7)</f>
        <v>0</v>
      </c>
    </row>
    <row r="28" spans="1:8" x14ac:dyDescent="0.2">
      <c r="A28" s="3">
        <v>44993.921492997688</v>
      </c>
      <c r="B28" t="s">
        <v>50</v>
      </c>
      <c r="C28" t="s">
        <v>51</v>
      </c>
      <c r="D28" t="s">
        <v>52</v>
      </c>
      <c r="E28">
        <v>0</v>
      </c>
      <c r="F28">
        <v>0</v>
      </c>
      <c r="G28" t="s">
        <v>2</v>
      </c>
      <c r="H28" cm="1">
        <f t="array" ref="H28">-isDup(B28,B29,0.7)</f>
        <v>0</v>
      </c>
    </row>
    <row r="29" spans="1:8" x14ac:dyDescent="0.2">
      <c r="A29" s="3">
        <v>44994.921492997688</v>
      </c>
      <c r="B29" t="s">
        <v>53</v>
      </c>
      <c r="C29" t="s">
        <v>54</v>
      </c>
      <c r="D29" t="s">
        <v>55</v>
      </c>
      <c r="E29">
        <v>0</v>
      </c>
      <c r="F29">
        <v>0</v>
      </c>
      <c r="G29" t="s">
        <v>2</v>
      </c>
      <c r="H29" cm="1">
        <f t="array" ref="H29">-isDup(B29,B30,0.7)</f>
        <v>0</v>
      </c>
    </row>
    <row r="30" spans="1:8" x14ac:dyDescent="0.2">
      <c r="A30" s="3">
        <v>44995.921492997688</v>
      </c>
      <c r="B30" t="s">
        <v>56</v>
      </c>
      <c r="C30" t="s">
        <v>57</v>
      </c>
      <c r="D30" t="s">
        <v>58</v>
      </c>
      <c r="E30">
        <v>0</v>
      </c>
      <c r="F30">
        <v>0</v>
      </c>
      <c r="G30" t="s">
        <v>2</v>
      </c>
      <c r="H30" cm="1">
        <f t="array" ref="H30">-isDup(B30,B31,0.7)</f>
        <v>0</v>
      </c>
    </row>
    <row r="31" spans="1:8" x14ac:dyDescent="0.2">
      <c r="A31" s="3">
        <v>44996.921492997688</v>
      </c>
      <c r="B31" t="s">
        <v>59</v>
      </c>
      <c r="C31" t="s">
        <v>7</v>
      </c>
      <c r="E31">
        <v>0</v>
      </c>
      <c r="F31">
        <v>0</v>
      </c>
      <c r="G31" t="s">
        <v>2</v>
      </c>
      <c r="H31" cm="1">
        <f t="array" ref="H31">-isDup(B31,B32,0.7)</f>
        <v>0</v>
      </c>
    </row>
    <row r="32" spans="1:8" x14ac:dyDescent="0.2">
      <c r="A32" s="3">
        <v>44997.921492997688</v>
      </c>
      <c r="B32" t="s">
        <v>3</v>
      </c>
      <c r="C32" t="s">
        <v>4</v>
      </c>
      <c r="D32" t="s">
        <v>5</v>
      </c>
      <c r="E32">
        <v>0</v>
      </c>
      <c r="F32">
        <v>0</v>
      </c>
      <c r="G32" t="s">
        <v>2</v>
      </c>
      <c r="H32" cm="1">
        <f t="array" ref="H32">-isDup(B32,B33,0.7)</f>
        <v>0</v>
      </c>
    </row>
    <row r="33" spans="1:8" x14ac:dyDescent="0.2">
      <c r="A33" s="3">
        <v>44998.921492997688</v>
      </c>
      <c r="B33" t="s">
        <v>60</v>
      </c>
      <c r="C33" t="s">
        <v>7</v>
      </c>
      <c r="E33">
        <v>0</v>
      </c>
      <c r="F33">
        <v>0</v>
      </c>
      <c r="G33" t="s">
        <v>2</v>
      </c>
      <c r="H33" cm="1">
        <f t="array" ref="H33">-isDup(B33,B34,0.7)</f>
        <v>0</v>
      </c>
    </row>
    <row r="34" spans="1:8" x14ac:dyDescent="0.2">
      <c r="A34" s="3">
        <v>44999.921492997688</v>
      </c>
      <c r="B34" t="s">
        <v>61</v>
      </c>
      <c r="C34" t="s">
        <v>62</v>
      </c>
      <c r="E34">
        <v>0</v>
      </c>
      <c r="F34">
        <v>0</v>
      </c>
      <c r="G34" t="s">
        <v>2</v>
      </c>
      <c r="H34" cm="1">
        <f t="array" ref="H34">-isDup(B34,B35,0.7)</f>
        <v>0</v>
      </c>
    </row>
    <row r="35" spans="1:8" x14ac:dyDescent="0.2">
      <c r="A35" s="3">
        <v>45000.921492997688</v>
      </c>
      <c r="B35" t="s">
        <v>63</v>
      </c>
      <c r="C35" t="s">
        <v>64</v>
      </c>
      <c r="D35" t="s">
        <v>65</v>
      </c>
      <c r="E35">
        <v>0</v>
      </c>
      <c r="F35">
        <v>0</v>
      </c>
      <c r="G35" t="s">
        <v>2</v>
      </c>
      <c r="H35" cm="1">
        <f t="array" ref="H35">-isDup(B35,B36,0.7)</f>
        <v>0</v>
      </c>
    </row>
    <row r="36" spans="1:8" x14ac:dyDescent="0.2">
      <c r="A36" s="3">
        <v>45001.921492997688</v>
      </c>
      <c r="B36" t="s">
        <v>66</v>
      </c>
      <c r="C36" t="s">
        <v>7</v>
      </c>
      <c r="E36">
        <v>0</v>
      </c>
      <c r="F36">
        <v>0</v>
      </c>
      <c r="G36" t="s">
        <v>2</v>
      </c>
      <c r="H36" cm="1">
        <f t="array" ref="H36">-isDup(B36,B37,0.7)</f>
        <v>0</v>
      </c>
    </row>
    <row r="37" spans="1:8" x14ac:dyDescent="0.2">
      <c r="A37" s="3">
        <v>45002.921492997688</v>
      </c>
      <c r="B37" t="s">
        <v>67</v>
      </c>
      <c r="C37" t="s">
        <v>54</v>
      </c>
      <c r="D37" t="s">
        <v>55</v>
      </c>
      <c r="E37">
        <v>0</v>
      </c>
      <c r="F37">
        <v>0</v>
      </c>
      <c r="G37" t="s">
        <v>2</v>
      </c>
      <c r="H37" cm="1">
        <f t="array" ref="H37">-isDup(B37,B38,0.7)</f>
        <v>0</v>
      </c>
    </row>
    <row r="38" spans="1:8" x14ac:dyDescent="0.2">
      <c r="A38" s="3">
        <v>45003.921492997688</v>
      </c>
      <c r="B38" t="s">
        <v>68</v>
      </c>
      <c r="C38" t="s">
        <v>57</v>
      </c>
      <c r="D38" t="s">
        <v>69</v>
      </c>
      <c r="E38">
        <v>0</v>
      </c>
      <c r="F38">
        <v>0</v>
      </c>
      <c r="G38" t="s">
        <v>2</v>
      </c>
      <c r="H38" cm="1">
        <f t="array" ref="H38">-isDup(B38,B39,0.7)</f>
        <v>0</v>
      </c>
    </row>
    <row r="39" spans="1:8" x14ac:dyDescent="0.2">
      <c r="A39" s="3">
        <v>45004.921492997688</v>
      </c>
      <c r="B39" t="s">
        <v>70</v>
      </c>
      <c r="C39" t="s">
        <v>7</v>
      </c>
      <c r="E39">
        <v>0</v>
      </c>
      <c r="F39">
        <v>0</v>
      </c>
      <c r="G39" t="s">
        <v>2</v>
      </c>
      <c r="H39" cm="1">
        <f t="array" ref="H39">-isDup(B39,B40,0.7)</f>
        <v>0</v>
      </c>
    </row>
    <row r="40" spans="1:8" x14ac:dyDescent="0.2">
      <c r="A40" s="3">
        <v>45005.921492997688</v>
      </c>
      <c r="B40" t="s">
        <v>71</v>
      </c>
      <c r="C40" t="s">
        <v>72</v>
      </c>
      <c r="D40" t="s">
        <v>73</v>
      </c>
      <c r="E40">
        <v>0</v>
      </c>
      <c r="F40">
        <v>1</v>
      </c>
      <c r="G40" t="s">
        <v>2</v>
      </c>
      <c r="H40" cm="1">
        <f t="array" ref="H40">-isDup(B40,B41,0.7)</f>
        <v>0</v>
      </c>
    </row>
    <row r="41" spans="1:8" x14ac:dyDescent="0.2">
      <c r="A41" s="3">
        <v>45006.921492997688</v>
      </c>
      <c r="B41" t="s">
        <v>74</v>
      </c>
      <c r="C41" t="s">
        <v>75</v>
      </c>
      <c r="E41">
        <v>0</v>
      </c>
      <c r="F41">
        <v>0</v>
      </c>
      <c r="G41" t="s">
        <v>2</v>
      </c>
      <c r="H41" cm="1">
        <f t="array" ref="H41">-isDup(B41,B42,0.7)</f>
        <v>0</v>
      </c>
    </row>
    <row r="42" spans="1:8" x14ac:dyDescent="0.2">
      <c r="A42" s="3">
        <v>45007.921492997688</v>
      </c>
      <c r="B42" t="s">
        <v>76</v>
      </c>
      <c r="C42" t="s">
        <v>7</v>
      </c>
      <c r="E42">
        <v>0</v>
      </c>
      <c r="F42">
        <v>0</v>
      </c>
      <c r="G42" t="s">
        <v>2</v>
      </c>
      <c r="H42" cm="1">
        <f t="array" ref="H42">-isDup(B42,B43,0.7)</f>
        <v>0</v>
      </c>
    </row>
    <row r="43" spans="1:8" x14ac:dyDescent="0.2">
      <c r="A43" s="3">
        <v>45008.921492997688</v>
      </c>
      <c r="B43" t="s">
        <v>77</v>
      </c>
      <c r="C43" t="s">
        <v>78</v>
      </c>
      <c r="E43">
        <v>0</v>
      </c>
      <c r="F43">
        <v>0</v>
      </c>
      <c r="G43" t="s">
        <v>2</v>
      </c>
      <c r="H43" cm="1">
        <f t="array" ref="H43">-isDup(B43,B44,0.7)</f>
        <v>0</v>
      </c>
    </row>
    <row r="44" spans="1:8" x14ac:dyDescent="0.2">
      <c r="A44" s="3">
        <v>45009.921492997688</v>
      </c>
      <c r="B44" t="s">
        <v>79</v>
      </c>
      <c r="C44" t="s">
        <v>7</v>
      </c>
      <c r="E44">
        <v>0</v>
      </c>
      <c r="F44">
        <v>0</v>
      </c>
      <c r="G44" t="s">
        <v>2</v>
      </c>
      <c r="H44" cm="1">
        <f t="array" ref="H44">-isDup(B44,B45,0.7)</f>
        <v>0</v>
      </c>
    </row>
    <row r="45" spans="1:8" x14ac:dyDescent="0.2">
      <c r="A45" s="3">
        <v>45010.921492997688</v>
      </c>
      <c r="B45" t="s">
        <v>80</v>
      </c>
      <c r="C45" t="s">
        <v>7</v>
      </c>
      <c r="E45">
        <v>1</v>
      </c>
      <c r="F45">
        <v>0</v>
      </c>
      <c r="G45" t="s">
        <v>2</v>
      </c>
      <c r="H45" cm="1">
        <f t="array" ref="H45">-isDup(B45,B46,0.7)</f>
        <v>0</v>
      </c>
    </row>
    <row r="46" spans="1:8" x14ac:dyDescent="0.2">
      <c r="A46" s="3">
        <v>45011.921492997688</v>
      </c>
      <c r="B46" t="s">
        <v>81</v>
      </c>
      <c r="C46" t="s">
        <v>33</v>
      </c>
      <c r="D46" t="s">
        <v>34</v>
      </c>
      <c r="E46">
        <v>0</v>
      </c>
      <c r="F46">
        <v>0</v>
      </c>
      <c r="G46" t="s">
        <v>2</v>
      </c>
      <c r="H46" cm="1">
        <f t="array" ref="H46">-isDup(B46,B47,0.7)</f>
        <v>0</v>
      </c>
    </row>
    <row r="47" spans="1:8" x14ac:dyDescent="0.2">
      <c r="A47" s="3">
        <v>45012.921492997688</v>
      </c>
      <c r="B47" t="s">
        <v>36</v>
      </c>
      <c r="C47" t="s">
        <v>33</v>
      </c>
      <c r="D47" t="s">
        <v>34</v>
      </c>
      <c r="E47">
        <v>0</v>
      </c>
      <c r="F47">
        <v>0</v>
      </c>
      <c r="G47" t="s">
        <v>2</v>
      </c>
      <c r="H47" cm="1">
        <f t="array" ref="H47">-isDup(B47,B48,0.7)</f>
        <v>0</v>
      </c>
    </row>
    <row r="48" spans="1:8" x14ac:dyDescent="0.2">
      <c r="A48" s="3">
        <v>45013.921492997688</v>
      </c>
      <c r="B48" t="s">
        <v>35</v>
      </c>
      <c r="C48" t="s">
        <v>33</v>
      </c>
      <c r="D48" t="s">
        <v>34</v>
      </c>
      <c r="E48">
        <v>0</v>
      </c>
      <c r="F48">
        <v>0</v>
      </c>
      <c r="G48" t="s">
        <v>2</v>
      </c>
      <c r="H48" cm="1">
        <f t="array" ref="H48">-isDup(B48,B49,0.7)</f>
        <v>-1</v>
      </c>
    </row>
    <row r="49" spans="1:8" x14ac:dyDescent="0.2">
      <c r="A49" s="3">
        <v>45014.921492997688</v>
      </c>
      <c r="B49" t="s">
        <v>37</v>
      </c>
      <c r="C49" t="s">
        <v>33</v>
      </c>
      <c r="D49" t="s">
        <v>34</v>
      </c>
      <c r="E49">
        <v>0</v>
      </c>
      <c r="F49">
        <v>0</v>
      </c>
      <c r="G49" t="s">
        <v>2</v>
      </c>
      <c r="H49" cm="1">
        <f t="array" ref="H49">-isDup(B49,B50,0.7)</f>
        <v>0</v>
      </c>
    </row>
    <row r="50" spans="1:8" x14ac:dyDescent="0.2">
      <c r="A50" s="3">
        <v>45015.921492997688</v>
      </c>
      <c r="B50" t="s">
        <v>82</v>
      </c>
      <c r="C50" t="s">
        <v>83</v>
      </c>
      <c r="E50">
        <v>0</v>
      </c>
      <c r="F50">
        <v>0</v>
      </c>
      <c r="G50" t="s">
        <v>2</v>
      </c>
      <c r="H50" cm="1">
        <f t="array" ref="H50">-isDup(B50,B51,0.7)</f>
        <v>0</v>
      </c>
    </row>
    <row r="51" spans="1:8" x14ac:dyDescent="0.2">
      <c r="A51" s="3">
        <v>45016.921492997688</v>
      </c>
      <c r="B51" t="s">
        <v>84</v>
      </c>
      <c r="C51" t="s">
        <v>85</v>
      </c>
      <c r="E51">
        <v>0</v>
      </c>
      <c r="F51">
        <v>0</v>
      </c>
      <c r="G51" t="s">
        <v>2</v>
      </c>
      <c r="H51" cm="1">
        <f t="array" ref="H51">-isDup(B51,B52,0.7)</f>
        <v>0</v>
      </c>
    </row>
    <row r="52" spans="1:8" x14ac:dyDescent="0.2">
      <c r="A52" s="3">
        <v>45017.921492997688</v>
      </c>
      <c r="B52" t="s">
        <v>86</v>
      </c>
      <c r="C52" t="s">
        <v>87</v>
      </c>
      <c r="E52">
        <v>0</v>
      </c>
      <c r="F52">
        <v>0</v>
      </c>
      <c r="G52" t="s">
        <v>2</v>
      </c>
      <c r="H52" cm="1">
        <f t="array" ref="H52">-isDup(B52,B53,0.7)</f>
        <v>0</v>
      </c>
    </row>
    <row r="53" spans="1:8" x14ac:dyDescent="0.2">
      <c r="A53" s="3">
        <v>45018.921492997688</v>
      </c>
      <c r="B53" t="s">
        <v>3</v>
      </c>
      <c r="C53" t="s">
        <v>4</v>
      </c>
      <c r="D53" t="s">
        <v>5</v>
      </c>
      <c r="E53">
        <v>0</v>
      </c>
      <c r="F53">
        <v>0</v>
      </c>
      <c r="G53" t="s">
        <v>2</v>
      </c>
      <c r="H53" cm="1">
        <f t="array" ref="H53">-isDup(B53,B54,0.7)</f>
        <v>0</v>
      </c>
    </row>
    <row r="54" spans="1:8" x14ac:dyDescent="0.2">
      <c r="A54" s="3">
        <v>45019.921492997688</v>
      </c>
      <c r="B54" t="s">
        <v>88</v>
      </c>
      <c r="C54" t="s">
        <v>89</v>
      </c>
      <c r="E54">
        <v>0</v>
      </c>
      <c r="F54">
        <v>0</v>
      </c>
      <c r="G54" t="s">
        <v>2</v>
      </c>
      <c r="H54" cm="1">
        <f t="array" ref="H54">-isDup(B54,B55,0.7)</f>
        <v>0</v>
      </c>
    </row>
    <row r="55" spans="1:8" x14ac:dyDescent="0.2">
      <c r="A55" s="3">
        <v>45020.921492997688</v>
      </c>
      <c r="B55" t="s">
        <v>90</v>
      </c>
      <c r="C55" t="s">
        <v>91</v>
      </c>
      <c r="D55" t="s">
        <v>92</v>
      </c>
      <c r="E55">
        <v>0</v>
      </c>
      <c r="F55">
        <v>1</v>
      </c>
      <c r="G55" t="s">
        <v>2</v>
      </c>
      <c r="H55" cm="1">
        <f t="array" ref="H55">-isDup(B55,B56,0.7)</f>
        <v>0</v>
      </c>
    </row>
    <row r="56" spans="1:8" x14ac:dyDescent="0.2">
      <c r="A56" s="3">
        <v>45021.921492997688</v>
      </c>
      <c r="B56" t="s">
        <v>93</v>
      </c>
      <c r="C56" t="s">
        <v>7</v>
      </c>
      <c r="E56">
        <v>0</v>
      </c>
      <c r="F56">
        <v>0</v>
      </c>
      <c r="G56" t="s">
        <v>2</v>
      </c>
      <c r="H56" cm="1">
        <f t="array" ref="H56">-isDup(B56,B57,0.7)</f>
        <v>0</v>
      </c>
    </row>
    <row r="57" spans="1:8" x14ac:dyDescent="0.2">
      <c r="A57" s="3">
        <v>45022.921492997688</v>
      </c>
      <c r="B57" t="s">
        <v>94</v>
      </c>
      <c r="C57" t="s">
        <v>22</v>
      </c>
      <c r="E57">
        <v>0</v>
      </c>
      <c r="F57">
        <v>0</v>
      </c>
      <c r="G57" t="s">
        <v>2</v>
      </c>
      <c r="H57" cm="1">
        <f t="array" ref="H57">-isDup(B57,B58,0.7)</f>
        <v>0</v>
      </c>
    </row>
    <row r="58" spans="1:8" x14ac:dyDescent="0.2">
      <c r="A58" s="3">
        <v>45023.921492997688</v>
      </c>
      <c r="C58" t="s">
        <v>95</v>
      </c>
      <c r="D58" t="s">
        <v>96</v>
      </c>
      <c r="E58">
        <v>2</v>
      </c>
      <c r="F58">
        <v>2</v>
      </c>
      <c r="G58" t="s">
        <v>2</v>
      </c>
      <c r="H58" t="e" cm="1">
        <f t="array" ref="H58">-isDup(B58,B59,0.7)</f>
        <v>#VALUE!</v>
      </c>
    </row>
    <row r="59" spans="1:8" x14ac:dyDescent="0.2">
      <c r="A59" s="3">
        <v>45024.921492997688</v>
      </c>
      <c r="B59" t="s">
        <v>97</v>
      </c>
      <c r="C59" t="s">
        <v>98</v>
      </c>
      <c r="D59" t="s">
        <v>13</v>
      </c>
      <c r="E59">
        <v>0</v>
      </c>
      <c r="F59">
        <v>0</v>
      </c>
      <c r="G59" t="s">
        <v>2</v>
      </c>
      <c r="H59" cm="1">
        <f t="array" ref="H59">-isDup(B59,B60,0.7)</f>
        <v>0</v>
      </c>
    </row>
    <row r="60" spans="1:8" x14ac:dyDescent="0.2">
      <c r="A60" s="3">
        <v>45025.921492997688</v>
      </c>
      <c r="B60" t="s">
        <v>99</v>
      </c>
      <c r="C60" t="s">
        <v>100</v>
      </c>
      <c r="E60">
        <v>0</v>
      </c>
      <c r="F60">
        <v>0</v>
      </c>
      <c r="G60" t="s">
        <v>2</v>
      </c>
      <c r="H60" cm="1">
        <f t="array" ref="H60">-isDup(B60,B61,0.7)</f>
        <v>0</v>
      </c>
    </row>
    <row r="61" spans="1:8" x14ac:dyDescent="0.2">
      <c r="A61" s="3">
        <v>45026.921492997688</v>
      </c>
      <c r="B61" t="s">
        <v>101</v>
      </c>
      <c r="C61" t="s">
        <v>102</v>
      </c>
      <c r="D61" t="s">
        <v>103</v>
      </c>
      <c r="E61">
        <v>0</v>
      </c>
      <c r="F61">
        <v>0</v>
      </c>
      <c r="G61" t="s">
        <v>2</v>
      </c>
      <c r="H61" cm="1">
        <f t="array" ref="H61">-isDup(B61,B62,0.7)</f>
        <v>0</v>
      </c>
    </row>
    <row r="62" spans="1:8" x14ac:dyDescent="0.2">
      <c r="A62" s="3">
        <v>45027.921492997688</v>
      </c>
      <c r="C62" t="s">
        <v>95</v>
      </c>
      <c r="D62" t="s">
        <v>96</v>
      </c>
      <c r="E62">
        <v>3</v>
      </c>
      <c r="F62">
        <v>3</v>
      </c>
      <c r="G62" t="s">
        <v>2</v>
      </c>
      <c r="H62" t="e" cm="1">
        <f t="array" ref="H62">-isDup(B62,B63,0.7)</f>
        <v>#VALUE!</v>
      </c>
    </row>
    <row r="63" spans="1:8" x14ac:dyDescent="0.2">
      <c r="A63" s="3">
        <v>45028.921492997688</v>
      </c>
      <c r="B63" t="s">
        <v>104</v>
      </c>
      <c r="C63" t="s">
        <v>57</v>
      </c>
      <c r="D63" t="s">
        <v>69</v>
      </c>
      <c r="E63">
        <v>0</v>
      </c>
      <c r="F63">
        <v>0</v>
      </c>
      <c r="G63" t="s">
        <v>2</v>
      </c>
      <c r="H63" cm="1">
        <f t="array" ref="H63">-isDup(B63,B64,0.7)</f>
        <v>0</v>
      </c>
    </row>
    <row r="64" spans="1:8" x14ac:dyDescent="0.2">
      <c r="A64" s="3">
        <v>45029.921492997688</v>
      </c>
      <c r="B64" t="s">
        <v>105</v>
      </c>
      <c r="C64" t="s">
        <v>106</v>
      </c>
      <c r="E64">
        <v>1</v>
      </c>
      <c r="F64">
        <v>0</v>
      </c>
      <c r="G64" t="s">
        <v>2</v>
      </c>
      <c r="H64" cm="1">
        <f t="array" ref="H64">-isDup(B64,B65,0.7)</f>
        <v>0</v>
      </c>
    </row>
    <row r="65" spans="1:8" x14ac:dyDescent="0.2">
      <c r="A65" s="3">
        <v>45030.921492997688</v>
      </c>
      <c r="C65" t="s">
        <v>95</v>
      </c>
      <c r="D65" t="s">
        <v>96</v>
      </c>
      <c r="E65">
        <v>0</v>
      </c>
      <c r="F65">
        <v>0</v>
      </c>
      <c r="G65" t="s">
        <v>2</v>
      </c>
      <c r="H65" t="e" cm="1">
        <f t="array" ref="H65">-isDup(B65,B66,0.7)</f>
        <v>#VALUE!</v>
      </c>
    </row>
    <row r="66" spans="1:8" x14ac:dyDescent="0.2">
      <c r="A66" s="3">
        <v>45031.921492997688</v>
      </c>
      <c r="C66" t="s">
        <v>95</v>
      </c>
      <c r="D66" t="s">
        <v>96</v>
      </c>
      <c r="E66">
        <v>0</v>
      </c>
      <c r="F66">
        <v>0</v>
      </c>
      <c r="G66" t="s">
        <v>2</v>
      </c>
      <c r="H66" t="e" cm="1">
        <f t="array" ref="H66">-isDup(B66,B67,0.7)</f>
        <v>#VALUE!</v>
      </c>
    </row>
    <row r="67" spans="1:8" x14ac:dyDescent="0.2">
      <c r="A67" s="3">
        <v>45032.921492997688</v>
      </c>
      <c r="C67" t="s">
        <v>95</v>
      </c>
      <c r="D67" t="s">
        <v>96</v>
      </c>
      <c r="E67">
        <v>0</v>
      </c>
      <c r="F67">
        <v>0</v>
      </c>
      <c r="G67" t="s">
        <v>2</v>
      </c>
      <c r="H67" t="e" cm="1">
        <f t="array" ref="H67">-isDup(B67,B68,0.7)</f>
        <v>#VALUE!</v>
      </c>
    </row>
    <row r="68" spans="1:8" x14ac:dyDescent="0.2">
      <c r="A68" s="3">
        <v>45033.921492997688</v>
      </c>
      <c r="C68" t="s">
        <v>95</v>
      </c>
      <c r="D68" t="s">
        <v>96</v>
      </c>
      <c r="E68">
        <v>0</v>
      </c>
      <c r="F68">
        <v>0</v>
      </c>
      <c r="G68" t="s">
        <v>2</v>
      </c>
      <c r="H68" t="e" cm="1">
        <f t="array" ref="H68">-isDup(B68,B69,0.7)</f>
        <v>#VALUE!</v>
      </c>
    </row>
    <row r="69" spans="1:8" x14ac:dyDescent="0.2">
      <c r="A69" s="3">
        <v>45034.921492997688</v>
      </c>
      <c r="C69" t="s">
        <v>95</v>
      </c>
      <c r="D69" t="s">
        <v>96</v>
      </c>
      <c r="E69">
        <v>0</v>
      </c>
      <c r="F69">
        <v>0</v>
      </c>
      <c r="G69" t="s">
        <v>2</v>
      </c>
      <c r="H69" t="e" cm="1">
        <f t="array" ref="H69">-isDup(B69,B70,0.7)</f>
        <v>#VALUE!</v>
      </c>
    </row>
    <row r="70" spans="1:8" x14ac:dyDescent="0.2">
      <c r="A70" s="3">
        <v>45035.921492997688</v>
      </c>
      <c r="B70" t="s">
        <v>107</v>
      </c>
      <c r="C70" t="s">
        <v>108</v>
      </c>
      <c r="D70" t="s">
        <v>109</v>
      </c>
      <c r="E70">
        <v>0</v>
      </c>
      <c r="F70">
        <v>0</v>
      </c>
      <c r="G70" t="s">
        <v>2</v>
      </c>
      <c r="H70" cm="1">
        <f t="array" ref="H70">-isDup(B70,B71,0.7)</f>
        <v>0</v>
      </c>
    </row>
    <row r="71" spans="1:8" x14ac:dyDescent="0.2">
      <c r="A71" s="3">
        <v>45036.921492997688</v>
      </c>
      <c r="C71" t="s">
        <v>95</v>
      </c>
      <c r="D71" t="s">
        <v>96</v>
      </c>
      <c r="E71">
        <v>0</v>
      </c>
      <c r="F71">
        <v>0</v>
      </c>
      <c r="G71" t="s">
        <v>2</v>
      </c>
      <c r="H71" t="e" cm="1">
        <f t="array" ref="H71">-isDup(B71,B72,0.7)</f>
        <v>#VALUE!</v>
      </c>
    </row>
    <row r="72" spans="1:8" x14ac:dyDescent="0.2">
      <c r="A72" s="3">
        <v>45037.921492997688</v>
      </c>
      <c r="B72" t="s">
        <v>110</v>
      </c>
      <c r="C72" t="s">
        <v>111</v>
      </c>
      <c r="E72">
        <v>0</v>
      </c>
      <c r="F72">
        <v>0</v>
      </c>
      <c r="G72" t="s">
        <v>2</v>
      </c>
      <c r="H72" cm="1">
        <f t="array" ref="H72">-isDup(B72,B73,0.7)</f>
        <v>0</v>
      </c>
    </row>
    <row r="73" spans="1:8" x14ac:dyDescent="0.2">
      <c r="A73" s="3">
        <v>45038.921492997688</v>
      </c>
      <c r="B73" t="s">
        <v>112</v>
      </c>
      <c r="C73" t="s">
        <v>113</v>
      </c>
      <c r="D73" t="s">
        <v>114</v>
      </c>
      <c r="E73">
        <v>54</v>
      </c>
      <c r="F73">
        <v>189</v>
      </c>
      <c r="G73" t="s">
        <v>2</v>
      </c>
      <c r="H73" cm="1">
        <f t="array" ref="H73">-isDup(B73,B74,0.7)</f>
        <v>0</v>
      </c>
    </row>
    <row r="74" spans="1:8" x14ac:dyDescent="0.2">
      <c r="A74" s="3">
        <v>45039.921492997688</v>
      </c>
      <c r="B74" t="s">
        <v>115</v>
      </c>
      <c r="C74" t="s">
        <v>95</v>
      </c>
      <c r="D74" t="s">
        <v>96</v>
      </c>
      <c r="E74">
        <v>0</v>
      </c>
      <c r="F74">
        <v>0</v>
      </c>
      <c r="G74" t="s">
        <v>2</v>
      </c>
      <c r="H74" cm="1">
        <f t="array" ref="H74">-isDup(B74,B75,0.7)</f>
        <v>0</v>
      </c>
    </row>
    <row r="75" spans="1:8" x14ac:dyDescent="0.2">
      <c r="A75" s="3">
        <v>45040.921492997688</v>
      </c>
      <c r="B75" t="s">
        <v>116</v>
      </c>
      <c r="C75" t="s">
        <v>7</v>
      </c>
      <c r="E75">
        <v>0</v>
      </c>
      <c r="F75">
        <v>0</v>
      </c>
      <c r="G75" t="s">
        <v>2</v>
      </c>
      <c r="H75" cm="1">
        <f t="array" ref="H75">-isDup(B75,B76,0.7)</f>
        <v>0</v>
      </c>
    </row>
    <row r="76" spans="1:8" x14ac:dyDescent="0.2">
      <c r="A76" s="3">
        <v>45041.921492997688</v>
      </c>
      <c r="B76" t="s">
        <v>117</v>
      </c>
      <c r="C76" t="s">
        <v>118</v>
      </c>
      <c r="E76">
        <v>0</v>
      </c>
      <c r="F76">
        <v>0</v>
      </c>
      <c r="G76" t="s">
        <v>2</v>
      </c>
      <c r="H76" cm="1">
        <f t="array" ref="H76">-isDup(B76,B77,0.7)</f>
        <v>0</v>
      </c>
    </row>
    <row r="77" spans="1:8" x14ac:dyDescent="0.2">
      <c r="A77" s="3">
        <v>45042.921492997688</v>
      </c>
      <c r="B77" t="s">
        <v>119</v>
      </c>
      <c r="C77" t="s">
        <v>120</v>
      </c>
      <c r="D77" t="s">
        <v>121</v>
      </c>
      <c r="E77">
        <v>0</v>
      </c>
      <c r="F77">
        <v>0</v>
      </c>
      <c r="G77" t="s">
        <v>2</v>
      </c>
      <c r="H77" cm="1">
        <f t="array" ref="H77">-isDup(B77,B78,0.7)</f>
        <v>0</v>
      </c>
    </row>
    <row r="78" spans="1:8" x14ac:dyDescent="0.2">
      <c r="A78" s="3">
        <v>45043.921492997688</v>
      </c>
      <c r="B78" t="s">
        <v>122</v>
      </c>
      <c r="C78" t="s">
        <v>7</v>
      </c>
      <c r="E78">
        <v>0</v>
      </c>
      <c r="F78">
        <v>1</v>
      </c>
      <c r="G78" t="s">
        <v>2</v>
      </c>
      <c r="H78" cm="1">
        <f t="array" ref="H78">-isDup(B78,B79,0.7)</f>
        <v>0</v>
      </c>
    </row>
    <row r="79" spans="1:8" x14ac:dyDescent="0.2">
      <c r="A79" s="3">
        <v>45044.921492997688</v>
      </c>
      <c r="B79" t="s">
        <v>123</v>
      </c>
      <c r="C79" t="s">
        <v>124</v>
      </c>
      <c r="D79" t="s">
        <v>55</v>
      </c>
      <c r="E79">
        <v>0</v>
      </c>
      <c r="F79">
        <v>0</v>
      </c>
      <c r="G79" t="s">
        <v>2</v>
      </c>
      <c r="H79" cm="1">
        <f t="array" ref="H79">-isDup(B79,B80,0.7)</f>
        <v>0</v>
      </c>
    </row>
    <row r="80" spans="1:8" x14ac:dyDescent="0.2">
      <c r="A80" s="3">
        <v>45045.921492997688</v>
      </c>
      <c r="B80" t="s">
        <v>125</v>
      </c>
      <c r="C80" t="s">
        <v>126</v>
      </c>
      <c r="E80">
        <v>0</v>
      </c>
      <c r="F80">
        <v>1</v>
      </c>
      <c r="G80" t="s">
        <v>2</v>
      </c>
      <c r="H80" cm="1">
        <f t="array" ref="H80">-isDup(B80,B81,0.7)</f>
        <v>0</v>
      </c>
    </row>
    <row r="81" spans="1:8" x14ac:dyDescent="0.2">
      <c r="A81" s="3">
        <v>45046.921492997688</v>
      </c>
      <c r="B81" t="s">
        <v>127</v>
      </c>
      <c r="C81" t="s">
        <v>128</v>
      </c>
      <c r="D81" t="s">
        <v>129</v>
      </c>
      <c r="E81">
        <v>0</v>
      </c>
      <c r="F81">
        <v>0</v>
      </c>
      <c r="G81" t="s">
        <v>2</v>
      </c>
      <c r="H81" cm="1">
        <f t="array" ref="H81">-isDup(B81,B82,0.7)</f>
        <v>0</v>
      </c>
    </row>
    <row r="82" spans="1:8" x14ac:dyDescent="0.2">
      <c r="A82" s="3">
        <v>45047.921492997688</v>
      </c>
      <c r="B82" t="s">
        <v>130</v>
      </c>
      <c r="C82" t="s">
        <v>131</v>
      </c>
      <c r="D82" t="s">
        <v>132</v>
      </c>
      <c r="E82">
        <v>0</v>
      </c>
      <c r="F82">
        <v>1</v>
      </c>
      <c r="G82" t="s">
        <v>2</v>
      </c>
      <c r="H82" cm="1">
        <f t="array" ref="H82">-isDup(B82,B83,0.7)</f>
        <v>0</v>
      </c>
    </row>
    <row r="83" spans="1:8" x14ac:dyDescent="0.2">
      <c r="A83" s="3">
        <v>45048.921492997688</v>
      </c>
      <c r="B83" t="s">
        <v>133</v>
      </c>
      <c r="C83" t="s">
        <v>134</v>
      </c>
      <c r="D83" t="s">
        <v>135</v>
      </c>
      <c r="E83">
        <v>0</v>
      </c>
      <c r="F83">
        <v>0</v>
      </c>
      <c r="G83" t="s">
        <v>2</v>
      </c>
      <c r="H83" cm="1">
        <f t="array" ref="H83">-isDup(B83,B84,0.7)</f>
        <v>0</v>
      </c>
    </row>
    <row r="84" spans="1:8" x14ac:dyDescent="0.2">
      <c r="A84" s="3">
        <v>45049.921492997688</v>
      </c>
      <c r="B84" t="s">
        <v>136</v>
      </c>
      <c r="C84" t="s">
        <v>137</v>
      </c>
      <c r="E84">
        <v>0</v>
      </c>
      <c r="F84">
        <v>0</v>
      </c>
      <c r="G84" t="s">
        <v>2</v>
      </c>
      <c r="H84" cm="1">
        <f t="array" ref="H84">-isDup(B84,B85,0.7)</f>
        <v>0</v>
      </c>
    </row>
    <row r="85" spans="1:8" x14ac:dyDescent="0.2">
      <c r="A85" s="3">
        <v>45050.921492997688</v>
      </c>
      <c r="B85" t="s">
        <v>138</v>
      </c>
      <c r="C85" t="s">
        <v>22</v>
      </c>
      <c r="E85">
        <v>0</v>
      </c>
      <c r="F85">
        <v>0</v>
      </c>
      <c r="G85" t="s">
        <v>2</v>
      </c>
      <c r="H85" cm="1">
        <f t="array" ref="H85">-isDup(B85,B86,0.7)</f>
        <v>0</v>
      </c>
    </row>
    <row r="86" spans="1:8" x14ac:dyDescent="0.2">
      <c r="A86" s="3">
        <v>45051.921492997688</v>
      </c>
      <c r="B86" t="s">
        <v>3</v>
      </c>
      <c r="C86" t="s">
        <v>4</v>
      </c>
      <c r="D86" t="s">
        <v>5</v>
      </c>
      <c r="E86">
        <v>0</v>
      </c>
      <c r="F86">
        <v>0</v>
      </c>
      <c r="G86" t="s">
        <v>2</v>
      </c>
      <c r="H86" cm="1">
        <f t="array" ref="H86">-isDup(B86,B87,0.7)</f>
        <v>0</v>
      </c>
    </row>
    <row r="87" spans="1:8" x14ac:dyDescent="0.2">
      <c r="A87" s="3">
        <v>45052.921492997688</v>
      </c>
      <c r="B87" t="s">
        <v>139</v>
      </c>
      <c r="C87" t="s">
        <v>7</v>
      </c>
      <c r="E87">
        <v>0</v>
      </c>
      <c r="F87">
        <v>0</v>
      </c>
      <c r="G87" t="s">
        <v>2</v>
      </c>
      <c r="H87" cm="1">
        <f t="array" ref="H87">-isDup(B87,B88,0.7)</f>
        <v>0</v>
      </c>
    </row>
    <row r="88" spans="1:8" x14ac:dyDescent="0.2">
      <c r="A88" s="3">
        <v>45053.921492997688</v>
      </c>
      <c r="B88" t="s">
        <v>140</v>
      </c>
      <c r="C88" t="s">
        <v>128</v>
      </c>
      <c r="D88" t="s">
        <v>129</v>
      </c>
      <c r="E88">
        <v>0</v>
      </c>
      <c r="F88">
        <v>0</v>
      </c>
      <c r="G88" t="s">
        <v>2</v>
      </c>
      <c r="H88" cm="1">
        <f t="array" ref="H88">-isDup(B88,B89,0.7)</f>
        <v>0</v>
      </c>
    </row>
    <row r="89" spans="1:8" x14ac:dyDescent="0.2">
      <c r="A89" s="3">
        <v>45054.921492997688</v>
      </c>
      <c r="B89" t="s">
        <v>141</v>
      </c>
      <c r="C89" t="s">
        <v>128</v>
      </c>
      <c r="D89" t="s">
        <v>129</v>
      </c>
      <c r="E89">
        <v>0</v>
      </c>
      <c r="F89">
        <v>0</v>
      </c>
      <c r="G89" t="s">
        <v>2</v>
      </c>
      <c r="H89" cm="1">
        <f t="array" ref="H89">-isDup(B89,B90,0.7)</f>
        <v>0</v>
      </c>
    </row>
    <row r="90" spans="1:8" x14ac:dyDescent="0.2">
      <c r="A90" s="3">
        <v>45055.921492997688</v>
      </c>
      <c r="B90" t="s">
        <v>35</v>
      </c>
      <c r="C90" t="s">
        <v>33</v>
      </c>
      <c r="D90" t="s">
        <v>34</v>
      </c>
      <c r="E90">
        <v>0</v>
      </c>
      <c r="F90">
        <v>0</v>
      </c>
      <c r="G90" t="s">
        <v>2</v>
      </c>
      <c r="H90" cm="1">
        <f t="array" ref="H90">-isDup(B90,B91,0.7)</f>
        <v>-1</v>
      </c>
    </row>
    <row r="91" spans="1:8" x14ac:dyDescent="0.2">
      <c r="A91" s="3">
        <v>45056.921492997688</v>
      </c>
      <c r="B91" t="s">
        <v>37</v>
      </c>
      <c r="C91" t="s">
        <v>33</v>
      </c>
      <c r="D91" t="s">
        <v>34</v>
      </c>
      <c r="E91">
        <v>0</v>
      </c>
      <c r="F91">
        <v>0</v>
      </c>
      <c r="G91" t="s">
        <v>2</v>
      </c>
      <c r="H91" cm="1">
        <f t="array" ref="H91">-isDup(B91,B92,0.7)</f>
        <v>0</v>
      </c>
    </row>
    <row r="92" spans="1:8" x14ac:dyDescent="0.2">
      <c r="A92" s="3">
        <v>45057.921492997688</v>
      </c>
      <c r="B92" t="s">
        <v>36</v>
      </c>
      <c r="C92" t="s">
        <v>33</v>
      </c>
      <c r="D92" t="s">
        <v>34</v>
      </c>
      <c r="E92">
        <v>0</v>
      </c>
      <c r="F92">
        <v>0</v>
      </c>
      <c r="G92" t="s">
        <v>2</v>
      </c>
      <c r="H92" cm="1">
        <f t="array" ref="H92">-isDup(B92,B93,0.7)</f>
        <v>0</v>
      </c>
    </row>
    <row r="93" spans="1:8" x14ac:dyDescent="0.2">
      <c r="A93" s="3">
        <v>45058.921492997688</v>
      </c>
      <c r="B93" t="s">
        <v>142</v>
      </c>
      <c r="C93" t="s">
        <v>33</v>
      </c>
      <c r="D93" t="s">
        <v>34</v>
      </c>
      <c r="E93">
        <v>0</v>
      </c>
      <c r="F93">
        <v>0</v>
      </c>
      <c r="G93" t="s">
        <v>2</v>
      </c>
      <c r="H93" cm="1">
        <f t="array" ref="H93">-isDup(B93,B94,0.7)</f>
        <v>0</v>
      </c>
    </row>
    <row r="94" spans="1:8" x14ac:dyDescent="0.2">
      <c r="A94" s="3">
        <v>45059.921492997688</v>
      </c>
      <c r="B94" t="s">
        <v>141</v>
      </c>
      <c r="C94" t="s">
        <v>143</v>
      </c>
      <c r="D94" t="s">
        <v>129</v>
      </c>
      <c r="E94">
        <v>0</v>
      </c>
      <c r="F94">
        <v>0</v>
      </c>
      <c r="G94" t="s">
        <v>2</v>
      </c>
      <c r="H94" cm="1">
        <f t="array" ref="H94">-isDup(B94,B95,0.7)</f>
        <v>0</v>
      </c>
    </row>
    <row r="95" spans="1:8" x14ac:dyDescent="0.2">
      <c r="A95" s="3">
        <v>45060.921492997688</v>
      </c>
      <c r="B95" t="s">
        <v>144</v>
      </c>
      <c r="C95" t="s">
        <v>22</v>
      </c>
      <c r="E95">
        <v>0</v>
      </c>
      <c r="F95">
        <v>0</v>
      </c>
      <c r="G95" t="s">
        <v>2</v>
      </c>
      <c r="H95" cm="1">
        <f t="array" ref="H95">-isDup(B95,B96,0.7)</f>
        <v>0</v>
      </c>
    </row>
    <row r="96" spans="1:8" x14ac:dyDescent="0.2">
      <c r="A96" s="3">
        <v>45061.921492997688</v>
      </c>
      <c r="B96" t="s">
        <v>145</v>
      </c>
      <c r="C96" t="s">
        <v>146</v>
      </c>
      <c r="D96" t="s">
        <v>147</v>
      </c>
      <c r="E96">
        <v>0</v>
      </c>
      <c r="F96">
        <v>0</v>
      </c>
      <c r="G96" t="s">
        <v>2</v>
      </c>
      <c r="H96" cm="1">
        <f t="array" ref="H96">-isDup(B96,B97,0.7)</f>
        <v>0</v>
      </c>
    </row>
    <row r="97" spans="1:8" x14ac:dyDescent="0.2">
      <c r="A97" s="3">
        <v>45062.921492997688</v>
      </c>
      <c r="B97" t="s">
        <v>148</v>
      </c>
      <c r="C97" t="s">
        <v>149</v>
      </c>
      <c r="D97" t="s">
        <v>150</v>
      </c>
      <c r="E97">
        <v>0</v>
      </c>
      <c r="F97">
        <v>0</v>
      </c>
      <c r="G97" t="s">
        <v>2</v>
      </c>
      <c r="H97" cm="1">
        <f t="array" ref="H97">-isDup(B97,B98,0.7)</f>
        <v>0</v>
      </c>
    </row>
    <row r="98" spans="1:8" x14ac:dyDescent="0.2">
      <c r="A98" s="3">
        <v>45063.921492997688</v>
      </c>
      <c r="B98" t="s">
        <v>151</v>
      </c>
      <c r="C98" t="s">
        <v>22</v>
      </c>
      <c r="E98">
        <v>0</v>
      </c>
      <c r="F98">
        <v>0</v>
      </c>
      <c r="G98" t="s">
        <v>2</v>
      </c>
      <c r="H98" cm="1">
        <f t="array" ref="H98">-isDup(B98,B99,0.7)</f>
        <v>0</v>
      </c>
    </row>
    <row r="99" spans="1:8" x14ac:dyDescent="0.2">
      <c r="A99" s="3">
        <v>45064.921492997688</v>
      </c>
      <c r="B99" t="s">
        <v>152</v>
      </c>
      <c r="C99" t="s">
        <v>22</v>
      </c>
      <c r="E99">
        <v>0</v>
      </c>
      <c r="F99">
        <v>0</v>
      </c>
      <c r="G99" t="s">
        <v>2</v>
      </c>
      <c r="H99" cm="1">
        <f t="array" ref="H99">-isDup(B99,B100,0.7)</f>
        <v>0</v>
      </c>
    </row>
    <row r="100" spans="1:8" x14ac:dyDescent="0.2">
      <c r="A100" s="3">
        <v>45065.921492997688</v>
      </c>
      <c r="B100" t="s">
        <v>151</v>
      </c>
      <c r="C100" t="s">
        <v>22</v>
      </c>
      <c r="E100">
        <v>0</v>
      </c>
      <c r="F100">
        <v>0</v>
      </c>
      <c r="G100" t="s">
        <v>2</v>
      </c>
      <c r="H100" cm="1">
        <f t="array" ref="H100">-isDup(B100,B101,0.7)</f>
        <v>0</v>
      </c>
    </row>
    <row r="101" spans="1:8" x14ac:dyDescent="0.2">
      <c r="A101" s="3">
        <v>45066.921492997688</v>
      </c>
      <c r="B101" t="s">
        <v>153</v>
      </c>
      <c r="C101" t="s">
        <v>22</v>
      </c>
      <c r="E101">
        <v>0</v>
      </c>
      <c r="F101">
        <v>0</v>
      </c>
      <c r="G101" t="s">
        <v>2</v>
      </c>
      <c r="H101" cm="1">
        <f t="array" ref="H101">-isDup(B101,B102,0.7)</f>
        <v>-1</v>
      </c>
    </row>
    <row r="102" spans="1:8" x14ac:dyDescent="0.2">
      <c r="A102" s="3">
        <v>45067.921492997688</v>
      </c>
      <c r="B102" t="s">
        <v>154</v>
      </c>
      <c r="C102" t="s">
        <v>22</v>
      </c>
      <c r="E102">
        <v>0</v>
      </c>
      <c r="F102">
        <v>0</v>
      </c>
      <c r="G102" t="s">
        <v>2</v>
      </c>
      <c r="H102" cm="1">
        <f t="array" ref="H102">-isDup(B102,B103,0.7)</f>
        <v>0</v>
      </c>
    </row>
    <row r="103" spans="1:8" x14ac:dyDescent="0.2">
      <c r="A103" s="3">
        <v>45068.921492997688</v>
      </c>
      <c r="B103" t="s">
        <v>155</v>
      </c>
      <c r="C103" t="s">
        <v>12</v>
      </c>
      <c r="D103" t="s">
        <v>13</v>
      </c>
      <c r="E103">
        <v>0</v>
      </c>
      <c r="F103">
        <v>0</v>
      </c>
      <c r="G103" t="s">
        <v>2</v>
      </c>
      <c r="H103" cm="1">
        <f t="array" ref="H103">-isDup(B103,B104,0.7)</f>
        <v>0</v>
      </c>
    </row>
    <row r="104" spans="1:8" x14ac:dyDescent="0.2">
      <c r="A104" s="3">
        <v>45069.921492997688</v>
      </c>
      <c r="B104" t="s">
        <v>156</v>
      </c>
      <c r="C104" t="s">
        <v>157</v>
      </c>
      <c r="D104" t="s">
        <v>158</v>
      </c>
      <c r="E104">
        <v>0</v>
      </c>
      <c r="F104">
        <v>0</v>
      </c>
      <c r="G104" t="s">
        <v>2</v>
      </c>
      <c r="H104" cm="1">
        <f t="array" ref="H104">-isDup(B104,B105,0.7)</f>
        <v>0</v>
      </c>
    </row>
    <row r="105" spans="1:8" x14ac:dyDescent="0.2">
      <c r="A105" s="3">
        <v>45070.921492997688</v>
      </c>
      <c r="B105" t="s">
        <v>159</v>
      </c>
      <c r="C105" t="s">
        <v>22</v>
      </c>
      <c r="E105">
        <v>0</v>
      </c>
      <c r="F105">
        <v>0</v>
      </c>
      <c r="G105" t="s">
        <v>2</v>
      </c>
      <c r="H105" cm="1">
        <f t="array" ref="H105">-isDup(B105,B106,0.7)</f>
        <v>0</v>
      </c>
    </row>
    <row r="106" spans="1:8" x14ac:dyDescent="0.2">
      <c r="A106" s="3">
        <v>45071.921492997688</v>
      </c>
      <c r="B106" t="s">
        <v>160</v>
      </c>
      <c r="C106" t="s">
        <v>128</v>
      </c>
      <c r="D106" t="s">
        <v>129</v>
      </c>
      <c r="E106">
        <v>0</v>
      </c>
      <c r="F106">
        <v>0</v>
      </c>
      <c r="G106" t="s">
        <v>2</v>
      </c>
      <c r="H106" cm="1">
        <f t="array" ref="H106">-isDup(B106,B107,0.7)</f>
        <v>0</v>
      </c>
    </row>
    <row r="107" spans="1:8" x14ac:dyDescent="0.2">
      <c r="A107" s="3">
        <v>45072.921492997688</v>
      </c>
      <c r="B107" t="s">
        <v>161</v>
      </c>
      <c r="C107" t="s">
        <v>7</v>
      </c>
      <c r="E107">
        <v>0</v>
      </c>
      <c r="F107">
        <v>0</v>
      </c>
      <c r="G107" t="s">
        <v>2</v>
      </c>
      <c r="H107" cm="1">
        <f t="array" ref="H107">-isDup(B107,B108,0.7)</f>
        <v>0</v>
      </c>
    </row>
    <row r="108" spans="1:8" x14ac:dyDescent="0.2">
      <c r="A108" s="3">
        <v>45073.921492997688</v>
      </c>
      <c r="B108" t="s">
        <v>162</v>
      </c>
      <c r="C108" t="s">
        <v>134</v>
      </c>
      <c r="E108">
        <v>0</v>
      </c>
      <c r="F108">
        <v>0</v>
      </c>
      <c r="G108" t="s">
        <v>2</v>
      </c>
      <c r="H108" cm="1">
        <f t="array" ref="H108">-isDup(B108,B109,0.7)</f>
        <v>0</v>
      </c>
    </row>
    <row r="109" spans="1:8" x14ac:dyDescent="0.2">
      <c r="A109" s="3">
        <v>45074.921492997688</v>
      </c>
      <c r="B109" t="s">
        <v>163</v>
      </c>
      <c r="C109" t="s">
        <v>164</v>
      </c>
      <c r="E109">
        <v>0</v>
      </c>
      <c r="F109">
        <v>0</v>
      </c>
      <c r="G109" t="s">
        <v>2</v>
      </c>
      <c r="H109" cm="1">
        <f t="array" ref="H109">-isDup(B109,B110,0.7)</f>
        <v>0</v>
      </c>
    </row>
    <row r="110" spans="1:8" x14ac:dyDescent="0.2">
      <c r="A110" s="3">
        <v>45075.921492997688</v>
      </c>
      <c r="B110" t="s">
        <v>165</v>
      </c>
      <c r="C110" t="s">
        <v>22</v>
      </c>
      <c r="E110">
        <v>0</v>
      </c>
      <c r="F110">
        <v>0</v>
      </c>
      <c r="G110" t="s">
        <v>2</v>
      </c>
      <c r="H110" cm="1">
        <f t="array" ref="H110">-isDup(B110,B111,0.7)</f>
        <v>0</v>
      </c>
    </row>
    <row r="111" spans="1:8" x14ac:dyDescent="0.2">
      <c r="A111" s="3">
        <v>45076.921492997688</v>
      </c>
      <c r="B111" t="s">
        <v>166</v>
      </c>
      <c r="C111" t="s">
        <v>167</v>
      </c>
      <c r="E111">
        <v>0</v>
      </c>
      <c r="F111">
        <v>0</v>
      </c>
      <c r="G111" t="s">
        <v>2</v>
      </c>
      <c r="H111" cm="1">
        <f t="array" ref="H111">-isDup(B111,B112,0.7)</f>
        <v>0</v>
      </c>
    </row>
    <row r="112" spans="1:8" x14ac:dyDescent="0.2">
      <c r="A112" s="3">
        <v>45077.921492997688</v>
      </c>
      <c r="B112" t="s">
        <v>168</v>
      </c>
      <c r="C112" t="s">
        <v>7</v>
      </c>
      <c r="E112">
        <v>0</v>
      </c>
      <c r="F112">
        <v>0</v>
      </c>
      <c r="G112" t="s">
        <v>2</v>
      </c>
      <c r="H112" cm="1">
        <f t="array" ref="H112">-isDup(B112,B113,0.7)</f>
        <v>0</v>
      </c>
    </row>
    <row r="113" spans="1:8" x14ac:dyDescent="0.2">
      <c r="A113" s="3">
        <v>45078.921492997688</v>
      </c>
      <c r="B113" t="s">
        <v>169</v>
      </c>
      <c r="C113" t="s">
        <v>128</v>
      </c>
      <c r="D113" t="s">
        <v>129</v>
      </c>
      <c r="E113">
        <v>0</v>
      </c>
      <c r="F113">
        <v>0</v>
      </c>
      <c r="G113" t="s">
        <v>2</v>
      </c>
      <c r="H113" cm="1">
        <f t="array" ref="H113">-isDup(B113,B114,0.7)</f>
        <v>-1</v>
      </c>
    </row>
    <row r="114" spans="1:8" x14ac:dyDescent="0.2">
      <c r="A114" s="3">
        <v>45079.921492997688</v>
      </c>
      <c r="B114" t="s">
        <v>169</v>
      </c>
      <c r="C114" t="s">
        <v>143</v>
      </c>
      <c r="D114" t="s">
        <v>129</v>
      </c>
      <c r="E114">
        <v>0</v>
      </c>
      <c r="F114">
        <v>0</v>
      </c>
      <c r="G114" t="s">
        <v>2</v>
      </c>
      <c r="H114" cm="1">
        <f t="array" ref="H114">-isDup(B114,B115,0.7)</f>
        <v>0</v>
      </c>
    </row>
    <row r="115" spans="1:8" x14ac:dyDescent="0.2">
      <c r="A115" s="3">
        <v>45080.921492997688</v>
      </c>
      <c r="B115" t="s">
        <v>170</v>
      </c>
      <c r="C115" t="s">
        <v>171</v>
      </c>
      <c r="E115">
        <v>0</v>
      </c>
      <c r="F115">
        <v>0</v>
      </c>
      <c r="G115" t="s">
        <v>2</v>
      </c>
      <c r="H115" cm="1">
        <f t="array" ref="H115">-isDup(B115,B116,0.7)</f>
        <v>0</v>
      </c>
    </row>
    <row r="116" spans="1:8" x14ac:dyDescent="0.2">
      <c r="A116" s="3">
        <v>45081.921492997688</v>
      </c>
      <c r="B116" t="s">
        <v>172</v>
      </c>
      <c r="C116" t="s">
        <v>164</v>
      </c>
      <c r="E116">
        <v>0</v>
      </c>
      <c r="F116">
        <v>0</v>
      </c>
      <c r="G116" t="s">
        <v>2</v>
      </c>
      <c r="H116" cm="1">
        <f t="array" ref="H116">-isDup(B116,B117,0.7)</f>
        <v>0</v>
      </c>
    </row>
    <row r="117" spans="1:8" x14ac:dyDescent="0.2">
      <c r="A117" s="3">
        <v>45082.921492997688</v>
      </c>
      <c r="B117" t="s">
        <v>173</v>
      </c>
      <c r="C117" t="s">
        <v>174</v>
      </c>
      <c r="D117" t="s">
        <v>175</v>
      </c>
      <c r="E117">
        <v>0</v>
      </c>
      <c r="F117">
        <v>1</v>
      </c>
      <c r="G117" t="s">
        <v>2</v>
      </c>
      <c r="H117" cm="1">
        <f t="array" ref="H117">-isDup(B117,B118,0.7)</f>
        <v>0</v>
      </c>
    </row>
    <row r="118" spans="1:8" x14ac:dyDescent="0.2">
      <c r="A118" s="3">
        <v>45083.921492997688</v>
      </c>
      <c r="B118" t="s">
        <v>176</v>
      </c>
      <c r="C118" t="s">
        <v>12</v>
      </c>
      <c r="D118" t="s">
        <v>13</v>
      </c>
      <c r="E118">
        <v>0</v>
      </c>
      <c r="F118">
        <v>0</v>
      </c>
      <c r="G118" t="s">
        <v>2</v>
      </c>
      <c r="H118" cm="1">
        <f t="array" ref="H118">-isDup(B118,B119,0.7)</f>
        <v>0</v>
      </c>
    </row>
    <row r="119" spans="1:8" x14ac:dyDescent="0.2">
      <c r="A119" s="3">
        <v>45084.921492997688</v>
      </c>
      <c r="B119" t="s">
        <v>177</v>
      </c>
      <c r="C119" t="s">
        <v>178</v>
      </c>
      <c r="D119" t="s">
        <v>55</v>
      </c>
      <c r="E119">
        <v>0</v>
      </c>
      <c r="F119">
        <v>0</v>
      </c>
      <c r="G119" t="s">
        <v>2</v>
      </c>
      <c r="H119" cm="1">
        <f t="array" ref="H119">-isDup(B119,B120,0.7)</f>
        <v>0</v>
      </c>
    </row>
    <row r="120" spans="1:8" x14ac:dyDescent="0.2">
      <c r="A120" s="3">
        <v>45085.921492997688</v>
      </c>
      <c r="B120" t="s">
        <v>179</v>
      </c>
      <c r="C120" t="s">
        <v>128</v>
      </c>
      <c r="D120" t="s">
        <v>129</v>
      </c>
      <c r="E120">
        <v>0</v>
      </c>
      <c r="F120">
        <v>0</v>
      </c>
      <c r="G120" t="s">
        <v>2</v>
      </c>
      <c r="H120" cm="1">
        <f t="array" ref="H120">-isDup(B120,B121,0.7)</f>
        <v>0</v>
      </c>
    </row>
    <row r="121" spans="1:8" x14ac:dyDescent="0.2">
      <c r="A121" s="3">
        <v>45086.921492997688</v>
      </c>
      <c r="B121" t="s">
        <v>180</v>
      </c>
      <c r="C121" t="s">
        <v>7</v>
      </c>
      <c r="E121">
        <v>0</v>
      </c>
      <c r="F121">
        <v>0</v>
      </c>
      <c r="G121" t="s">
        <v>2</v>
      </c>
      <c r="H121" cm="1">
        <f t="array" ref="H121">-isDup(B121,B122,0.7)</f>
        <v>0</v>
      </c>
    </row>
    <row r="122" spans="1:8" x14ac:dyDescent="0.2">
      <c r="A122" s="3">
        <v>45087.921492997688</v>
      </c>
      <c r="B122" t="s">
        <v>181</v>
      </c>
      <c r="C122" t="s">
        <v>182</v>
      </c>
      <c r="D122" t="s">
        <v>183</v>
      </c>
      <c r="E122">
        <v>0</v>
      </c>
      <c r="F122">
        <v>1</v>
      </c>
      <c r="G122" t="s">
        <v>2</v>
      </c>
      <c r="H122" cm="1">
        <f t="array" ref="H122">-isDup(B122,B123,0.7)</f>
        <v>0</v>
      </c>
    </row>
    <row r="123" spans="1:8" x14ac:dyDescent="0.2">
      <c r="A123" s="3">
        <v>45088.921492997688</v>
      </c>
      <c r="B123" t="s">
        <v>184</v>
      </c>
      <c r="C123" t="s">
        <v>57</v>
      </c>
      <c r="D123" t="s">
        <v>69</v>
      </c>
      <c r="E123">
        <v>0</v>
      </c>
      <c r="F123">
        <v>0</v>
      </c>
      <c r="G123" t="s">
        <v>2</v>
      </c>
      <c r="H123" cm="1">
        <f t="array" ref="H123">-isDup(B123,B124,0.7)</f>
        <v>0</v>
      </c>
    </row>
    <row r="124" spans="1:8" x14ac:dyDescent="0.2">
      <c r="A124" s="3">
        <v>45089.921492997688</v>
      </c>
      <c r="B124" t="s">
        <v>185</v>
      </c>
      <c r="C124" t="s">
        <v>7</v>
      </c>
      <c r="E124">
        <v>1</v>
      </c>
      <c r="F124">
        <v>0</v>
      </c>
      <c r="G124" t="s">
        <v>2</v>
      </c>
      <c r="H124" cm="1">
        <f t="array" ref="H124">-isDup(B124,B125,0.7)</f>
        <v>0</v>
      </c>
    </row>
    <row r="125" spans="1:8" x14ac:dyDescent="0.2">
      <c r="A125" s="3">
        <v>45090.921492997688</v>
      </c>
      <c r="B125" t="s">
        <v>186</v>
      </c>
      <c r="C125" t="s">
        <v>128</v>
      </c>
      <c r="D125" t="s">
        <v>129</v>
      </c>
      <c r="E125">
        <v>0</v>
      </c>
      <c r="F125">
        <v>0</v>
      </c>
      <c r="G125" t="s">
        <v>2</v>
      </c>
      <c r="H125" cm="1">
        <f t="array" ref="H125">-isDup(B125,B126,0.7)</f>
        <v>0</v>
      </c>
    </row>
    <row r="126" spans="1:8" x14ac:dyDescent="0.2">
      <c r="A126" s="3">
        <v>45091.921492997688</v>
      </c>
      <c r="B126" t="s">
        <v>187</v>
      </c>
      <c r="C126" t="s">
        <v>188</v>
      </c>
      <c r="D126" t="s">
        <v>189</v>
      </c>
      <c r="E126">
        <v>0</v>
      </c>
      <c r="F126">
        <v>1</v>
      </c>
      <c r="G126" t="s">
        <v>2</v>
      </c>
      <c r="H126" cm="1">
        <f t="array" ref="H126">-isDup(B126,B127,0.7)</f>
        <v>0</v>
      </c>
    </row>
    <row r="127" spans="1:8" x14ac:dyDescent="0.2">
      <c r="A127" s="3">
        <v>45092.921492997688</v>
      </c>
      <c r="B127" t="s">
        <v>190</v>
      </c>
      <c r="C127" t="s">
        <v>7</v>
      </c>
      <c r="E127">
        <v>0</v>
      </c>
      <c r="F127">
        <v>0</v>
      </c>
      <c r="G127" t="s">
        <v>2</v>
      </c>
      <c r="H127" cm="1">
        <f t="array" ref="H127">-isDup(B127,B128,0.7)</f>
        <v>0</v>
      </c>
    </row>
    <row r="128" spans="1:8" x14ac:dyDescent="0.2">
      <c r="A128" s="3">
        <v>45093.921492997688</v>
      </c>
      <c r="B128" t="s">
        <v>191</v>
      </c>
      <c r="C128" t="s">
        <v>12</v>
      </c>
      <c r="D128" t="s">
        <v>13</v>
      </c>
      <c r="E128">
        <v>0</v>
      </c>
      <c r="F128">
        <v>0</v>
      </c>
      <c r="G128" t="s">
        <v>2</v>
      </c>
      <c r="H128" cm="1">
        <f t="array" ref="H128">-isDup(B128,B129,0.7)</f>
        <v>0</v>
      </c>
    </row>
    <row r="129" spans="1:8" x14ac:dyDescent="0.2">
      <c r="A129" s="3">
        <v>45094.921492997688</v>
      </c>
      <c r="B129" t="s">
        <v>192</v>
      </c>
      <c r="C129" t="s">
        <v>128</v>
      </c>
      <c r="D129" t="s">
        <v>129</v>
      </c>
      <c r="E129">
        <v>0</v>
      </c>
      <c r="F129">
        <v>0</v>
      </c>
      <c r="G129" t="s">
        <v>2</v>
      </c>
      <c r="H129" cm="1">
        <f t="array" ref="H129">-isDup(B129,B130,0.7)</f>
        <v>-1</v>
      </c>
    </row>
    <row r="130" spans="1:8" x14ac:dyDescent="0.2">
      <c r="A130" s="3">
        <v>45095.921492997688</v>
      </c>
      <c r="B130" t="s">
        <v>192</v>
      </c>
      <c r="C130" t="s">
        <v>143</v>
      </c>
      <c r="D130" t="s">
        <v>129</v>
      </c>
      <c r="E130">
        <v>0</v>
      </c>
      <c r="F130">
        <v>0</v>
      </c>
      <c r="G130" t="s">
        <v>2</v>
      </c>
      <c r="H130" cm="1">
        <f t="array" ref="H130">-isDup(B130,B131,0.7)</f>
        <v>0</v>
      </c>
    </row>
    <row r="131" spans="1:8" x14ac:dyDescent="0.2">
      <c r="A131" s="3">
        <v>45096.921492997688</v>
      </c>
      <c r="B131" t="s">
        <v>193</v>
      </c>
      <c r="C131" t="s">
        <v>128</v>
      </c>
      <c r="D131" t="s">
        <v>129</v>
      </c>
      <c r="E131">
        <v>0</v>
      </c>
      <c r="F131">
        <v>0</v>
      </c>
      <c r="G131" t="s">
        <v>2</v>
      </c>
      <c r="H131" cm="1">
        <f t="array" ref="H131">-isDup(B131,B132,0.7)</f>
        <v>-1</v>
      </c>
    </row>
    <row r="132" spans="1:8" x14ac:dyDescent="0.2">
      <c r="A132" s="3">
        <v>45097.921492997688</v>
      </c>
      <c r="B132" t="s">
        <v>193</v>
      </c>
      <c r="C132" t="s">
        <v>143</v>
      </c>
      <c r="D132" t="s">
        <v>129</v>
      </c>
      <c r="E132">
        <v>0</v>
      </c>
      <c r="F132">
        <v>0</v>
      </c>
      <c r="G132" t="s">
        <v>2</v>
      </c>
      <c r="H132" cm="1">
        <f t="array" ref="H132">-isDup(B132,B133,0.7)</f>
        <v>0</v>
      </c>
    </row>
    <row r="133" spans="1:8" x14ac:dyDescent="0.2">
      <c r="A133" s="3">
        <v>45098.921492997688</v>
      </c>
      <c r="B133" t="s">
        <v>194</v>
      </c>
      <c r="C133" t="s">
        <v>128</v>
      </c>
      <c r="D133" t="s">
        <v>129</v>
      </c>
      <c r="E133">
        <v>0</v>
      </c>
      <c r="F133">
        <v>0</v>
      </c>
      <c r="G133" t="s">
        <v>2</v>
      </c>
      <c r="H133" cm="1">
        <f t="array" ref="H133">-isDup(B133,B134,0.7)</f>
        <v>0</v>
      </c>
    </row>
    <row r="134" spans="1:8" x14ac:dyDescent="0.2">
      <c r="A134" s="3">
        <v>45099.921492997688</v>
      </c>
      <c r="B134" t="s">
        <v>3</v>
      </c>
      <c r="C134" t="s">
        <v>4</v>
      </c>
      <c r="D134" t="s">
        <v>5</v>
      </c>
      <c r="E134">
        <v>0</v>
      </c>
      <c r="F134">
        <v>0</v>
      </c>
      <c r="G134" t="s">
        <v>2</v>
      </c>
      <c r="H134" cm="1">
        <f t="array" ref="H134">-isDup(B134,B135,0.7)</f>
        <v>0</v>
      </c>
    </row>
    <row r="135" spans="1:8" x14ac:dyDescent="0.2">
      <c r="A135" s="3">
        <v>45100.921492997688</v>
      </c>
      <c r="B135" t="s">
        <v>195</v>
      </c>
      <c r="C135" t="s">
        <v>7</v>
      </c>
      <c r="E135">
        <v>0</v>
      </c>
      <c r="F135">
        <v>0</v>
      </c>
      <c r="G135" t="s">
        <v>2</v>
      </c>
      <c r="H135" cm="1">
        <f t="array" ref="H135">-isDup(B135,B136,0.7)</f>
        <v>0</v>
      </c>
    </row>
    <row r="136" spans="1:8" x14ac:dyDescent="0.2">
      <c r="A136" s="3">
        <v>45101.921492997688</v>
      </c>
      <c r="B136" t="s">
        <v>196</v>
      </c>
      <c r="C136" t="s">
        <v>7</v>
      </c>
      <c r="E136">
        <v>0</v>
      </c>
      <c r="F136">
        <v>0</v>
      </c>
      <c r="G136" t="s">
        <v>2</v>
      </c>
      <c r="H136" cm="1">
        <f t="array" ref="H136">-isDup(B136,B137,0.7)</f>
        <v>0</v>
      </c>
    </row>
    <row r="137" spans="1:8" x14ac:dyDescent="0.2">
      <c r="A137" s="3">
        <v>45102.921492997688</v>
      </c>
      <c r="B137" t="s">
        <v>11</v>
      </c>
      <c r="C137" t="s">
        <v>12</v>
      </c>
      <c r="D137" t="s">
        <v>13</v>
      </c>
      <c r="E137">
        <v>0</v>
      </c>
      <c r="F137">
        <v>0</v>
      </c>
      <c r="G137" t="s">
        <v>2</v>
      </c>
      <c r="H137" cm="1">
        <f t="array" ref="H137">-isDup(B137,B138,0.7)</f>
        <v>0</v>
      </c>
    </row>
    <row r="138" spans="1:8" x14ac:dyDescent="0.2">
      <c r="A138" s="3">
        <v>45103.921492997688</v>
      </c>
      <c r="B138" t="s">
        <v>197</v>
      </c>
      <c r="C138" t="s">
        <v>198</v>
      </c>
      <c r="E138">
        <v>0</v>
      </c>
      <c r="F138">
        <v>0</v>
      </c>
      <c r="G138" t="s">
        <v>2</v>
      </c>
      <c r="H138" cm="1">
        <f t="array" ref="H138">-isDup(B138,B139,0.7)</f>
        <v>0</v>
      </c>
    </row>
    <row r="139" spans="1:8" x14ac:dyDescent="0.2">
      <c r="A139" s="3">
        <v>45104.921492997688</v>
      </c>
      <c r="B139" t="s">
        <v>199</v>
      </c>
      <c r="C139" t="s">
        <v>7</v>
      </c>
      <c r="E139">
        <v>0</v>
      </c>
      <c r="F139">
        <v>0</v>
      </c>
      <c r="G139" t="s">
        <v>2</v>
      </c>
      <c r="H139" cm="1">
        <f t="array" ref="H139">-isDup(B139,B140,0.7)</f>
        <v>0</v>
      </c>
    </row>
    <row r="140" spans="1:8" x14ac:dyDescent="0.2">
      <c r="A140" s="3">
        <v>45105.921492997688</v>
      </c>
      <c r="B140" t="s">
        <v>200</v>
      </c>
      <c r="C140" t="s">
        <v>171</v>
      </c>
      <c r="E140">
        <v>0</v>
      </c>
      <c r="F140">
        <v>0</v>
      </c>
      <c r="G140" t="s">
        <v>2</v>
      </c>
      <c r="H140" cm="1">
        <f t="array" ref="H140">-isDup(B140,B141,0.7)</f>
        <v>0</v>
      </c>
    </row>
    <row r="141" spans="1:8" x14ac:dyDescent="0.2">
      <c r="A141" s="3">
        <v>45106.921492997688</v>
      </c>
      <c r="B141" t="s">
        <v>201</v>
      </c>
      <c r="C141" t="s">
        <v>202</v>
      </c>
      <c r="D141" t="s">
        <v>203</v>
      </c>
      <c r="E141">
        <v>1</v>
      </c>
      <c r="F141">
        <v>6</v>
      </c>
      <c r="G141" t="s">
        <v>2</v>
      </c>
      <c r="H141" cm="1">
        <f t="array" ref="H141">-isDup(B141,B142,0.7)</f>
        <v>0</v>
      </c>
    </row>
    <row r="142" spans="1:8" x14ac:dyDescent="0.2">
      <c r="A142" s="3">
        <v>45107.921492997688</v>
      </c>
      <c r="B142" t="s">
        <v>204</v>
      </c>
      <c r="C142" t="s">
        <v>7</v>
      </c>
      <c r="E142">
        <v>0</v>
      </c>
      <c r="F142">
        <v>0</v>
      </c>
      <c r="G142" t="s">
        <v>2</v>
      </c>
      <c r="H142" cm="1">
        <f t="array" ref="H142">-isDup(B142,B143,0.7)</f>
        <v>0</v>
      </c>
    </row>
    <row r="143" spans="1:8" x14ac:dyDescent="0.2">
      <c r="A143" s="3">
        <v>45108.921492997688</v>
      </c>
      <c r="B143" t="s">
        <v>205</v>
      </c>
      <c r="C143" t="s">
        <v>206</v>
      </c>
      <c r="D143" t="s">
        <v>207</v>
      </c>
      <c r="E143">
        <v>0</v>
      </c>
      <c r="F143">
        <v>0</v>
      </c>
      <c r="G143" t="s">
        <v>2</v>
      </c>
      <c r="H143" cm="1">
        <f t="array" ref="H143">-isDup(B143,B144,0.7)</f>
        <v>0</v>
      </c>
    </row>
    <row r="144" spans="1:8" x14ac:dyDescent="0.2">
      <c r="A144" s="3">
        <v>45109.921492997688</v>
      </c>
      <c r="B144" t="s">
        <v>208</v>
      </c>
      <c r="C144" t="s">
        <v>209</v>
      </c>
      <c r="D144" t="s">
        <v>210</v>
      </c>
      <c r="E144">
        <v>1</v>
      </c>
      <c r="F144">
        <v>4</v>
      </c>
      <c r="G144" t="s">
        <v>2</v>
      </c>
      <c r="H144" cm="1">
        <f t="array" ref="H144">-isDup(B144,B145,0.7)</f>
        <v>0</v>
      </c>
    </row>
    <row r="145" spans="1:8" x14ac:dyDescent="0.2">
      <c r="A145" s="3">
        <v>45110.921492997688</v>
      </c>
      <c r="B145" t="s">
        <v>211</v>
      </c>
      <c r="C145" t="s">
        <v>7</v>
      </c>
      <c r="E145">
        <v>0</v>
      </c>
      <c r="F145">
        <v>0</v>
      </c>
      <c r="G145" t="s">
        <v>2</v>
      </c>
      <c r="H145" cm="1">
        <f t="array" ref="H145">-isDup(B145,B146,0.7)</f>
        <v>0</v>
      </c>
    </row>
    <row r="146" spans="1:8" x14ac:dyDescent="0.2">
      <c r="A146" s="3">
        <v>45111.921492997688</v>
      </c>
      <c r="B146" t="s">
        <v>212</v>
      </c>
      <c r="C146" t="s">
        <v>33</v>
      </c>
      <c r="D146" t="s">
        <v>34</v>
      </c>
      <c r="E146">
        <v>0</v>
      </c>
      <c r="F146">
        <v>0</v>
      </c>
      <c r="G146" t="s">
        <v>2</v>
      </c>
      <c r="H146" cm="1">
        <f t="array" ref="H146">-isDup(B146,B147,0.7)</f>
        <v>0</v>
      </c>
    </row>
    <row r="147" spans="1:8" x14ac:dyDescent="0.2">
      <c r="A147" s="3">
        <v>45112.921492997688</v>
      </c>
      <c r="B147" t="s">
        <v>37</v>
      </c>
      <c r="C147" t="s">
        <v>33</v>
      </c>
      <c r="D147" t="s">
        <v>34</v>
      </c>
      <c r="E147">
        <v>0</v>
      </c>
      <c r="F147">
        <v>0</v>
      </c>
      <c r="G147" t="s">
        <v>2</v>
      </c>
      <c r="H147" cm="1">
        <f t="array" ref="H147">-isDup(B147,B148,0.7)</f>
        <v>0</v>
      </c>
    </row>
    <row r="148" spans="1:8" x14ac:dyDescent="0.2">
      <c r="A148" s="3">
        <v>45113.921492997688</v>
      </c>
      <c r="B148" t="s">
        <v>36</v>
      </c>
      <c r="C148" t="s">
        <v>33</v>
      </c>
      <c r="D148" t="s">
        <v>34</v>
      </c>
      <c r="E148">
        <v>0</v>
      </c>
      <c r="F148">
        <v>0</v>
      </c>
      <c r="G148" t="s">
        <v>2</v>
      </c>
      <c r="H148" cm="1">
        <f t="array" ref="H148">-isDup(B148,B149,0.7)</f>
        <v>0</v>
      </c>
    </row>
    <row r="149" spans="1:8" x14ac:dyDescent="0.2">
      <c r="A149" s="3">
        <v>45114.921492997688</v>
      </c>
      <c r="B149" t="s">
        <v>35</v>
      </c>
      <c r="C149" t="s">
        <v>33</v>
      </c>
      <c r="D149" t="s">
        <v>34</v>
      </c>
      <c r="E149">
        <v>0</v>
      </c>
      <c r="F149">
        <v>0</v>
      </c>
      <c r="G149" t="s">
        <v>2</v>
      </c>
      <c r="H149" cm="1">
        <f t="array" ref="H149">-isDup(B149,B150,0.7)</f>
        <v>0</v>
      </c>
    </row>
    <row r="150" spans="1:8" x14ac:dyDescent="0.2">
      <c r="A150" s="3">
        <v>45115.921492997688</v>
      </c>
      <c r="B150" t="s">
        <v>213</v>
      </c>
      <c r="C150" t="s">
        <v>214</v>
      </c>
      <c r="D150" t="s">
        <v>215</v>
      </c>
      <c r="E150">
        <v>0</v>
      </c>
      <c r="F150">
        <v>2</v>
      </c>
      <c r="G150" t="s">
        <v>2</v>
      </c>
      <c r="H150" cm="1">
        <f t="array" ref="H150">-isDup(B150,B151,0.7)</f>
        <v>0</v>
      </c>
    </row>
    <row r="151" spans="1:8" x14ac:dyDescent="0.2">
      <c r="A151" s="3">
        <v>45116.921492997688</v>
      </c>
      <c r="B151" t="s">
        <v>216</v>
      </c>
      <c r="C151" t="s">
        <v>134</v>
      </c>
      <c r="E151">
        <v>0</v>
      </c>
      <c r="F151">
        <v>0</v>
      </c>
      <c r="G151" t="s">
        <v>2</v>
      </c>
      <c r="H151" cm="1">
        <f t="array" ref="H151">-isDup(B151,B152,0.7)</f>
        <v>0</v>
      </c>
    </row>
    <row r="152" spans="1:8" x14ac:dyDescent="0.2">
      <c r="A152" s="3">
        <v>45117.921492997688</v>
      </c>
      <c r="B152" t="s">
        <v>217</v>
      </c>
      <c r="C152" t="s">
        <v>128</v>
      </c>
      <c r="D152" t="s">
        <v>129</v>
      </c>
      <c r="E152">
        <v>0</v>
      </c>
      <c r="F152">
        <v>0</v>
      </c>
      <c r="G152" t="s">
        <v>2</v>
      </c>
      <c r="H152" cm="1">
        <f t="array" ref="H152">-isDup(B152,B153,0.7)</f>
        <v>0</v>
      </c>
    </row>
    <row r="153" spans="1:8" x14ac:dyDescent="0.2">
      <c r="A153" s="3">
        <v>45118.921492997688</v>
      </c>
      <c r="B153" t="s">
        <v>11</v>
      </c>
      <c r="C153" t="s">
        <v>12</v>
      </c>
      <c r="D153" t="s">
        <v>13</v>
      </c>
      <c r="E153">
        <v>0</v>
      </c>
      <c r="F153">
        <v>0</v>
      </c>
      <c r="G153" t="s">
        <v>2</v>
      </c>
      <c r="H153" cm="1">
        <f t="array" ref="H153">-isDup(B153,B154,0.7)</f>
        <v>0</v>
      </c>
    </row>
    <row r="154" spans="1:8" x14ac:dyDescent="0.2">
      <c r="A154" s="3">
        <v>45119.921492997688</v>
      </c>
      <c r="B154" t="s">
        <v>218</v>
      </c>
      <c r="C154" t="s">
        <v>22</v>
      </c>
      <c r="E154">
        <v>0</v>
      </c>
      <c r="F154">
        <v>0</v>
      </c>
      <c r="G154" t="s">
        <v>2</v>
      </c>
      <c r="H154" cm="1">
        <f t="array" ref="H154">-isDup(B154,B155,0.7)</f>
        <v>0</v>
      </c>
    </row>
    <row r="155" spans="1:8" x14ac:dyDescent="0.2">
      <c r="A155" s="3">
        <v>45120.921492997688</v>
      </c>
      <c r="B155" t="s">
        <v>219</v>
      </c>
      <c r="C155" t="s">
        <v>7</v>
      </c>
      <c r="E155">
        <v>0</v>
      </c>
      <c r="F155">
        <v>0</v>
      </c>
      <c r="G155" t="s">
        <v>2</v>
      </c>
      <c r="H155" cm="1">
        <f t="array" ref="H155">-isDup(B155,B156,0.7)</f>
        <v>0</v>
      </c>
    </row>
    <row r="156" spans="1:8" x14ac:dyDescent="0.2">
      <c r="A156" s="3">
        <v>45121.921492997688</v>
      </c>
      <c r="B156" t="s">
        <v>220</v>
      </c>
      <c r="C156" t="s">
        <v>221</v>
      </c>
      <c r="E156">
        <v>0</v>
      </c>
      <c r="F156">
        <v>0</v>
      </c>
      <c r="G156" t="s">
        <v>2</v>
      </c>
      <c r="H156" cm="1">
        <f t="array" ref="H156">-isDup(B156,B157,0.7)</f>
        <v>0</v>
      </c>
    </row>
    <row r="157" spans="1:8" x14ac:dyDescent="0.2">
      <c r="A157" s="3">
        <v>45122.921492997688</v>
      </c>
      <c r="B157" t="s">
        <v>222</v>
      </c>
      <c r="C157" t="s">
        <v>223</v>
      </c>
      <c r="E157">
        <v>0</v>
      </c>
      <c r="F157">
        <v>0</v>
      </c>
      <c r="G157" t="s">
        <v>2</v>
      </c>
      <c r="H157" cm="1">
        <f t="array" ref="H157">-isDup(B157,B158,0.7)</f>
        <v>0</v>
      </c>
    </row>
    <row r="158" spans="1:8" x14ac:dyDescent="0.2">
      <c r="A158" s="3">
        <v>45123.921492997688</v>
      </c>
      <c r="B158" t="s">
        <v>224</v>
      </c>
      <c r="C158" t="s">
        <v>33</v>
      </c>
      <c r="D158" t="s">
        <v>34</v>
      </c>
      <c r="E158">
        <v>0</v>
      </c>
      <c r="F158">
        <v>0</v>
      </c>
      <c r="G158" t="s">
        <v>2</v>
      </c>
      <c r="H158" cm="1">
        <f t="array" ref="H158">-isDup(B158,B159,0.7)</f>
        <v>0</v>
      </c>
    </row>
    <row r="159" spans="1:8" x14ac:dyDescent="0.2">
      <c r="A159" s="3">
        <v>45124.921492997688</v>
      </c>
      <c r="B159" t="s">
        <v>225</v>
      </c>
      <c r="C159" t="s">
        <v>33</v>
      </c>
      <c r="D159" t="s">
        <v>34</v>
      </c>
      <c r="E159">
        <v>0</v>
      </c>
      <c r="F159">
        <v>0</v>
      </c>
      <c r="G159" t="s">
        <v>2</v>
      </c>
      <c r="H159" cm="1">
        <f t="array" ref="H159">-isDup(B159,B160,0.7)</f>
        <v>0</v>
      </c>
    </row>
    <row r="160" spans="1:8" x14ac:dyDescent="0.2">
      <c r="A160" s="3">
        <v>45125.921492997688</v>
      </c>
      <c r="B160" t="s">
        <v>226</v>
      </c>
      <c r="C160" t="s">
        <v>33</v>
      </c>
      <c r="D160" t="s">
        <v>34</v>
      </c>
      <c r="E160">
        <v>0</v>
      </c>
      <c r="F160">
        <v>0</v>
      </c>
      <c r="G160" t="s">
        <v>2</v>
      </c>
      <c r="H160" cm="1">
        <f t="array" ref="H160">-isDup(B160,B161,0.7)</f>
        <v>0</v>
      </c>
    </row>
    <row r="161" spans="1:8" x14ac:dyDescent="0.2">
      <c r="A161" s="3">
        <v>45126.921492997688</v>
      </c>
      <c r="B161" t="s">
        <v>227</v>
      </c>
      <c r="C161" t="s">
        <v>33</v>
      </c>
      <c r="D161" t="s">
        <v>34</v>
      </c>
      <c r="E161">
        <v>0</v>
      </c>
      <c r="F161">
        <v>0</v>
      </c>
      <c r="G161" t="s">
        <v>2</v>
      </c>
      <c r="H161" cm="1">
        <f t="array" ref="H161">-isDup(B161,B162,0.7)</f>
        <v>-1</v>
      </c>
    </row>
    <row r="162" spans="1:8" x14ac:dyDescent="0.2">
      <c r="A162" s="3">
        <v>45127.921492997688</v>
      </c>
      <c r="B162" t="s">
        <v>228</v>
      </c>
      <c r="C162" t="s">
        <v>33</v>
      </c>
      <c r="D162" t="s">
        <v>34</v>
      </c>
      <c r="E162">
        <v>0</v>
      </c>
      <c r="F162">
        <v>0</v>
      </c>
      <c r="G162" t="s">
        <v>2</v>
      </c>
      <c r="H162" cm="1">
        <f t="array" ref="H162">-isDup(B162,B163,0.7)</f>
        <v>0</v>
      </c>
    </row>
    <row r="163" spans="1:8" x14ac:dyDescent="0.2">
      <c r="A163" s="3">
        <v>45128.921492997688</v>
      </c>
      <c r="B163" t="s">
        <v>229</v>
      </c>
      <c r="C163" t="s">
        <v>33</v>
      </c>
      <c r="D163" t="s">
        <v>34</v>
      </c>
      <c r="E163">
        <v>0</v>
      </c>
      <c r="F163">
        <v>0</v>
      </c>
      <c r="G163" t="s">
        <v>2</v>
      </c>
      <c r="H163" cm="1">
        <f t="array" ref="H163">-isDup(B163,B164,0.7)</f>
        <v>0</v>
      </c>
    </row>
    <row r="164" spans="1:8" x14ac:dyDescent="0.2">
      <c r="A164" s="3">
        <v>45129.921492997688</v>
      </c>
      <c r="B164" t="s">
        <v>230</v>
      </c>
      <c r="C164" t="s">
        <v>33</v>
      </c>
      <c r="D164" t="s">
        <v>34</v>
      </c>
      <c r="E164">
        <v>0</v>
      </c>
      <c r="F164">
        <v>0</v>
      </c>
      <c r="G164" t="s">
        <v>2</v>
      </c>
      <c r="H164" cm="1">
        <f t="array" ref="H164">-isDup(B164,B165,0.7)</f>
        <v>0</v>
      </c>
    </row>
    <row r="165" spans="1:8" x14ac:dyDescent="0.2">
      <c r="A165" s="3">
        <v>45130.921492997688</v>
      </c>
      <c r="B165" t="s">
        <v>231</v>
      </c>
      <c r="C165" t="s">
        <v>33</v>
      </c>
      <c r="D165" t="s">
        <v>34</v>
      </c>
      <c r="E165">
        <v>0</v>
      </c>
      <c r="F165">
        <v>0</v>
      </c>
      <c r="G165" t="s">
        <v>2</v>
      </c>
      <c r="H165" cm="1">
        <f t="array" ref="H165">-isDup(B165,B166,0.7)</f>
        <v>0</v>
      </c>
    </row>
    <row r="166" spans="1:8" x14ac:dyDescent="0.2">
      <c r="A166" s="3">
        <v>45131.921492997688</v>
      </c>
      <c r="B166" t="s">
        <v>232</v>
      </c>
      <c r="C166" t="s">
        <v>7</v>
      </c>
      <c r="E166">
        <v>0</v>
      </c>
      <c r="F166">
        <v>0</v>
      </c>
      <c r="G166" t="s">
        <v>2</v>
      </c>
      <c r="H166" cm="1">
        <f t="array" ref="H166">-isDup(B166,B167,0.7)</f>
        <v>0</v>
      </c>
    </row>
    <row r="167" spans="1:8" x14ac:dyDescent="0.2">
      <c r="A167" s="3">
        <v>45132.921492997688</v>
      </c>
      <c r="B167" t="s">
        <v>233</v>
      </c>
      <c r="C167" t="s">
        <v>234</v>
      </c>
      <c r="D167" t="s">
        <v>235</v>
      </c>
      <c r="E167">
        <v>0</v>
      </c>
      <c r="F167">
        <v>0</v>
      </c>
      <c r="G167" t="s">
        <v>2</v>
      </c>
      <c r="H167" cm="1">
        <f t="array" ref="H167">-isDup(B167,B168,0.7)</f>
        <v>0</v>
      </c>
    </row>
    <row r="168" spans="1:8" x14ac:dyDescent="0.2">
      <c r="A168" s="3">
        <v>45133.921492997688</v>
      </c>
      <c r="B168" t="s">
        <v>236</v>
      </c>
      <c r="C168" t="s">
        <v>237</v>
      </c>
      <c r="E168">
        <v>0</v>
      </c>
      <c r="F168">
        <v>1</v>
      </c>
      <c r="G168" t="s">
        <v>2</v>
      </c>
      <c r="H168" cm="1">
        <f t="array" ref="H168">-isDup(B168,B169,0.7)</f>
        <v>0</v>
      </c>
    </row>
    <row r="169" spans="1:8" x14ac:dyDescent="0.2">
      <c r="A169" s="3">
        <v>45134.921492997688</v>
      </c>
      <c r="B169" t="s">
        <v>238</v>
      </c>
      <c r="C169" t="s">
        <v>7</v>
      </c>
      <c r="E169">
        <v>0</v>
      </c>
      <c r="F169">
        <v>0</v>
      </c>
      <c r="G169" t="s">
        <v>2</v>
      </c>
      <c r="H169" cm="1">
        <f t="array" ref="H169">-isDup(B169,B170,0.7)</f>
        <v>0</v>
      </c>
    </row>
    <row r="170" spans="1:8" x14ac:dyDescent="0.2">
      <c r="A170" s="3">
        <v>45135.921492997688</v>
      </c>
      <c r="B170" t="s">
        <v>239</v>
      </c>
      <c r="C170" t="s">
        <v>108</v>
      </c>
      <c r="D170" t="s">
        <v>109</v>
      </c>
      <c r="E170">
        <v>0</v>
      </c>
      <c r="F170">
        <v>0</v>
      </c>
      <c r="G170" t="s">
        <v>2</v>
      </c>
      <c r="H170" cm="1">
        <f t="array" ref="H170">-isDup(B170,B171,0.7)</f>
        <v>0</v>
      </c>
    </row>
    <row r="171" spans="1:8" x14ac:dyDescent="0.2">
      <c r="A171" s="3">
        <v>45136.921492997688</v>
      </c>
      <c r="B171" t="s">
        <v>240</v>
      </c>
      <c r="C171" t="s">
        <v>137</v>
      </c>
      <c r="D171" t="s">
        <v>241</v>
      </c>
      <c r="E171">
        <v>0</v>
      </c>
      <c r="F171">
        <v>1</v>
      </c>
      <c r="G171" t="s">
        <v>2</v>
      </c>
      <c r="H171" cm="1">
        <f t="array" ref="H171">-isDup(B171,B172,0.7)</f>
        <v>0</v>
      </c>
    </row>
    <row r="172" spans="1:8" x14ac:dyDescent="0.2">
      <c r="A172" s="3">
        <v>45137.921492997688</v>
      </c>
      <c r="B172" t="s">
        <v>242</v>
      </c>
      <c r="C172" t="s">
        <v>243</v>
      </c>
      <c r="D172" t="s">
        <v>244</v>
      </c>
      <c r="E172">
        <v>0</v>
      </c>
      <c r="F172">
        <v>0</v>
      </c>
      <c r="G172" t="s">
        <v>2</v>
      </c>
      <c r="H172" cm="1">
        <f t="array" ref="H172">-isDup(B172,B173,0.7)</f>
        <v>0</v>
      </c>
    </row>
    <row r="173" spans="1:8" x14ac:dyDescent="0.2">
      <c r="A173" s="3">
        <v>45138.921492997688</v>
      </c>
      <c r="B173" t="s">
        <v>245</v>
      </c>
      <c r="C173" t="s">
        <v>7</v>
      </c>
      <c r="E173">
        <v>0</v>
      </c>
      <c r="F173">
        <v>0</v>
      </c>
      <c r="G173" t="s">
        <v>2</v>
      </c>
      <c r="H173" cm="1">
        <f t="array" ref="H173">-isDup(B173,B174,0.7)</f>
        <v>0</v>
      </c>
    </row>
    <row r="174" spans="1:8" x14ac:dyDescent="0.2">
      <c r="A174" s="3">
        <v>45139.921492997688</v>
      </c>
      <c r="B174" t="s">
        <v>246</v>
      </c>
      <c r="C174" t="s">
        <v>98</v>
      </c>
      <c r="D174" t="s">
        <v>13</v>
      </c>
      <c r="E174">
        <v>0</v>
      </c>
      <c r="F174">
        <v>0</v>
      </c>
      <c r="G174" t="s">
        <v>2</v>
      </c>
      <c r="H174" cm="1">
        <f t="array" ref="H174">-isDup(B174,B175,0.7)</f>
        <v>0</v>
      </c>
    </row>
    <row r="175" spans="1:8" x14ac:dyDescent="0.2">
      <c r="A175" s="3">
        <v>45140.921492997688</v>
      </c>
      <c r="B175" t="s">
        <v>247</v>
      </c>
      <c r="C175" t="s">
        <v>248</v>
      </c>
      <c r="D175" t="s">
        <v>249</v>
      </c>
      <c r="E175">
        <v>0</v>
      </c>
      <c r="F175">
        <v>3</v>
      </c>
      <c r="G175" t="s">
        <v>2</v>
      </c>
      <c r="H175" cm="1">
        <f t="array" ref="H175">-isDup(B175,B176,0.7)</f>
        <v>0</v>
      </c>
    </row>
    <row r="176" spans="1:8" x14ac:dyDescent="0.2">
      <c r="A176" s="3">
        <v>45141.921492997688</v>
      </c>
      <c r="B176" t="s">
        <v>250</v>
      </c>
      <c r="C176" t="s">
        <v>251</v>
      </c>
      <c r="E176">
        <v>0</v>
      </c>
      <c r="F176">
        <v>54</v>
      </c>
      <c r="G176" t="s">
        <v>2</v>
      </c>
      <c r="H176" cm="1">
        <f t="array" ref="H176">-isDup(B176,B177,0.7)</f>
        <v>0</v>
      </c>
    </row>
    <row r="177" spans="1:8" x14ac:dyDescent="0.2">
      <c r="A177" s="3">
        <v>45142.921492997688</v>
      </c>
      <c r="B177" t="s">
        <v>252</v>
      </c>
      <c r="C177" t="s">
        <v>253</v>
      </c>
      <c r="D177" t="s">
        <v>254</v>
      </c>
      <c r="E177">
        <v>0</v>
      </c>
      <c r="F177">
        <v>0</v>
      </c>
      <c r="G177" t="s">
        <v>2</v>
      </c>
      <c r="H177" cm="1">
        <f t="array" ref="H177">-isDup(B177,B178,0.7)</f>
        <v>0</v>
      </c>
    </row>
    <row r="178" spans="1:8" x14ac:dyDescent="0.2">
      <c r="A178" s="3">
        <v>45143.921492997688</v>
      </c>
      <c r="B178" t="s">
        <v>3</v>
      </c>
      <c r="C178" t="s">
        <v>4</v>
      </c>
      <c r="D178" t="s">
        <v>5</v>
      </c>
      <c r="E178">
        <v>0</v>
      </c>
      <c r="F178">
        <v>0</v>
      </c>
      <c r="G178" t="s">
        <v>2</v>
      </c>
      <c r="H178" cm="1">
        <f t="array" ref="H178">-isDup(B178,B179,0.7)</f>
        <v>0</v>
      </c>
    </row>
    <row r="179" spans="1:8" x14ac:dyDescent="0.2">
      <c r="A179" s="3">
        <v>45144.921492997688</v>
      </c>
      <c r="B179" t="s">
        <v>255</v>
      </c>
      <c r="C179" t="s">
        <v>256</v>
      </c>
      <c r="E179">
        <v>0</v>
      </c>
      <c r="F179">
        <v>0</v>
      </c>
      <c r="G179" t="s">
        <v>2</v>
      </c>
      <c r="H179" cm="1">
        <f t="array" ref="H179">-isDup(B179,B180,0.7)</f>
        <v>0</v>
      </c>
    </row>
    <row r="180" spans="1:8" x14ac:dyDescent="0.2">
      <c r="A180" s="3">
        <v>45145.921492997688</v>
      </c>
      <c r="B180" t="s">
        <v>257</v>
      </c>
      <c r="C180" t="s">
        <v>7</v>
      </c>
      <c r="E180">
        <v>0</v>
      </c>
      <c r="F180">
        <v>0</v>
      </c>
      <c r="G180" t="s">
        <v>2</v>
      </c>
      <c r="H180" cm="1">
        <f t="array" ref="H180">-isDup(B180,B181,0.7)</f>
        <v>0</v>
      </c>
    </row>
    <row r="181" spans="1:8" x14ac:dyDescent="0.2">
      <c r="A181" s="3">
        <v>45146.921492997688</v>
      </c>
      <c r="B181" t="s">
        <v>258</v>
      </c>
      <c r="C181" t="s">
        <v>259</v>
      </c>
      <c r="D181" t="s">
        <v>260</v>
      </c>
      <c r="E181">
        <v>0</v>
      </c>
      <c r="F181">
        <v>0</v>
      </c>
      <c r="G181" t="s">
        <v>2</v>
      </c>
      <c r="H181" cm="1">
        <f t="array" ref="H181">-isDup(B181,B182,0.7)</f>
        <v>0</v>
      </c>
    </row>
    <row r="182" spans="1:8" x14ac:dyDescent="0.2">
      <c r="A182" s="3">
        <v>45147.921492997688</v>
      </c>
      <c r="B182" t="s">
        <v>261</v>
      </c>
      <c r="C182" t="s">
        <v>262</v>
      </c>
      <c r="D182" t="s">
        <v>263</v>
      </c>
      <c r="E182">
        <v>0</v>
      </c>
      <c r="F182">
        <v>0</v>
      </c>
      <c r="G182" t="s">
        <v>2</v>
      </c>
      <c r="H182" cm="1">
        <f t="array" ref="H182">-isDup(B182,B183,0.7)</f>
        <v>0</v>
      </c>
    </row>
    <row r="183" spans="1:8" x14ac:dyDescent="0.2">
      <c r="A183" s="3">
        <v>45148.921492997688</v>
      </c>
      <c r="B183" t="s">
        <v>264</v>
      </c>
      <c r="C183" t="s">
        <v>262</v>
      </c>
      <c r="D183" t="s">
        <v>263</v>
      </c>
      <c r="E183">
        <v>0</v>
      </c>
      <c r="F183">
        <v>1</v>
      </c>
      <c r="G183" t="s">
        <v>2</v>
      </c>
      <c r="H183" cm="1">
        <f t="array" ref="H183">-isDup(B183,B184,0.7)</f>
        <v>0</v>
      </c>
    </row>
    <row r="184" spans="1:8" x14ac:dyDescent="0.2">
      <c r="A184" s="3">
        <v>45149.921492997688</v>
      </c>
      <c r="B184" t="s">
        <v>265</v>
      </c>
      <c r="C184" t="s">
        <v>7</v>
      </c>
      <c r="E184">
        <v>0</v>
      </c>
      <c r="F184">
        <v>0</v>
      </c>
      <c r="G184" t="s">
        <v>2</v>
      </c>
      <c r="H184" cm="1">
        <f t="array" ref="H184">-isDup(B184,B185,0.7)</f>
        <v>0</v>
      </c>
    </row>
    <row r="185" spans="1:8" x14ac:dyDescent="0.2">
      <c r="A185" s="3">
        <v>45150.921492997688</v>
      </c>
      <c r="B185" t="s">
        <v>266</v>
      </c>
      <c r="C185" t="s">
        <v>267</v>
      </c>
      <c r="D185" t="s">
        <v>268</v>
      </c>
      <c r="E185">
        <v>1</v>
      </c>
      <c r="F185">
        <v>0</v>
      </c>
      <c r="G185" t="s">
        <v>2</v>
      </c>
      <c r="H185" cm="1">
        <f t="array" ref="H185">-isDup(B185,B186,0.7)</f>
        <v>0</v>
      </c>
    </row>
    <row r="186" spans="1:8" x14ac:dyDescent="0.2">
      <c r="A186" s="3">
        <v>45151.921492997688</v>
      </c>
      <c r="B186" t="s">
        <v>269</v>
      </c>
      <c r="C186" t="s">
        <v>270</v>
      </c>
      <c r="D186" t="s">
        <v>271</v>
      </c>
      <c r="E186">
        <v>0</v>
      </c>
      <c r="F186">
        <v>0</v>
      </c>
      <c r="G186" t="s">
        <v>2</v>
      </c>
      <c r="H186" cm="1">
        <f t="array" ref="H186">-isDup(B186,B187,0.7)</f>
        <v>0</v>
      </c>
    </row>
    <row r="187" spans="1:8" x14ac:dyDescent="0.2">
      <c r="A187" s="3">
        <v>45152.921492997688</v>
      </c>
      <c r="B187" t="s">
        <v>272</v>
      </c>
      <c r="C187" t="s">
        <v>273</v>
      </c>
      <c r="E187">
        <v>0</v>
      </c>
      <c r="F187">
        <v>0</v>
      </c>
      <c r="G187" t="s">
        <v>2</v>
      </c>
      <c r="H187" cm="1">
        <f t="array" ref="H187">-isDup(B187,B188,0.7)</f>
        <v>0</v>
      </c>
    </row>
    <row r="188" spans="1:8" x14ac:dyDescent="0.2">
      <c r="A188" s="3">
        <v>45153.921492997688</v>
      </c>
      <c r="B188" t="s">
        <v>274</v>
      </c>
      <c r="C188" t="s">
        <v>275</v>
      </c>
      <c r="E188">
        <v>0</v>
      </c>
      <c r="F188">
        <v>2</v>
      </c>
      <c r="G188" t="s">
        <v>2</v>
      </c>
      <c r="H188" cm="1">
        <f t="array" ref="H188">-isDup(B188,B189,0.7)</f>
        <v>0</v>
      </c>
    </row>
    <row r="189" spans="1:8" x14ac:dyDescent="0.2">
      <c r="A189" s="3">
        <v>45154.921492997688</v>
      </c>
      <c r="B189" t="s">
        <v>276</v>
      </c>
      <c r="C189" t="s">
        <v>277</v>
      </c>
      <c r="D189" t="s">
        <v>278</v>
      </c>
      <c r="E189">
        <v>0</v>
      </c>
      <c r="F189">
        <v>0</v>
      </c>
      <c r="G189" t="s">
        <v>2</v>
      </c>
      <c r="H189" cm="1">
        <f t="array" ref="H189">-isDup(B189,B190,0.7)</f>
        <v>0</v>
      </c>
    </row>
    <row r="190" spans="1:8" x14ac:dyDescent="0.2">
      <c r="A190" s="3">
        <v>45155.921492997688</v>
      </c>
      <c r="B190" t="s">
        <v>37</v>
      </c>
      <c r="C190" t="s">
        <v>33</v>
      </c>
      <c r="D190" t="s">
        <v>34</v>
      </c>
      <c r="E190">
        <v>0</v>
      </c>
      <c r="F190">
        <v>0</v>
      </c>
      <c r="G190" t="s">
        <v>2</v>
      </c>
      <c r="H190" cm="1">
        <f t="array" ref="H190">-isDup(B190,B191,0.7)</f>
        <v>-1</v>
      </c>
    </row>
    <row r="191" spans="1:8" x14ac:dyDescent="0.2">
      <c r="A191" s="3">
        <v>45156.921492997688</v>
      </c>
      <c r="B191" t="s">
        <v>35</v>
      </c>
      <c r="C191" t="s">
        <v>33</v>
      </c>
      <c r="D191" t="s">
        <v>34</v>
      </c>
      <c r="E191">
        <v>0</v>
      </c>
      <c r="F191">
        <v>0</v>
      </c>
      <c r="G191" t="s">
        <v>2</v>
      </c>
      <c r="H191" cm="1">
        <f t="array" ref="H191">-isDup(B191,B192,0.7)</f>
        <v>-1</v>
      </c>
    </row>
    <row r="192" spans="1:8" x14ac:dyDescent="0.2">
      <c r="A192" s="3">
        <v>45157.921492997688</v>
      </c>
      <c r="B192" t="s">
        <v>279</v>
      </c>
      <c r="C192" t="s">
        <v>33</v>
      </c>
      <c r="D192" t="s">
        <v>34</v>
      </c>
      <c r="E192">
        <v>0</v>
      </c>
      <c r="F192">
        <v>0</v>
      </c>
      <c r="G192" t="s">
        <v>2</v>
      </c>
      <c r="H192" cm="1">
        <f t="array" ref="H192">-isDup(B192,B193,0.7)</f>
        <v>0</v>
      </c>
    </row>
    <row r="193" spans="1:8" x14ac:dyDescent="0.2">
      <c r="A193" s="3">
        <v>45158.921492997688</v>
      </c>
      <c r="B193" t="s">
        <v>36</v>
      </c>
      <c r="C193" t="s">
        <v>33</v>
      </c>
      <c r="D193" t="s">
        <v>34</v>
      </c>
      <c r="E193">
        <v>0</v>
      </c>
      <c r="F193">
        <v>0</v>
      </c>
      <c r="G193" t="s">
        <v>2</v>
      </c>
      <c r="H193" cm="1">
        <f t="array" ref="H193">-isDup(B193,B194,0.7)</f>
        <v>0</v>
      </c>
    </row>
    <row r="194" spans="1:8" x14ac:dyDescent="0.2">
      <c r="A194" s="3">
        <v>45159.921492997688</v>
      </c>
      <c r="B194" t="s">
        <v>280</v>
      </c>
      <c r="C194" t="s">
        <v>281</v>
      </c>
      <c r="E194">
        <v>0</v>
      </c>
      <c r="F194">
        <v>1</v>
      </c>
      <c r="G194" t="s">
        <v>2</v>
      </c>
      <c r="H194" cm="1">
        <f t="array" ref="H194">-isDup(B194,B195,0.7)</f>
        <v>0</v>
      </c>
    </row>
    <row r="195" spans="1:8" x14ac:dyDescent="0.2">
      <c r="A195" s="3">
        <v>45160.921492997688</v>
      </c>
      <c r="B195" t="s">
        <v>282</v>
      </c>
      <c r="C195" t="s">
        <v>283</v>
      </c>
      <c r="D195" t="s">
        <v>34</v>
      </c>
      <c r="E195">
        <v>0</v>
      </c>
      <c r="F195">
        <v>0</v>
      </c>
      <c r="G195" t="s">
        <v>2</v>
      </c>
      <c r="H195" cm="1">
        <f t="array" ref="H195">-isDup(B195,B196,0.7)</f>
        <v>0</v>
      </c>
    </row>
    <row r="196" spans="1:8" x14ac:dyDescent="0.2">
      <c r="A196" s="3">
        <v>45161.921492997688</v>
      </c>
      <c r="B196" t="s">
        <v>284</v>
      </c>
      <c r="C196" t="s">
        <v>7</v>
      </c>
      <c r="E196">
        <v>1</v>
      </c>
      <c r="F196">
        <v>0</v>
      </c>
      <c r="G196" t="s">
        <v>2</v>
      </c>
      <c r="H196" cm="1">
        <f t="array" ref="H196">-isDup(B196,B197,0.7)</f>
        <v>0</v>
      </c>
    </row>
    <row r="197" spans="1:8" x14ac:dyDescent="0.2">
      <c r="A197" s="3">
        <v>45162.921492997688</v>
      </c>
      <c r="B197" t="s">
        <v>285</v>
      </c>
      <c r="C197" t="s">
        <v>286</v>
      </c>
      <c r="E197">
        <v>0</v>
      </c>
      <c r="F197">
        <v>0</v>
      </c>
      <c r="G197" t="s">
        <v>2</v>
      </c>
      <c r="H197" cm="1">
        <f t="array" ref="H197">-isDup(B197,B198,0.7)</f>
        <v>0</v>
      </c>
    </row>
    <row r="198" spans="1:8" x14ac:dyDescent="0.2">
      <c r="A198" s="3">
        <v>45163.921492997688</v>
      </c>
      <c r="B198" t="s">
        <v>287</v>
      </c>
      <c r="C198" t="s">
        <v>33</v>
      </c>
      <c r="D198" t="s">
        <v>34</v>
      </c>
      <c r="E198">
        <v>0</v>
      </c>
      <c r="F198">
        <v>0</v>
      </c>
      <c r="G198" t="s">
        <v>2</v>
      </c>
      <c r="H198" cm="1">
        <f t="array" ref="H198">-isDup(B198,B199,0.7)</f>
        <v>0</v>
      </c>
    </row>
    <row r="199" spans="1:8" x14ac:dyDescent="0.2">
      <c r="A199" s="3">
        <v>45164.921492997688</v>
      </c>
      <c r="B199" t="s">
        <v>288</v>
      </c>
      <c r="C199" t="s">
        <v>7</v>
      </c>
      <c r="E199">
        <v>0</v>
      </c>
      <c r="F199">
        <v>0</v>
      </c>
      <c r="G199" t="s">
        <v>2</v>
      </c>
      <c r="H199" cm="1">
        <f t="array" ref="H199">-isDup(B199,B200,0.7)</f>
        <v>0</v>
      </c>
    </row>
    <row r="200" spans="1:8" x14ac:dyDescent="0.2">
      <c r="A200" s="3">
        <v>45165.921492997688</v>
      </c>
      <c r="B200" t="s">
        <v>289</v>
      </c>
      <c r="C200" t="s">
        <v>290</v>
      </c>
      <c r="D200" t="s">
        <v>291</v>
      </c>
      <c r="E200">
        <v>0</v>
      </c>
      <c r="F200">
        <v>0</v>
      </c>
      <c r="G200" t="s">
        <v>2</v>
      </c>
      <c r="H200" cm="1">
        <f t="array" ref="H200">-isDup(B200,B201,0.7)</f>
        <v>0</v>
      </c>
    </row>
    <row r="201" spans="1:8" x14ac:dyDescent="0.2">
      <c r="A201" s="3">
        <v>45166.921492997688</v>
      </c>
      <c r="B201" t="s">
        <v>292</v>
      </c>
      <c r="C201" t="s">
        <v>286</v>
      </c>
      <c r="E201">
        <v>0</v>
      </c>
      <c r="F201">
        <v>0</v>
      </c>
      <c r="G201" t="s">
        <v>2</v>
      </c>
      <c r="H201" cm="1">
        <f t="array" ref="H201">-isDup(B201,B202,0.7)</f>
        <v>0</v>
      </c>
    </row>
    <row r="202" spans="1:8" x14ac:dyDescent="0.2">
      <c r="A202" s="3">
        <v>45167.921492997688</v>
      </c>
      <c r="B202" t="s">
        <v>293</v>
      </c>
      <c r="C202" t="s">
        <v>294</v>
      </c>
      <c r="E202">
        <v>0</v>
      </c>
      <c r="F202">
        <v>0</v>
      </c>
      <c r="G202" t="s">
        <v>2</v>
      </c>
      <c r="H202" cm="1">
        <f t="array" ref="H202">-isDup(B202,B203,0.7)</f>
        <v>0</v>
      </c>
    </row>
    <row r="203" spans="1:8" x14ac:dyDescent="0.2">
      <c r="A203" s="3">
        <v>45168.921492997688</v>
      </c>
      <c r="B203" t="s">
        <v>295</v>
      </c>
      <c r="C203" t="s">
        <v>7</v>
      </c>
      <c r="E203">
        <v>0</v>
      </c>
      <c r="F203">
        <v>0</v>
      </c>
      <c r="G203" t="s">
        <v>2</v>
      </c>
      <c r="H203" cm="1">
        <f t="array" ref="H203">-isDup(B203,B204,0.7)</f>
        <v>0</v>
      </c>
    </row>
    <row r="204" spans="1:8" x14ac:dyDescent="0.2">
      <c r="A204" s="3">
        <v>45169.921492997688</v>
      </c>
      <c r="B204" t="s">
        <v>3</v>
      </c>
      <c r="C204" t="s">
        <v>4</v>
      </c>
      <c r="D204" t="s">
        <v>5</v>
      </c>
      <c r="E204">
        <v>0</v>
      </c>
      <c r="F204">
        <v>0</v>
      </c>
      <c r="G204" t="s">
        <v>2</v>
      </c>
      <c r="H204" cm="1">
        <f t="array" ref="H204">-isDup(B204,B205,0.7)</f>
        <v>0</v>
      </c>
    </row>
    <row r="205" spans="1:8" x14ac:dyDescent="0.2">
      <c r="A205" s="3">
        <v>45170.921492997688</v>
      </c>
      <c r="B205" t="s">
        <v>296</v>
      </c>
      <c r="C205" t="s">
        <v>297</v>
      </c>
      <c r="E205">
        <v>0</v>
      </c>
      <c r="F205">
        <v>0</v>
      </c>
      <c r="G205" t="s">
        <v>2</v>
      </c>
      <c r="H205" cm="1">
        <f t="array" ref="H205">-isDup(B205,B206,0.7)</f>
        <v>0</v>
      </c>
    </row>
    <row r="206" spans="1:8" x14ac:dyDescent="0.2">
      <c r="A206" s="3">
        <v>45171.921492997688</v>
      </c>
      <c r="B206" t="s">
        <v>298</v>
      </c>
      <c r="C206" t="s">
        <v>7</v>
      </c>
      <c r="E206">
        <v>0</v>
      </c>
      <c r="F206">
        <v>0</v>
      </c>
      <c r="G206" t="s">
        <v>2</v>
      </c>
      <c r="H206" cm="1">
        <f t="array" ref="H206">-isDup(B206,B207,0.7)</f>
        <v>0</v>
      </c>
    </row>
    <row r="207" spans="1:8" x14ac:dyDescent="0.2">
      <c r="A207" s="3">
        <v>45172.921492997688</v>
      </c>
      <c r="B207" t="s">
        <v>299</v>
      </c>
      <c r="C207" t="s">
        <v>300</v>
      </c>
      <c r="D207" t="s">
        <v>301</v>
      </c>
      <c r="E207">
        <v>0</v>
      </c>
      <c r="F207">
        <v>0</v>
      </c>
      <c r="G207" t="s">
        <v>2</v>
      </c>
      <c r="H207" cm="1">
        <f t="array" ref="H207">-isDup(B207,B208,0.7)</f>
        <v>0</v>
      </c>
    </row>
    <row r="208" spans="1:8" x14ac:dyDescent="0.2">
      <c r="A208" s="3">
        <v>45173.921492997688</v>
      </c>
      <c r="B208" t="s">
        <v>197</v>
      </c>
      <c r="C208" t="s">
        <v>198</v>
      </c>
      <c r="E208">
        <v>0</v>
      </c>
      <c r="F208">
        <v>0</v>
      </c>
      <c r="G208" t="s">
        <v>2</v>
      </c>
      <c r="H208" cm="1">
        <f t="array" ref="H208">-isDup(B208,B209,0.7)</f>
        <v>0</v>
      </c>
    </row>
    <row r="209" spans="1:8" x14ac:dyDescent="0.2">
      <c r="A209" s="3">
        <v>45174.921492997688</v>
      </c>
      <c r="B209" t="s">
        <v>302</v>
      </c>
      <c r="C209" t="s">
        <v>7</v>
      </c>
      <c r="E209">
        <v>0</v>
      </c>
      <c r="F209">
        <v>0</v>
      </c>
      <c r="G209" t="s">
        <v>2</v>
      </c>
      <c r="H209" cm="1">
        <f t="array" ref="H209">-isDup(B209,B210,0.7)</f>
        <v>0</v>
      </c>
    </row>
    <row r="210" spans="1:8" x14ac:dyDescent="0.2">
      <c r="A210" s="3">
        <v>45175.921492997688</v>
      </c>
      <c r="B210" t="s">
        <v>303</v>
      </c>
      <c r="C210" t="s">
        <v>131</v>
      </c>
      <c r="D210" t="s">
        <v>304</v>
      </c>
      <c r="E210">
        <v>0</v>
      </c>
      <c r="F210">
        <v>1</v>
      </c>
      <c r="G210" t="s">
        <v>2</v>
      </c>
      <c r="H210" cm="1">
        <f t="array" ref="H210">-isDup(B210,B211,0.7)</f>
        <v>0</v>
      </c>
    </row>
    <row r="211" spans="1:8" x14ac:dyDescent="0.2">
      <c r="A211" s="3">
        <v>45176.921492997688</v>
      </c>
      <c r="B211" t="s">
        <v>305</v>
      </c>
      <c r="C211" t="s">
        <v>306</v>
      </c>
      <c r="D211" t="s">
        <v>307</v>
      </c>
      <c r="E211">
        <v>0</v>
      </c>
      <c r="F211">
        <v>1</v>
      </c>
      <c r="G211" t="s">
        <v>2</v>
      </c>
      <c r="H211" cm="1">
        <f t="array" ref="H211">-isDup(B211,B212,0.7)</f>
        <v>0</v>
      </c>
    </row>
    <row r="212" spans="1:8" x14ac:dyDescent="0.2">
      <c r="A212" s="3">
        <v>45177.921492997688</v>
      </c>
      <c r="B212" t="s">
        <v>308</v>
      </c>
      <c r="C212" t="s">
        <v>309</v>
      </c>
      <c r="D212" t="s">
        <v>310</v>
      </c>
      <c r="E212">
        <v>0</v>
      </c>
      <c r="F212">
        <v>0</v>
      </c>
      <c r="G212" t="s">
        <v>2</v>
      </c>
      <c r="H212" cm="1">
        <f t="array" ref="H212">-isDup(B212,B213,0.7)</f>
        <v>0</v>
      </c>
    </row>
    <row r="213" spans="1:8" x14ac:dyDescent="0.2">
      <c r="A213" s="3">
        <v>45178.921492997688</v>
      </c>
      <c r="B213" t="s">
        <v>21</v>
      </c>
      <c r="C213" t="s">
        <v>22</v>
      </c>
      <c r="E213">
        <v>0</v>
      </c>
      <c r="F213">
        <v>0</v>
      </c>
      <c r="G213" t="s">
        <v>2</v>
      </c>
      <c r="H213" cm="1">
        <f t="array" ref="H213">-isDup(B213,B214,0.7)</f>
        <v>0</v>
      </c>
    </row>
    <row r="214" spans="1:8" x14ac:dyDescent="0.2">
      <c r="A214" s="3">
        <v>45179.921492997688</v>
      </c>
      <c r="B214" t="s">
        <v>311</v>
      </c>
      <c r="C214" t="s">
        <v>312</v>
      </c>
      <c r="D214" t="s">
        <v>313</v>
      </c>
      <c r="E214">
        <v>0</v>
      </c>
      <c r="F214">
        <v>2</v>
      </c>
      <c r="G214" t="s">
        <v>2</v>
      </c>
      <c r="H214" cm="1">
        <f t="array" ref="H214">-isDup(B214,B215,0.7)</f>
        <v>0</v>
      </c>
    </row>
    <row r="215" spans="1:8" x14ac:dyDescent="0.2">
      <c r="A215" s="3">
        <v>45180.921492997688</v>
      </c>
      <c r="B215" t="s">
        <v>314</v>
      </c>
      <c r="C215" t="s">
        <v>7</v>
      </c>
      <c r="E215">
        <v>1</v>
      </c>
      <c r="F215">
        <v>0</v>
      </c>
      <c r="G215" t="s">
        <v>2</v>
      </c>
      <c r="H215" cm="1">
        <f t="array" ref="H215">-isDup(B215,B216,0.7)</f>
        <v>0</v>
      </c>
    </row>
    <row r="216" spans="1:8" x14ac:dyDescent="0.2">
      <c r="A216" s="3">
        <v>45181.921492997688</v>
      </c>
      <c r="B216" t="s">
        <v>315</v>
      </c>
      <c r="C216" t="s">
        <v>316</v>
      </c>
      <c r="D216" t="s">
        <v>317</v>
      </c>
      <c r="E216">
        <v>0</v>
      </c>
      <c r="F216">
        <v>2</v>
      </c>
      <c r="G216" t="s">
        <v>2</v>
      </c>
      <c r="H216" cm="1">
        <f t="array" ref="H216">-isDup(B216,B217,0.7)</f>
        <v>0</v>
      </c>
    </row>
    <row r="217" spans="1:8" x14ac:dyDescent="0.2">
      <c r="A217" s="3">
        <v>45182.921492997688</v>
      </c>
      <c r="B217" t="s">
        <v>318</v>
      </c>
      <c r="C217" t="s">
        <v>319</v>
      </c>
      <c r="D217" t="s">
        <v>55</v>
      </c>
      <c r="E217">
        <v>0</v>
      </c>
      <c r="F217">
        <v>0</v>
      </c>
      <c r="G217" t="s">
        <v>2</v>
      </c>
      <c r="H217" cm="1">
        <f t="array" ref="H217">-isDup(B217,B218,0.7)</f>
        <v>0</v>
      </c>
    </row>
    <row r="218" spans="1:8" x14ac:dyDescent="0.2">
      <c r="A218" s="3">
        <v>45183.921492997688</v>
      </c>
      <c r="B218" t="s">
        <v>320</v>
      </c>
      <c r="C218" t="s">
        <v>7</v>
      </c>
      <c r="E218">
        <v>0</v>
      </c>
      <c r="F218">
        <v>0</v>
      </c>
      <c r="G218" t="s">
        <v>2</v>
      </c>
      <c r="H218" cm="1">
        <f t="array" ref="H218">-isDup(B218,B219,0.7)</f>
        <v>0</v>
      </c>
    </row>
    <row r="219" spans="1:8" x14ac:dyDescent="0.2">
      <c r="A219" s="3">
        <v>45184.921492997688</v>
      </c>
      <c r="B219" t="s">
        <v>36</v>
      </c>
      <c r="C219" t="s">
        <v>33</v>
      </c>
      <c r="D219" t="s">
        <v>34</v>
      </c>
      <c r="E219">
        <v>0</v>
      </c>
      <c r="F219">
        <v>0</v>
      </c>
      <c r="G219" t="s">
        <v>2</v>
      </c>
      <c r="H219" cm="1">
        <f t="array" ref="H219">-isDup(B219,B220,0.7)</f>
        <v>0</v>
      </c>
    </row>
    <row r="220" spans="1:8" x14ac:dyDescent="0.2">
      <c r="A220" s="3">
        <v>45185.921492997688</v>
      </c>
      <c r="B220" t="s">
        <v>35</v>
      </c>
      <c r="C220" t="s">
        <v>33</v>
      </c>
      <c r="D220" t="s">
        <v>34</v>
      </c>
      <c r="E220">
        <v>0</v>
      </c>
      <c r="F220">
        <v>0</v>
      </c>
      <c r="G220" t="s">
        <v>2</v>
      </c>
      <c r="H220" cm="1">
        <f t="array" ref="H220">-isDup(B220,B221,0.7)</f>
        <v>-1</v>
      </c>
    </row>
    <row r="221" spans="1:8" x14ac:dyDescent="0.2">
      <c r="A221" s="3">
        <v>45186.921492997688</v>
      </c>
      <c r="B221" t="s">
        <v>321</v>
      </c>
      <c r="C221" t="s">
        <v>33</v>
      </c>
      <c r="D221" t="s">
        <v>34</v>
      </c>
      <c r="E221">
        <v>0</v>
      </c>
      <c r="F221">
        <v>0</v>
      </c>
      <c r="G221" t="s">
        <v>2</v>
      </c>
      <c r="H221" cm="1">
        <f t="array" ref="H221">-isDup(B221,B222,0.7)</f>
        <v>0</v>
      </c>
    </row>
    <row r="222" spans="1:8" x14ac:dyDescent="0.2">
      <c r="A222" s="3">
        <v>45187.921492997688</v>
      </c>
      <c r="B222" t="s">
        <v>37</v>
      </c>
      <c r="C222" t="s">
        <v>33</v>
      </c>
      <c r="D222" t="s">
        <v>34</v>
      </c>
      <c r="E222">
        <v>0</v>
      </c>
      <c r="F222">
        <v>0</v>
      </c>
      <c r="G222" t="s">
        <v>2</v>
      </c>
      <c r="H222" cm="1">
        <f t="array" ref="H222">-isDup(B222,B223,0.7)</f>
        <v>0</v>
      </c>
    </row>
    <row r="223" spans="1:8" x14ac:dyDescent="0.2">
      <c r="A223" s="3">
        <v>45188.921492997688</v>
      </c>
      <c r="B223" t="s">
        <v>322</v>
      </c>
      <c r="C223" t="s">
        <v>7</v>
      </c>
      <c r="E223">
        <v>0</v>
      </c>
      <c r="F223">
        <v>0</v>
      </c>
      <c r="G223" t="s">
        <v>2</v>
      </c>
      <c r="H223" cm="1">
        <f t="array" ref="H223">-isDup(B223,B224,0.7)</f>
        <v>0</v>
      </c>
    </row>
    <row r="224" spans="1:8" x14ac:dyDescent="0.2">
      <c r="A224" s="3">
        <v>45189.921492997688</v>
      </c>
      <c r="B224" t="s">
        <v>323</v>
      </c>
      <c r="C224" t="s">
        <v>324</v>
      </c>
      <c r="E224">
        <v>0</v>
      </c>
      <c r="F224">
        <v>0</v>
      </c>
      <c r="G224" t="s">
        <v>2</v>
      </c>
      <c r="H224" cm="1">
        <f t="array" ref="H224">-isDup(B224,B225,0.7)</f>
        <v>0</v>
      </c>
    </row>
    <row r="225" spans="1:8" x14ac:dyDescent="0.2">
      <c r="A225" s="3">
        <v>45190.921492997688</v>
      </c>
      <c r="B225" t="s">
        <v>325</v>
      </c>
      <c r="C225" t="s">
        <v>143</v>
      </c>
      <c r="D225" t="s">
        <v>129</v>
      </c>
      <c r="E225">
        <v>0</v>
      </c>
      <c r="F225">
        <v>0</v>
      </c>
      <c r="G225" t="s">
        <v>2</v>
      </c>
      <c r="H225" cm="1">
        <f t="array" ref="H225">-isDup(B225,B226,0.7)</f>
        <v>-1</v>
      </c>
    </row>
    <row r="226" spans="1:8" x14ac:dyDescent="0.2">
      <c r="A226" s="3">
        <v>45191.921492997688</v>
      </c>
      <c r="B226" t="s">
        <v>325</v>
      </c>
      <c r="C226" t="s">
        <v>128</v>
      </c>
      <c r="D226" t="s">
        <v>129</v>
      </c>
      <c r="E226">
        <v>0</v>
      </c>
      <c r="F226">
        <v>0</v>
      </c>
      <c r="G226" t="s">
        <v>2</v>
      </c>
      <c r="H226" cm="1">
        <f t="array" ref="H226">-isDup(B226,B227,0.7)</f>
        <v>0</v>
      </c>
    </row>
    <row r="227" spans="1:8" x14ac:dyDescent="0.2">
      <c r="A227" s="3">
        <v>45192.921492997688</v>
      </c>
      <c r="B227" t="s">
        <v>326</v>
      </c>
      <c r="C227" t="s">
        <v>143</v>
      </c>
      <c r="D227" t="s">
        <v>129</v>
      </c>
      <c r="E227">
        <v>0</v>
      </c>
      <c r="F227">
        <v>0</v>
      </c>
      <c r="G227" t="s">
        <v>2</v>
      </c>
      <c r="H227" cm="1">
        <f t="array" ref="H227">-isDup(B227,B228,0.7)</f>
        <v>-1</v>
      </c>
    </row>
    <row r="228" spans="1:8" x14ac:dyDescent="0.2">
      <c r="A228" s="3">
        <v>45193.921492997688</v>
      </c>
      <c r="B228" t="s">
        <v>326</v>
      </c>
      <c r="C228" t="s">
        <v>128</v>
      </c>
      <c r="D228" t="s">
        <v>129</v>
      </c>
      <c r="E228">
        <v>0</v>
      </c>
      <c r="F228">
        <v>0</v>
      </c>
      <c r="G228" t="s">
        <v>2</v>
      </c>
      <c r="H228" cm="1">
        <f t="array" ref="H228">-isDup(B228,B229,0.7)</f>
        <v>0</v>
      </c>
    </row>
    <row r="229" spans="1:8" x14ac:dyDescent="0.2">
      <c r="A229" s="3">
        <v>45194.921492997688</v>
      </c>
      <c r="B229" t="s">
        <v>327</v>
      </c>
      <c r="C229" t="s">
        <v>328</v>
      </c>
      <c r="E229">
        <v>0</v>
      </c>
      <c r="F229">
        <v>0</v>
      </c>
      <c r="G229" t="s">
        <v>2</v>
      </c>
      <c r="H229" cm="1">
        <f t="array" ref="H229">-isDup(B229,B230,0.7)</f>
        <v>0</v>
      </c>
    </row>
    <row r="230" spans="1:8" x14ac:dyDescent="0.2">
      <c r="A230" s="3">
        <v>45195.921492997688</v>
      </c>
      <c r="B230" t="s">
        <v>46</v>
      </c>
      <c r="C230" t="s">
        <v>22</v>
      </c>
      <c r="E230">
        <v>0</v>
      </c>
      <c r="F230">
        <v>0</v>
      </c>
      <c r="G230" t="s">
        <v>2</v>
      </c>
      <c r="H230" cm="1">
        <f t="array" ref="H230">-isDup(B230,B231,0.7)</f>
        <v>0</v>
      </c>
    </row>
    <row r="231" spans="1:8" x14ac:dyDescent="0.2">
      <c r="A231" s="3">
        <v>45196.921492997688</v>
      </c>
      <c r="B231" t="s">
        <v>329</v>
      </c>
      <c r="C231" t="s">
        <v>330</v>
      </c>
      <c r="D231" t="s">
        <v>331</v>
      </c>
      <c r="E231">
        <v>0</v>
      </c>
      <c r="F231">
        <v>1</v>
      </c>
      <c r="G231" t="s">
        <v>2</v>
      </c>
      <c r="H231" cm="1">
        <f t="array" ref="H231">-isDup(B231,B232,0.7)</f>
        <v>0</v>
      </c>
    </row>
    <row r="232" spans="1:8" x14ac:dyDescent="0.2">
      <c r="A232" s="3">
        <v>45197.921492997688</v>
      </c>
      <c r="B232" t="s">
        <v>332</v>
      </c>
      <c r="C232" t="s">
        <v>7</v>
      </c>
      <c r="E232">
        <v>0</v>
      </c>
      <c r="F232">
        <v>0</v>
      </c>
      <c r="G232" t="s">
        <v>2</v>
      </c>
      <c r="H232" cm="1">
        <f t="array" ref="H232">-isDup(B232,B233,0.7)</f>
        <v>0</v>
      </c>
    </row>
    <row r="233" spans="1:8" x14ac:dyDescent="0.2">
      <c r="A233" s="3">
        <v>45198.921492997688</v>
      </c>
      <c r="B233" t="s">
        <v>333</v>
      </c>
      <c r="C233" t="s">
        <v>128</v>
      </c>
      <c r="D233" t="s">
        <v>129</v>
      </c>
      <c r="E233">
        <v>0</v>
      </c>
      <c r="F233">
        <v>0</v>
      </c>
      <c r="G233" t="s">
        <v>2</v>
      </c>
      <c r="H233" cm="1">
        <f t="array" ref="H233">-isDup(B233,B234,0.7)</f>
        <v>0</v>
      </c>
    </row>
    <row r="234" spans="1:8" x14ac:dyDescent="0.2">
      <c r="A234" s="3">
        <v>45199.921492997688</v>
      </c>
      <c r="B234" t="s">
        <v>334</v>
      </c>
      <c r="C234" t="s">
        <v>335</v>
      </c>
      <c r="D234" t="s">
        <v>25</v>
      </c>
      <c r="E234">
        <v>1</v>
      </c>
      <c r="F234">
        <v>3</v>
      </c>
      <c r="G234" t="s">
        <v>2</v>
      </c>
      <c r="H234" cm="1">
        <f t="array" ref="H234">-isDup(B234,B235,0.7)</f>
        <v>0</v>
      </c>
    </row>
    <row r="235" spans="1:8" x14ac:dyDescent="0.2">
      <c r="A235" s="3">
        <v>45200.921492997688</v>
      </c>
      <c r="B235" t="s">
        <v>336</v>
      </c>
      <c r="C235" t="s">
        <v>143</v>
      </c>
      <c r="D235" t="s">
        <v>129</v>
      </c>
      <c r="E235">
        <v>0</v>
      </c>
      <c r="F235">
        <v>0</v>
      </c>
      <c r="G235" t="s">
        <v>2</v>
      </c>
      <c r="H235" cm="1">
        <f t="array" ref="H235">-isDup(B235,B236,0.7)</f>
        <v>-1</v>
      </c>
    </row>
    <row r="236" spans="1:8" x14ac:dyDescent="0.2">
      <c r="A236" s="3">
        <v>45201.921492997688</v>
      </c>
      <c r="B236" t="s">
        <v>337</v>
      </c>
      <c r="C236" t="s">
        <v>143</v>
      </c>
      <c r="D236" t="s">
        <v>129</v>
      </c>
      <c r="E236">
        <v>0</v>
      </c>
      <c r="F236">
        <v>0</v>
      </c>
      <c r="G236" t="s">
        <v>2</v>
      </c>
      <c r="H236" cm="1">
        <f t="array" ref="H236">-isDup(B236,B237,0.7)</f>
        <v>0</v>
      </c>
    </row>
    <row r="237" spans="1:8" x14ac:dyDescent="0.2">
      <c r="A237" s="3">
        <v>45202.921492997688</v>
      </c>
      <c r="B237" t="s">
        <v>338</v>
      </c>
      <c r="C237" t="s">
        <v>134</v>
      </c>
      <c r="E237">
        <v>0</v>
      </c>
      <c r="F237">
        <v>0</v>
      </c>
      <c r="G237" t="s">
        <v>2</v>
      </c>
      <c r="H237" cm="1">
        <f t="array" ref="H237">-isDup(B237,B238,0.7)</f>
        <v>0</v>
      </c>
    </row>
    <row r="238" spans="1:8" x14ac:dyDescent="0.2">
      <c r="A238" s="3">
        <v>45203.921492997688</v>
      </c>
      <c r="B238" t="s">
        <v>339</v>
      </c>
      <c r="C238" t="s">
        <v>143</v>
      </c>
      <c r="D238" t="s">
        <v>129</v>
      </c>
      <c r="E238">
        <v>0</v>
      </c>
      <c r="F238">
        <v>0</v>
      </c>
      <c r="G238" t="s">
        <v>2</v>
      </c>
      <c r="H238" cm="1">
        <f t="array" ref="H238">-isDup(B238,B239,0.7)</f>
        <v>0</v>
      </c>
    </row>
    <row r="239" spans="1:8" x14ac:dyDescent="0.2">
      <c r="A239" s="3">
        <v>45204.921492997688</v>
      </c>
      <c r="B239" t="s">
        <v>318</v>
      </c>
      <c r="C239" t="s">
        <v>340</v>
      </c>
      <c r="E239">
        <v>0</v>
      </c>
      <c r="F239">
        <v>0</v>
      </c>
      <c r="G239" t="s">
        <v>2</v>
      </c>
      <c r="H239" cm="1">
        <f t="array" ref="H239">-isDup(B239,B240,0.7)</f>
        <v>0</v>
      </c>
    </row>
    <row r="240" spans="1:8" x14ac:dyDescent="0.2">
      <c r="A240" s="3">
        <v>45205.921492997688</v>
      </c>
      <c r="B240" t="s">
        <v>287</v>
      </c>
      <c r="C240" t="s">
        <v>33</v>
      </c>
      <c r="D240" t="s">
        <v>34</v>
      </c>
      <c r="E240">
        <v>0</v>
      </c>
      <c r="F240">
        <v>0</v>
      </c>
      <c r="G240" t="s">
        <v>2</v>
      </c>
      <c r="H240" cm="1">
        <f t="array" ref="H240">-isDup(B240,B241,0.7)</f>
        <v>0</v>
      </c>
    </row>
    <row r="241" spans="1:8" x14ac:dyDescent="0.2">
      <c r="A241" s="3">
        <v>45206.921492997688</v>
      </c>
      <c r="B241" t="s">
        <v>318</v>
      </c>
      <c r="C241" t="s">
        <v>341</v>
      </c>
      <c r="D241" t="s">
        <v>342</v>
      </c>
      <c r="E241">
        <v>1</v>
      </c>
      <c r="F241">
        <v>0</v>
      </c>
      <c r="G241" t="s">
        <v>2</v>
      </c>
      <c r="H241" cm="1">
        <f t="array" ref="H241">-isDup(B241,B242,0.7)</f>
        <v>0</v>
      </c>
    </row>
    <row r="242" spans="1:8" x14ac:dyDescent="0.2">
      <c r="A242" s="3">
        <v>45207.921492997688</v>
      </c>
      <c r="B242" t="s">
        <v>141</v>
      </c>
      <c r="C242" t="s">
        <v>143</v>
      </c>
      <c r="D242" t="s">
        <v>129</v>
      </c>
      <c r="E242">
        <v>0</v>
      </c>
      <c r="F242">
        <v>0</v>
      </c>
      <c r="G242" t="s">
        <v>2</v>
      </c>
      <c r="H242" cm="1">
        <f t="array" ref="H242">-isDup(B242,B243,0.7)</f>
        <v>0</v>
      </c>
    </row>
    <row r="243" spans="1:8" x14ac:dyDescent="0.2">
      <c r="A243" s="3">
        <v>45208.921492997688</v>
      </c>
      <c r="B243" t="s">
        <v>3</v>
      </c>
      <c r="C243" t="s">
        <v>4</v>
      </c>
      <c r="D243" t="s">
        <v>5</v>
      </c>
      <c r="E243">
        <v>0</v>
      </c>
      <c r="F243">
        <v>0</v>
      </c>
      <c r="G243" t="s">
        <v>2</v>
      </c>
      <c r="H243" cm="1">
        <f t="array" ref="H243">-isDup(B243,B244,0.7)</f>
        <v>0</v>
      </c>
    </row>
    <row r="244" spans="1:8" x14ac:dyDescent="0.2">
      <c r="A244" s="3">
        <v>45209.921492997688</v>
      </c>
      <c r="B244" t="s">
        <v>343</v>
      </c>
      <c r="C244" t="s">
        <v>344</v>
      </c>
      <c r="D244" t="s">
        <v>345</v>
      </c>
      <c r="E244">
        <v>0</v>
      </c>
      <c r="F244">
        <v>4</v>
      </c>
      <c r="G244" t="s">
        <v>2</v>
      </c>
      <c r="H244" cm="1">
        <f t="array" ref="H244">-isDup(B244,B245,0.7)</f>
        <v>0</v>
      </c>
    </row>
    <row r="245" spans="1:8" x14ac:dyDescent="0.2">
      <c r="A245" s="3">
        <v>45210.921492997688</v>
      </c>
      <c r="B245" t="s">
        <v>346</v>
      </c>
      <c r="C245" t="s">
        <v>57</v>
      </c>
      <c r="D245" t="s">
        <v>69</v>
      </c>
      <c r="E245">
        <v>0</v>
      </c>
      <c r="F245">
        <v>0</v>
      </c>
      <c r="G245" t="s">
        <v>2</v>
      </c>
      <c r="H245" cm="1">
        <f t="array" ref="H245">-isDup(B245,B246,0.7)</f>
        <v>0</v>
      </c>
    </row>
    <row r="246" spans="1:8" x14ac:dyDescent="0.2">
      <c r="A246" s="3">
        <v>45211.921492997688</v>
      </c>
      <c r="B246" t="s">
        <v>347</v>
      </c>
      <c r="C246" t="s">
        <v>128</v>
      </c>
      <c r="D246" t="s">
        <v>129</v>
      </c>
      <c r="E246">
        <v>0</v>
      </c>
      <c r="F246">
        <v>0</v>
      </c>
      <c r="G246" t="s">
        <v>2</v>
      </c>
      <c r="H246" cm="1">
        <f t="array" ref="H246">-isDup(B246,B247,0.7)</f>
        <v>-1</v>
      </c>
    </row>
    <row r="247" spans="1:8" x14ac:dyDescent="0.2">
      <c r="A247" s="3">
        <v>45212.921492997688</v>
      </c>
      <c r="B247" t="s">
        <v>347</v>
      </c>
      <c r="C247" t="s">
        <v>143</v>
      </c>
      <c r="D247" t="s">
        <v>129</v>
      </c>
      <c r="E247">
        <v>0</v>
      </c>
      <c r="F247">
        <v>0</v>
      </c>
      <c r="G247" t="s">
        <v>2</v>
      </c>
      <c r="H247" cm="1">
        <f t="array" ref="H247">-isDup(B247,B248,0.7)</f>
        <v>0</v>
      </c>
    </row>
    <row r="248" spans="1:8" x14ac:dyDescent="0.2">
      <c r="A248" s="3">
        <v>45213.921492997688</v>
      </c>
      <c r="B248" t="s">
        <v>348</v>
      </c>
      <c r="C248" t="s">
        <v>98</v>
      </c>
      <c r="D248" t="s">
        <v>13</v>
      </c>
      <c r="E248">
        <v>0</v>
      </c>
      <c r="F248">
        <v>0</v>
      </c>
      <c r="G248" t="s">
        <v>2</v>
      </c>
      <c r="H248" cm="1">
        <f t="array" ref="H248">-isDup(B248,B249,0.7)</f>
        <v>0</v>
      </c>
    </row>
    <row r="249" spans="1:8" x14ac:dyDescent="0.2">
      <c r="A249" s="3">
        <v>45214.921492997688</v>
      </c>
      <c r="B249" t="s">
        <v>27</v>
      </c>
      <c r="C249" t="s">
        <v>12</v>
      </c>
      <c r="D249" t="s">
        <v>13</v>
      </c>
      <c r="E249">
        <v>0</v>
      </c>
      <c r="F249">
        <v>0</v>
      </c>
      <c r="G249" t="s">
        <v>2</v>
      </c>
      <c r="H249" cm="1">
        <f t="array" ref="H249">-isDup(B249,B250,0.7)</f>
        <v>0</v>
      </c>
    </row>
    <row r="250" spans="1:8" x14ac:dyDescent="0.2">
      <c r="A250" s="3">
        <v>45215.921492997688</v>
      </c>
      <c r="B250" t="s">
        <v>349</v>
      </c>
      <c r="C250" t="s">
        <v>350</v>
      </c>
      <c r="D250" t="s">
        <v>351</v>
      </c>
      <c r="E250">
        <v>0</v>
      </c>
      <c r="F250">
        <v>0</v>
      </c>
      <c r="G250" t="s">
        <v>2</v>
      </c>
      <c r="H250" cm="1">
        <f t="array" ref="H250">-isDup(B250,B251,0.7)</f>
        <v>0</v>
      </c>
    </row>
    <row r="251" spans="1:8" x14ac:dyDescent="0.2">
      <c r="A251" s="3">
        <v>45216.921492997688</v>
      </c>
      <c r="B251" t="s">
        <v>352</v>
      </c>
      <c r="C251" t="s">
        <v>353</v>
      </c>
      <c r="E251">
        <v>0</v>
      </c>
      <c r="F251">
        <v>0</v>
      </c>
      <c r="G251" t="s">
        <v>2</v>
      </c>
      <c r="H251" cm="1">
        <f t="array" ref="H251">-isDup(B251,B252,0.7)</f>
        <v>0</v>
      </c>
    </row>
    <row r="252" spans="1:8" x14ac:dyDescent="0.2">
      <c r="A252" s="3">
        <v>45217.921492997688</v>
      </c>
      <c r="B252" t="s">
        <v>354</v>
      </c>
      <c r="C252" t="s">
        <v>7</v>
      </c>
      <c r="E252">
        <v>0</v>
      </c>
      <c r="F252">
        <v>0</v>
      </c>
      <c r="G252" t="s">
        <v>2</v>
      </c>
      <c r="H252" cm="1">
        <f t="array" ref="H252">-isDup(B252,B253,0.7)</f>
        <v>0</v>
      </c>
    </row>
    <row r="253" spans="1:8" x14ac:dyDescent="0.2">
      <c r="A253" s="3">
        <v>45218.921492997688</v>
      </c>
      <c r="B253" t="s">
        <v>355</v>
      </c>
      <c r="C253" t="s">
        <v>356</v>
      </c>
      <c r="D253" t="s">
        <v>357</v>
      </c>
      <c r="E253">
        <v>0</v>
      </c>
      <c r="F253">
        <v>4</v>
      </c>
      <c r="G253" t="s">
        <v>2</v>
      </c>
      <c r="H253" cm="1">
        <f t="array" ref="H253">-isDup(B253,B254,0.7)</f>
        <v>0</v>
      </c>
    </row>
    <row r="254" spans="1:8" x14ac:dyDescent="0.2">
      <c r="A254" s="3">
        <v>45219.921492997688</v>
      </c>
      <c r="B254" t="s">
        <v>358</v>
      </c>
      <c r="C254" t="s">
        <v>359</v>
      </c>
      <c r="E254">
        <v>0</v>
      </c>
      <c r="F254">
        <v>0</v>
      </c>
      <c r="G254" t="s">
        <v>2</v>
      </c>
      <c r="H254" cm="1">
        <f t="array" ref="H254">-isDup(B254,B255,0.7)</f>
        <v>0</v>
      </c>
    </row>
    <row r="255" spans="1:8" x14ac:dyDescent="0.2">
      <c r="A255" s="3">
        <v>45220.921492997688</v>
      </c>
      <c r="B255" t="s">
        <v>360</v>
      </c>
      <c r="C255" t="s">
        <v>12</v>
      </c>
      <c r="D255" t="s">
        <v>13</v>
      </c>
      <c r="E255">
        <v>0</v>
      </c>
      <c r="F255">
        <v>0</v>
      </c>
      <c r="G255" t="s">
        <v>2</v>
      </c>
      <c r="H255" cm="1">
        <f t="array" ref="H255">-isDup(B255,B256,0.7)</f>
        <v>0</v>
      </c>
    </row>
    <row r="256" spans="1:8" x14ac:dyDescent="0.2">
      <c r="A256" s="3">
        <v>45221.921492997688</v>
      </c>
      <c r="B256" t="s">
        <v>361</v>
      </c>
      <c r="C256" t="s">
        <v>362</v>
      </c>
      <c r="D256" t="s">
        <v>363</v>
      </c>
      <c r="E256">
        <v>0</v>
      </c>
      <c r="F256">
        <v>0</v>
      </c>
      <c r="G256" t="s">
        <v>2</v>
      </c>
      <c r="H256" cm="1">
        <f t="array" ref="H256">-isDup(B256,B257,0.7)</f>
        <v>0</v>
      </c>
    </row>
    <row r="257" spans="1:8" x14ac:dyDescent="0.2">
      <c r="A257" s="3">
        <v>45222.921492997688</v>
      </c>
      <c r="B257" t="s">
        <v>364</v>
      </c>
      <c r="C257" t="s">
        <v>365</v>
      </c>
      <c r="D257" t="s">
        <v>55</v>
      </c>
      <c r="E257">
        <v>0</v>
      </c>
      <c r="F257">
        <v>0</v>
      </c>
      <c r="G257" t="s">
        <v>2</v>
      </c>
      <c r="H257" cm="1">
        <f t="array" ref="H257">-isDup(B257,B258,0.7)</f>
        <v>0</v>
      </c>
    </row>
    <row r="258" spans="1:8" x14ac:dyDescent="0.2">
      <c r="A258" s="3">
        <v>45223.921492997688</v>
      </c>
      <c r="B258" t="s">
        <v>366</v>
      </c>
      <c r="C258" t="s">
        <v>134</v>
      </c>
      <c r="E258">
        <v>0</v>
      </c>
      <c r="F258">
        <v>0</v>
      </c>
      <c r="G258" t="s">
        <v>2</v>
      </c>
      <c r="H258" cm="1">
        <f t="array" ref="H258">-isDup(B258,B259,0.7)</f>
        <v>-1</v>
      </c>
    </row>
    <row r="259" spans="1:8" x14ac:dyDescent="0.2">
      <c r="A259" s="3">
        <v>45224.921492997688</v>
      </c>
      <c r="B259" t="s">
        <v>367</v>
      </c>
      <c r="C259" t="s">
        <v>134</v>
      </c>
      <c r="E259">
        <v>0</v>
      </c>
      <c r="F259">
        <v>0</v>
      </c>
      <c r="G259" t="s">
        <v>2</v>
      </c>
      <c r="H259" cm="1">
        <f t="array" ref="H259">-isDup(B259,B260,0.7)</f>
        <v>0</v>
      </c>
    </row>
    <row r="260" spans="1:8" x14ac:dyDescent="0.2">
      <c r="A260" s="3">
        <v>45225.921492997688</v>
      </c>
      <c r="B260" t="s">
        <v>368</v>
      </c>
      <c r="C260" t="s">
        <v>128</v>
      </c>
      <c r="D260" t="s">
        <v>129</v>
      </c>
      <c r="E260">
        <v>0</v>
      </c>
      <c r="F260">
        <v>0</v>
      </c>
      <c r="G260" t="s">
        <v>2</v>
      </c>
      <c r="H260" cm="1">
        <f t="array" ref="H260">-isDup(B260,B261,0.7)</f>
        <v>0</v>
      </c>
    </row>
    <row r="261" spans="1:8" x14ac:dyDescent="0.2">
      <c r="A261" s="3">
        <v>45226.921492997688</v>
      </c>
      <c r="B261" t="s">
        <v>35</v>
      </c>
      <c r="C261" t="s">
        <v>33</v>
      </c>
      <c r="D261" t="s">
        <v>34</v>
      </c>
      <c r="E261">
        <v>0</v>
      </c>
      <c r="F261">
        <v>0</v>
      </c>
      <c r="G261" t="s">
        <v>2</v>
      </c>
      <c r="H261" cm="1">
        <f t="array" ref="H261">-isDup(B261,B262,0.7)</f>
        <v>0</v>
      </c>
    </row>
    <row r="262" spans="1:8" x14ac:dyDescent="0.2">
      <c r="A262" s="3">
        <v>45227.921492997688</v>
      </c>
      <c r="B262" t="s">
        <v>36</v>
      </c>
      <c r="C262" t="s">
        <v>33</v>
      </c>
      <c r="D262" t="s">
        <v>34</v>
      </c>
      <c r="E262">
        <v>0</v>
      </c>
      <c r="F262">
        <v>0</v>
      </c>
      <c r="G262" t="s">
        <v>2</v>
      </c>
      <c r="H262" cm="1">
        <f t="array" ref="H262">-isDup(B262,B263,0.7)</f>
        <v>0</v>
      </c>
    </row>
    <row r="263" spans="1:8" x14ac:dyDescent="0.2">
      <c r="A263" s="3">
        <v>45228.921492997688</v>
      </c>
      <c r="B263" t="s">
        <v>369</v>
      </c>
      <c r="C263" t="s">
        <v>33</v>
      </c>
      <c r="D263" t="s">
        <v>34</v>
      </c>
      <c r="E263">
        <v>0</v>
      </c>
      <c r="F263">
        <v>0</v>
      </c>
      <c r="G263" t="s">
        <v>2</v>
      </c>
      <c r="H263" cm="1">
        <f t="array" ref="H263">-isDup(B263,B264,0.7)</f>
        <v>0</v>
      </c>
    </row>
    <row r="264" spans="1:8" x14ac:dyDescent="0.2">
      <c r="A264" s="3">
        <v>45229.921492997688</v>
      </c>
      <c r="B264" t="s">
        <v>37</v>
      </c>
      <c r="C264" t="s">
        <v>33</v>
      </c>
      <c r="D264" t="s">
        <v>34</v>
      </c>
      <c r="E264">
        <v>0</v>
      </c>
      <c r="F264">
        <v>0</v>
      </c>
      <c r="G264" t="s">
        <v>2</v>
      </c>
      <c r="H264" cm="1">
        <f t="array" ref="H264">-isDup(B264,B265,0.7)</f>
        <v>0</v>
      </c>
    </row>
    <row r="265" spans="1:8" x14ac:dyDescent="0.2">
      <c r="A265" s="3">
        <v>45230.921492997688</v>
      </c>
      <c r="B265" t="s">
        <v>368</v>
      </c>
      <c r="C265" t="s">
        <v>143</v>
      </c>
      <c r="D265" t="s">
        <v>129</v>
      </c>
      <c r="E265">
        <v>0</v>
      </c>
      <c r="F265">
        <v>0</v>
      </c>
      <c r="G265" t="s">
        <v>2</v>
      </c>
      <c r="H265" cm="1">
        <f t="array" ref="H265">-isDup(B265,B266,0.7)</f>
        <v>-1</v>
      </c>
    </row>
    <row r="266" spans="1:8" x14ac:dyDescent="0.2">
      <c r="A266" s="3">
        <v>45231.921492997688</v>
      </c>
      <c r="B266" t="s">
        <v>370</v>
      </c>
      <c r="C266" t="s">
        <v>143</v>
      </c>
      <c r="D266" t="s">
        <v>129</v>
      </c>
      <c r="E266">
        <v>0</v>
      </c>
      <c r="F266">
        <v>0</v>
      </c>
      <c r="G266" t="s">
        <v>2</v>
      </c>
      <c r="H266" cm="1">
        <f t="array" ref="H266">-isDup(B266,B267,0.7)</f>
        <v>-1</v>
      </c>
    </row>
    <row r="267" spans="1:8" x14ac:dyDescent="0.2">
      <c r="A267" s="3">
        <v>45232.921492997688</v>
      </c>
      <c r="B267" t="s">
        <v>371</v>
      </c>
      <c r="C267" t="s">
        <v>143</v>
      </c>
      <c r="D267" t="s">
        <v>129</v>
      </c>
      <c r="E267">
        <v>0</v>
      </c>
      <c r="F267">
        <v>0</v>
      </c>
      <c r="G267" t="s">
        <v>2</v>
      </c>
      <c r="H267" cm="1">
        <f t="array" ref="H267">-isDup(B267,B268,0.7)</f>
        <v>0</v>
      </c>
    </row>
    <row r="268" spans="1:8" x14ac:dyDescent="0.2">
      <c r="A268" s="3">
        <v>45233.921492997688</v>
      </c>
      <c r="B268" t="s">
        <v>372</v>
      </c>
      <c r="C268" t="s">
        <v>7</v>
      </c>
      <c r="E268">
        <v>0</v>
      </c>
      <c r="F268">
        <v>0</v>
      </c>
      <c r="G268" t="s">
        <v>2</v>
      </c>
      <c r="H268" cm="1">
        <f t="array" ref="H268">-isDup(B268,B269,0.7)</f>
        <v>0</v>
      </c>
    </row>
    <row r="269" spans="1:8" x14ac:dyDescent="0.2">
      <c r="A269" s="3">
        <v>45234.921492997688</v>
      </c>
      <c r="B269" t="s">
        <v>373</v>
      </c>
      <c r="C269" t="s">
        <v>374</v>
      </c>
      <c r="E269">
        <v>0</v>
      </c>
      <c r="F269">
        <v>1</v>
      </c>
      <c r="G269" t="s">
        <v>2</v>
      </c>
      <c r="H269" cm="1">
        <f t="array" ref="H269">-isDup(B269,B270,0.7)</f>
        <v>0</v>
      </c>
    </row>
    <row r="270" spans="1:8" x14ac:dyDescent="0.2">
      <c r="A270" s="3">
        <v>45235.921492997688</v>
      </c>
      <c r="B270" t="s">
        <v>375</v>
      </c>
      <c r="C270" t="s">
        <v>128</v>
      </c>
      <c r="D270" t="s">
        <v>129</v>
      </c>
      <c r="E270">
        <v>0</v>
      </c>
      <c r="F270">
        <v>0</v>
      </c>
      <c r="G270" t="s">
        <v>2</v>
      </c>
      <c r="H270" cm="1">
        <f t="array" ref="H270">-isDup(B270,B271,0.7)</f>
        <v>0</v>
      </c>
    </row>
    <row r="271" spans="1:8" x14ac:dyDescent="0.2">
      <c r="A271" s="3">
        <v>45236.921492997688</v>
      </c>
      <c r="B271" t="s">
        <v>376</v>
      </c>
      <c r="C271" t="s">
        <v>7</v>
      </c>
      <c r="E271">
        <v>0</v>
      </c>
      <c r="F271">
        <v>0</v>
      </c>
      <c r="G271" t="s">
        <v>2</v>
      </c>
      <c r="H271" cm="1">
        <f t="array" ref="H271">-isDup(B271,B272,0.7)</f>
        <v>0</v>
      </c>
    </row>
    <row r="272" spans="1:8" x14ac:dyDescent="0.2">
      <c r="A272" s="3">
        <v>45237.921492997688</v>
      </c>
      <c r="B272" t="s">
        <v>377</v>
      </c>
      <c r="C272" t="s">
        <v>378</v>
      </c>
      <c r="D272" t="s">
        <v>379</v>
      </c>
      <c r="E272">
        <v>1</v>
      </c>
      <c r="F272">
        <v>0</v>
      </c>
      <c r="G272" t="s">
        <v>2</v>
      </c>
      <c r="H272" cm="1">
        <f t="array" ref="H272">-isDup(B272,B273,0.7)</f>
        <v>0</v>
      </c>
    </row>
    <row r="273" spans="1:8" x14ac:dyDescent="0.2">
      <c r="A273" s="3">
        <v>45238.921492997688</v>
      </c>
      <c r="B273" t="s">
        <v>380</v>
      </c>
      <c r="C273" t="s">
        <v>7</v>
      </c>
      <c r="E273">
        <v>0</v>
      </c>
      <c r="F273">
        <v>0</v>
      </c>
      <c r="G273" t="s">
        <v>2</v>
      </c>
      <c r="H273" cm="1">
        <f t="array" ref="H273">-isDup(B273,B274,0.7)</f>
        <v>0</v>
      </c>
    </row>
    <row r="274" spans="1:8" x14ac:dyDescent="0.2">
      <c r="A274" s="3">
        <v>45239.921492997688</v>
      </c>
      <c r="B274" t="s">
        <v>292</v>
      </c>
      <c r="C274" t="s">
        <v>286</v>
      </c>
      <c r="E274">
        <v>0</v>
      </c>
      <c r="F274">
        <v>0</v>
      </c>
      <c r="G274" t="s">
        <v>2</v>
      </c>
      <c r="H274" cm="1">
        <f t="array" ref="H274">-isDup(B274,B275,0.7)</f>
        <v>0</v>
      </c>
    </row>
    <row r="275" spans="1:8" x14ac:dyDescent="0.2">
      <c r="A275" s="3">
        <v>45240.921492997688</v>
      </c>
      <c r="B275" t="s">
        <v>381</v>
      </c>
      <c r="C275" t="s">
        <v>382</v>
      </c>
      <c r="E275">
        <v>0</v>
      </c>
      <c r="F275">
        <v>0</v>
      </c>
      <c r="G275" t="s">
        <v>2</v>
      </c>
      <c r="H275" cm="1">
        <f t="array" ref="H275">-isDup(B275,B276,0.7)</f>
        <v>0</v>
      </c>
    </row>
    <row r="276" spans="1:8" x14ac:dyDescent="0.2">
      <c r="A276" s="3">
        <v>45241.921492997688</v>
      </c>
      <c r="B276" t="s">
        <v>383</v>
      </c>
      <c r="C276" t="s">
        <v>384</v>
      </c>
      <c r="D276" t="s">
        <v>385</v>
      </c>
      <c r="E276">
        <v>31</v>
      </c>
      <c r="F276">
        <v>68</v>
      </c>
      <c r="G276" t="s">
        <v>2</v>
      </c>
      <c r="H276" cm="1">
        <f t="array" ref="H276">-isDup(B276,B277,0.7)</f>
        <v>0</v>
      </c>
    </row>
    <row r="277" spans="1:8" x14ac:dyDescent="0.2">
      <c r="A277" s="3">
        <v>45242.921492997688</v>
      </c>
      <c r="B277" t="s">
        <v>386</v>
      </c>
      <c r="C277" t="s">
        <v>7</v>
      </c>
      <c r="E277">
        <v>0</v>
      </c>
      <c r="F277">
        <v>0</v>
      </c>
      <c r="G277" t="s">
        <v>2</v>
      </c>
      <c r="H277" cm="1">
        <f t="array" ref="H277">-isDup(B277,B278,0.7)</f>
        <v>0</v>
      </c>
    </row>
    <row r="278" spans="1:8" x14ac:dyDescent="0.2">
      <c r="A278" s="3">
        <v>45243.921492997688</v>
      </c>
      <c r="B278" t="s">
        <v>387</v>
      </c>
      <c r="C278" t="s">
        <v>143</v>
      </c>
      <c r="D278" t="s">
        <v>129</v>
      </c>
      <c r="E278">
        <v>0</v>
      </c>
      <c r="F278">
        <v>0</v>
      </c>
      <c r="G278" t="s">
        <v>2</v>
      </c>
      <c r="H278" cm="1">
        <f t="array" ref="H278">-isDup(B278,B279,0.7)</f>
        <v>0</v>
      </c>
    </row>
    <row r="279" spans="1:8" x14ac:dyDescent="0.2">
      <c r="A279" s="3">
        <v>45244.921492997688</v>
      </c>
      <c r="B279" t="s">
        <v>388</v>
      </c>
      <c r="C279" t="s">
        <v>389</v>
      </c>
      <c r="E279">
        <v>0</v>
      </c>
      <c r="F279">
        <v>0</v>
      </c>
      <c r="G279" t="s">
        <v>2</v>
      </c>
      <c r="H279" cm="1">
        <f t="array" ref="H279">-isDup(B279,B280,0.7)</f>
        <v>0</v>
      </c>
    </row>
    <row r="280" spans="1:8" x14ac:dyDescent="0.2">
      <c r="A280" s="3">
        <v>45245.921492997688</v>
      </c>
      <c r="B280" t="s">
        <v>390</v>
      </c>
      <c r="C280" t="s">
        <v>391</v>
      </c>
      <c r="E280">
        <v>0</v>
      </c>
      <c r="F280">
        <v>0</v>
      </c>
      <c r="G280" t="s">
        <v>2</v>
      </c>
      <c r="H280" cm="1">
        <f t="array" ref="H280">-isDup(B280,B281,0.7)</f>
        <v>0</v>
      </c>
    </row>
    <row r="281" spans="1:8" x14ac:dyDescent="0.2">
      <c r="A281" s="3">
        <v>45246.921492997688</v>
      </c>
      <c r="B281" t="s">
        <v>392</v>
      </c>
      <c r="C281" t="s">
        <v>393</v>
      </c>
      <c r="E281">
        <v>0</v>
      </c>
      <c r="F281">
        <v>1</v>
      </c>
      <c r="G281" t="s">
        <v>2</v>
      </c>
      <c r="H281" cm="1">
        <f t="array" ref="H281">-isDup(B281,B282,0.7)</f>
        <v>0</v>
      </c>
    </row>
    <row r="282" spans="1:8" x14ac:dyDescent="0.2">
      <c r="A282" s="3">
        <v>45247.921492997688</v>
      </c>
      <c r="B282" t="s">
        <v>3</v>
      </c>
      <c r="C282" t="s">
        <v>4</v>
      </c>
      <c r="D282" t="s">
        <v>5</v>
      </c>
      <c r="E282">
        <v>0</v>
      </c>
      <c r="F282">
        <v>0</v>
      </c>
      <c r="G282" t="s">
        <v>2</v>
      </c>
      <c r="H282" cm="1">
        <f t="array" ref="H282">-isDup(B282,B283,0.7)</f>
        <v>0</v>
      </c>
    </row>
    <row r="283" spans="1:8" x14ac:dyDescent="0.2">
      <c r="A283" s="3">
        <v>45248.921492997688</v>
      </c>
      <c r="B283" t="s">
        <v>394</v>
      </c>
      <c r="C283" t="s">
        <v>286</v>
      </c>
      <c r="E283">
        <v>0</v>
      </c>
      <c r="F283">
        <v>0</v>
      </c>
      <c r="G283" t="s">
        <v>2</v>
      </c>
      <c r="H283" cm="1">
        <f t="array" ref="H283">-isDup(B283,B284,0.7)</f>
        <v>0</v>
      </c>
    </row>
    <row r="284" spans="1:8" x14ac:dyDescent="0.2">
      <c r="A284" s="3">
        <v>45249.921492997688</v>
      </c>
      <c r="B284" t="s">
        <v>395</v>
      </c>
      <c r="C284" t="s">
        <v>134</v>
      </c>
      <c r="E284">
        <v>0</v>
      </c>
      <c r="F284">
        <v>0</v>
      </c>
      <c r="G284" t="s">
        <v>2</v>
      </c>
      <c r="H284" cm="1">
        <f t="array" ref="H284">-isDup(B284,B285,0.7)</f>
        <v>0</v>
      </c>
    </row>
    <row r="285" spans="1:8" x14ac:dyDescent="0.2">
      <c r="A285" s="3">
        <v>45250.921492997688</v>
      </c>
      <c r="B285" t="s">
        <v>396</v>
      </c>
      <c r="C285" t="s">
        <v>143</v>
      </c>
      <c r="D285" t="s">
        <v>129</v>
      </c>
      <c r="E285">
        <v>0</v>
      </c>
      <c r="F285">
        <v>0</v>
      </c>
      <c r="G285" t="s">
        <v>2</v>
      </c>
      <c r="H285" cm="1">
        <f t="array" ref="H285">-isDup(B285,B286,0.7)</f>
        <v>0</v>
      </c>
    </row>
    <row r="286" spans="1:8" x14ac:dyDescent="0.2">
      <c r="A286" s="3">
        <v>45251.921492997688</v>
      </c>
      <c r="B286" t="s">
        <v>397</v>
      </c>
      <c r="C286" t="s">
        <v>143</v>
      </c>
      <c r="D286" t="s">
        <v>129</v>
      </c>
      <c r="E286">
        <v>0</v>
      </c>
      <c r="F286">
        <v>0</v>
      </c>
      <c r="G286" t="s">
        <v>2</v>
      </c>
      <c r="H286" cm="1">
        <f t="array" ref="H286">-isDup(B286,B287,0.7)</f>
        <v>0</v>
      </c>
    </row>
    <row r="287" spans="1:8" x14ac:dyDescent="0.2">
      <c r="A287" s="3">
        <v>45252.921492997688</v>
      </c>
      <c r="B287" t="s">
        <v>398</v>
      </c>
      <c r="C287" t="s">
        <v>143</v>
      </c>
      <c r="D287" t="s">
        <v>129</v>
      </c>
      <c r="E287">
        <v>0</v>
      </c>
      <c r="F287">
        <v>0</v>
      </c>
      <c r="G287" t="s">
        <v>2</v>
      </c>
      <c r="H287" cm="1">
        <f t="array" ref="H287">-isDup(B287,B288,0.7)</f>
        <v>0</v>
      </c>
    </row>
    <row r="288" spans="1:8" x14ac:dyDescent="0.2">
      <c r="A288" s="3">
        <v>45253.921492997688</v>
      </c>
      <c r="B288" t="s">
        <v>399</v>
      </c>
      <c r="C288" t="s">
        <v>400</v>
      </c>
      <c r="D288" t="s">
        <v>103</v>
      </c>
      <c r="E288">
        <v>0</v>
      </c>
      <c r="F288">
        <v>4</v>
      </c>
      <c r="G288" t="s">
        <v>2</v>
      </c>
      <c r="H288" cm="1">
        <f t="array" ref="H288">-isDup(B288,B289,0.7)</f>
        <v>0</v>
      </c>
    </row>
    <row r="289" spans="1:8" x14ac:dyDescent="0.2">
      <c r="A289" s="3">
        <v>45254.921492997688</v>
      </c>
      <c r="B289" t="s">
        <v>401</v>
      </c>
      <c r="C289" t="s">
        <v>402</v>
      </c>
      <c r="E289">
        <v>0</v>
      </c>
      <c r="F289">
        <v>0</v>
      </c>
      <c r="G289" t="s">
        <v>2</v>
      </c>
      <c r="H289" cm="1">
        <f t="array" ref="H289">-isDup(B289,B290,0.7)</f>
        <v>0</v>
      </c>
    </row>
    <row r="290" spans="1:8" x14ac:dyDescent="0.2">
      <c r="A290" s="3">
        <v>45255.921492997688</v>
      </c>
      <c r="B290" t="s">
        <v>403</v>
      </c>
      <c r="C290" t="s">
        <v>7</v>
      </c>
      <c r="E290">
        <v>0</v>
      </c>
      <c r="F290">
        <v>0</v>
      </c>
      <c r="G290" t="s">
        <v>2</v>
      </c>
      <c r="H290" cm="1">
        <f t="array" ref="H290">-isDup(B290,B291,0.7)</f>
        <v>0</v>
      </c>
    </row>
    <row r="291" spans="1:8" x14ac:dyDescent="0.2">
      <c r="A291" s="3">
        <v>45256.921492997688</v>
      </c>
      <c r="B291" t="s">
        <v>94</v>
      </c>
      <c r="C291" t="s">
        <v>22</v>
      </c>
      <c r="E291">
        <v>0</v>
      </c>
      <c r="F291">
        <v>0</v>
      </c>
      <c r="G291" t="s">
        <v>2</v>
      </c>
      <c r="H291" cm="1">
        <f t="array" ref="H291">-isDup(B291,B292,0.7)</f>
        <v>0</v>
      </c>
    </row>
    <row r="292" spans="1:8" x14ac:dyDescent="0.2">
      <c r="A292" s="3">
        <v>45257.921492997688</v>
      </c>
      <c r="B292" t="s">
        <v>404</v>
      </c>
      <c r="C292" t="s">
        <v>405</v>
      </c>
      <c r="D292" t="s">
        <v>406</v>
      </c>
      <c r="E292">
        <v>0</v>
      </c>
      <c r="F292">
        <v>0</v>
      </c>
      <c r="G292" t="s">
        <v>2</v>
      </c>
      <c r="H292" cm="1">
        <f t="array" ref="H292">-isDup(B292,B293,0.7)</f>
        <v>0</v>
      </c>
    </row>
    <row r="293" spans="1:8" x14ac:dyDescent="0.2">
      <c r="A293" s="3">
        <v>45258.921492997688</v>
      </c>
      <c r="B293" t="s">
        <v>407</v>
      </c>
      <c r="C293" t="s">
        <v>7</v>
      </c>
      <c r="E293">
        <v>0</v>
      </c>
      <c r="F293">
        <v>0</v>
      </c>
      <c r="G293" t="s">
        <v>2</v>
      </c>
      <c r="H293" cm="1">
        <f t="array" ref="H293">-isDup(B293,B294,0.7)</f>
        <v>0</v>
      </c>
    </row>
    <row r="294" spans="1:8" x14ac:dyDescent="0.2">
      <c r="A294" s="3">
        <v>45259.921492997688</v>
      </c>
      <c r="B294" t="s">
        <v>408</v>
      </c>
      <c r="C294" t="s">
        <v>409</v>
      </c>
      <c r="D294" t="s">
        <v>410</v>
      </c>
      <c r="E294">
        <v>0</v>
      </c>
      <c r="F294">
        <v>0</v>
      </c>
      <c r="G294" t="s">
        <v>2</v>
      </c>
      <c r="H294" cm="1">
        <f t="array" ref="H294">-isDup(B294,B295,0.7)</f>
        <v>0</v>
      </c>
    </row>
    <row r="295" spans="1:8" x14ac:dyDescent="0.2">
      <c r="A295" s="3">
        <v>45260.921492997688</v>
      </c>
      <c r="B295" t="s">
        <v>411</v>
      </c>
      <c r="C295" t="s">
        <v>412</v>
      </c>
      <c r="D295" t="s">
        <v>413</v>
      </c>
      <c r="E295">
        <v>0</v>
      </c>
      <c r="F295">
        <v>0</v>
      </c>
      <c r="G295" t="s">
        <v>2</v>
      </c>
      <c r="H295" cm="1">
        <f t="array" ref="H295">-isDup(B295,B296,0.7)</f>
        <v>0</v>
      </c>
    </row>
    <row r="296" spans="1:8" x14ac:dyDescent="0.2">
      <c r="A296" s="3">
        <v>45261.921492997688</v>
      </c>
      <c r="B296" t="s">
        <v>414</v>
      </c>
      <c r="C296" t="s">
        <v>24</v>
      </c>
      <c r="D296" t="s">
        <v>25</v>
      </c>
      <c r="E296">
        <v>0</v>
      </c>
      <c r="F296">
        <v>0</v>
      </c>
      <c r="G296" t="s">
        <v>2</v>
      </c>
      <c r="H296" cm="1">
        <f t="array" ref="H296">-isDup(B296,B297,0.7)</f>
        <v>0</v>
      </c>
    </row>
    <row r="297" spans="1:8" x14ac:dyDescent="0.2">
      <c r="A297" s="3">
        <v>45262.921492997688</v>
      </c>
      <c r="B297" t="s">
        <v>415</v>
      </c>
      <c r="C297" t="s">
        <v>57</v>
      </c>
      <c r="D297" t="s">
        <v>69</v>
      </c>
      <c r="E297">
        <v>0</v>
      </c>
      <c r="F297">
        <v>0</v>
      </c>
      <c r="G297" t="s">
        <v>2</v>
      </c>
      <c r="H297" cm="1">
        <f t="array" ref="H297">-isDup(B297,B298,0.7)</f>
        <v>0</v>
      </c>
    </row>
    <row r="298" spans="1:8" x14ac:dyDescent="0.2">
      <c r="A298" s="3">
        <v>45263.921492997688</v>
      </c>
      <c r="B298" t="s">
        <v>416</v>
      </c>
      <c r="C298" t="s">
        <v>259</v>
      </c>
      <c r="D298" t="s">
        <v>417</v>
      </c>
      <c r="E298">
        <v>0</v>
      </c>
      <c r="F298">
        <v>0</v>
      </c>
      <c r="G298" t="s">
        <v>2</v>
      </c>
      <c r="H298" cm="1">
        <f t="array" ref="H298">-isDup(B298,B299,0.7)</f>
        <v>0</v>
      </c>
    </row>
    <row r="299" spans="1:8" x14ac:dyDescent="0.2">
      <c r="A299" s="3">
        <v>45264.921492997688</v>
      </c>
      <c r="B299" t="s">
        <v>418</v>
      </c>
      <c r="C299" t="s">
        <v>7</v>
      </c>
      <c r="E299">
        <v>0</v>
      </c>
      <c r="F299">
        <v>0</v>
      </c>
      <c r="G299" t="s">
        <v>2</v>
      </c>
      <c r="H299" cm="1">
        <f t="array" ref="H299">-isDup(B299,B300,0.7)</f>
        <v>0</v>
      </c>
    </row>
    <row r="300" spans="1:8" x14ac:dyDescent="0.2">
      <c r="A300" s="3">
        <v>45265.921492997688</v>
      </c>
      <c r="B300" t="s">
        <v>419</v>
      </c>
      <c r="C300" t="s">
        <v>420</v>
      </c>
      <c r="D300" t="s">
        <v>421</v>
      </c>
      <c r="E300">
        <v>0</v>
      </c>
      <c r="F300">
        <v>0</v>
      </c>
      <c r="G300" t="s">
        <v>2</v>
      </c>
      <c r="H300" cm="1">
        <f t="array" ref="H300">-isDup(B300,B301,0.7)</f>
        <v>0</v>
      </c>
    </row>
    <row r="301" spans="1:8" x14ac:dyDescent="0.2">
      <c r="A301" s="3">
        <v>45266.921492997688</v>
      </c>
      <c r="B301" t="s">
        <v>422</v>
      </c>
      <c r="C301" t="s">
        <v>7</v>
      </c>
      <c r="E301">
        <v>0</v>
      </c>
      <c r="F301">
        <v>0</v>
      </c>
      <c r="G301" t="s">
        <v>2</v>
      </c>
      <c r="H301" cm="1">
        <f t="array" ref="H301">-isDup(B301,B302,0.7)</f>
        <v>0</v>
      </c>
    </row>
    <row r="302" spans="1:8" x14ac:dyDescent="0.2">
      <c r="A302" s="3">
        <v>45267.921492997688</v>
      </c>
      <c r="B302" t="s">
        <v>127</v>
      </c>
      <c r="C302" t="s">
        <v>128</v>
      </c>
      <c r="D302" t="s">
        <v>129</v>
      </c>
      <c r="E302">
        <v>0</v>
      </c>
      <c r="F302">
        <v>0</v>
      </c>
      <c r="G302" t="s">
        <v>2</v>
      </c>
      <c r="H302" cm="1">
        <f t="array" ref="H302">-isDup(B302,B303,0.7)</f>
        <v>0</v>
      </c>
    </row>
    <row r="303" spans="1:8" x14ac:dyDescent="0.2">
      <c r="A303" s="3">
        <v>45268.921492997688</v>
      </c>
      <c r="B303" t="s">
        <v>423</v>
      </c>
      <c r="C303" t="s">
        <v>128</v>
      </c>
      <c r="D303" t="s">
        <v>129</v>
      </c>
      <c r="E303">
        <v>0</v>
      </c>
      <c r="F303">
        <v>0</v>
      </c>
      <c r="G303" t="s">
        <v>2</v>
      </c>
      <c r="H303" cm="1">
        <f t="array" ref="H303">-isDup(B303,B304,0.7)</f>
        <v>0</v>
      </c>
    </row>
    <row r="304" spans="1:8" x14ac:dyDescent="0.2">
      <c r="A304" s="3">
        <v>45269.921492997688</v>
      </c>
      <c r="B304" t="s">
        <v>424</v>
      </c>
      <c r="C304" t="s">
        <v>425</v>
      </c>
      <c r="D304" t="s">
        <v>426</v>
      </c>
      <c r="E304">
        <v>1</v>
      </c>
      <c r="F304">
        <v>0</v>
      </c>
      <c r="G304" t="s">
        <v>2</v>
      </c>
      <c r="H304" cm="1">
        <f t="array" ref="H304">-isDup(B304,B305,0.7)</f>
        <v>0</v>
      </c>
    </row>
    <row r="305" spans="1:8" x14ac:dyDescent="0.2">
      <c r="A305" s="3">
        <v>45270.921492997688</v>
      </c>
      <c r="B305" t="s">
        <v>427</v>
      </c>
      <c r="C305" t="s">
        <v>7</v>
      </c>
      <c r="E305">
        <v>0</v>
      </c>
      <c r="F305">
        <v>0</v>
      </c>
      <c r="G305" t="s">
        <v>2</v>
      </c>
      <c r="H305" cm="1">
        <f t="array" ref="H305">-isDup(B305,B306,0.7)</f>
        <v>0</v>
      </c>
    </row>
    <row r="306" spans="1:8" x14ac:dyDescent="0.2">
      <c r="A306" s="3">
        <v>45271.921492997688</v>
      </c>
      <c r="B306" t="s">
        <v>428</v>
      </c>
      <c r="C306" t="s">
        <v>7</v>
      </c>
      <c r="E306">
        <v>0</v>
      </c>
      <c r="F306">
        <v>0</v>
      </c>
      <c r="G306" t="s">
        <v>2</v>
      </c>
      <c r="H306" cm="1">
        <f t="array" ref="H306">-isDup(B306,B307,0.7)</f>
        <v>0</v>
      </c>
    </row>
    <row r="307" spans="1:8" x14ac:dyDescent="0.2">
      <c r="A307" s="3">
        <v>45272.921492997688</v>
      </c>
      <c r="B307" t="s">
        <v>429</v>
      </c>
      <c r="C307" t="s">
        <v>143</v>
      </c>
      <c r="D307" t="s">
        <v>129</v>
      </c>
      <c r="E307">
        <v>0</v>
      </c>
      <c r="F307">
        <v>0</v>
      </c>
      <c r="G307" t="s">
        <v>2</v>
      </c>
      <c r="H307" cm="1">
        <f t="array" ref="H307">-isDup(B307,B308,0.7)</f>
        <v>0</v>
      </c>
    </row>
    <row r="308" spans="1:8" x14ac:dyDescent="0.2">
      <c r="A308" s="3">
        <v>45273.921492997688</v>
      </c>
      <c r="B308" t="s">
        <v>430</v>
      </c>
      <c r="C308" t="s">
        <v>178</v>
      </c>
      <c r="E308">
        <v>0</v>
      </c>
      <c r="F308">
        <v>1</v>
      </c>
      <c r="G308" t="s">
        <v>2</v>
      </c>
      <c r="H308" cm="1">
        <f t="array" ref="H308">-isDup(B308,B309,0.7)</f>
        <v>0</v>
      </c>
    </row>
    <row r="309" spans="1:8" x14ac:dyDescent="0.2">
      <c r="A309" s="3">
        <v>45274.921492997688</v>
      </c>
      <c r="B309" t="s">
        <v>431</v>
      </c>
      <c r="C309" t="s">
        <v>143</v>
      </c>
      <c r="D309" t="s">
        <v>129</v>
      </c>
      <c r="E309">
        <v>0</v>
      </c>
      <c r="F309">
        <v>0</v>
      </c>
      <c r="G309" t="s">
        <v>2</v>
      </c>
      <c r="H309" cm="1">
        <f t="array" ref="H309">-isDup(B309,B310,0.7)</f>
        <v>0</v>
      </c>
    </row>
    <row r="310" spans="1:8" x14ac:dyDescent="0.2">
      <c r="A310" s="3">
        <v>45275.921492997688</v>
      </c>
      <c r="B310" t="s">
        <v>432</v>
      </c>
      <c r="C310" t="s">
        <v>143</v>
      </c>
      <c r="D310" t="s">
        <v>129</v>
      </c>
      <c r="E310">
        <v>0</v>
      </c>
      <c r="F310">
        <v>0</v>
      </c>
      <c r="G310" t="s">
        <v>2</v>
      </c>
      <c r="H310" cm="1">
        <f t="array" ref="H310">-isDup(B310,B311,0.7)</f>
        <v>0</v>
      </c>
    </row>
    <row r="311" spans="1:8" x14ac:dyDescent="0.2">
      <c r="A311" s="3">
        <v>45276.921492997688</v>
      </c>
      <c r="B311" t="s">
        <v>433</v>
      </c>
      <c r="C311" t="s">
        <v>7</v>
      </c>
      <c r="E311">
        <v>0</v>
      </c>
      <c r="F311">
        <v>0</v>
      </c>
      <c r="G311" t="s">
        <v>2</v>
      </c>
      <c r="H311" cm="1">
        <f t="array" ref="H311">-isDup(B311,B312,0.7)</f>
        <v>0</v>
      </c>
    </row>
    <row r="312" spans="1:8" x14ac:dyDescent="0.2">
      <c r="A312" s="3">
        <v>45277.921492997688</v>
      </c>
      <c r="B312" t="s">
        <v>192</v>
      </c>
      <c r="C312" t="s">
        <v>143</v>
      </c>
      <c r="D312" t="s">
        <v>129</v>
      </c>
      <c r="E312">
        <v>0</v>
      </c>
      <c r="F312">
        <v>0</v>
      </c>
      <c r="G312" t="s">
        <v>2</v>
      </c>
      <c r="H312" cm="1">
        <f t="array" ref="H312">-isDup(B312,B313,0.7)</f>
        <v>0</v>
      </c>
    </row>
    <row r="313" spans="1:8" x14ac:dyDescent="0.2">
      <c r="A313" s="3">
        <v>45278.921492997688</v>
      </c>
      <c r="B313" t="s">
        <v>434</v>
      </c>
      <c r="C313" t="s">
        <v>435</v>
      </c>
      <c r="D313" t="s">
        <v>158</v>
      </c>
      <c r="E313">
        <v>0</v>
      </c>
      <c r="F313">
        <v>0</v>
      </c>
      <c r="G313" t="s">
        <v>2</v>
      </c>
      <c r="H313" cm="1">
        <f t="array" ref="H313">-isDup(B313,B314,0.7)</f>
        <v>0</v>
      </c>
    </row>
    <row r="314" spans="1:8" x14ac:dyDescent="0.2">
      <c r="A314" s="3">
        <v>45279.921492997688</v>
      </c>
      <c r="B314" t="s">
        <v>436</v>
      </c>
      <c r="C314" t="s">
        <v>437</v>
      </c>
      <c r="E314">
        <v>0</v>
      </c>
      <c r="F314">
        <v>0</v>
      </c>
      <c r="G314" t="s">
        <v>2</v>
      </c>
      <c r="H314" cm="1">
        <f t="array" ref="H314">-isDup(B314,B315,0.7)</f>
        <v>0</v>
      </c>
    </row>
    <row r="315" spans="1:8" x14ac:dyDescent="0.2">
      <c r="A315" s="3">
        <v>45280.921492997688</v>
      </c>
      <c r="B315" t="s">
        <v>438</v>
      </c>
      <c r="C315" t="s">
        <v>439</v>
      </c>
      <c r="D315" t="s">
        <v>440</v>
      </c>
      <c r="E315">
        <v>0</v>
      </c>
      <c r="F315">
        <v>0</v>
      </c>
      <c r="G315" t="s">
        <v>2</v>
      </c>
      <c r="H315" cm="1">
        <f t="array" ref="H315">-isDup(B315,B316,0.7)</f>
        <v>0</v>
      </c>
    </row>
    <row r="316" spans="1:8" x14ac:dyDescent="0.2">
      <c r="A316" s="3">
        <v>45281.921492997688</v>
      </c>
      <c r="B316" t="s">
        <v>441</v>
      </c>
      <c r="C316" t="s">
        <v>7</v>
      </c>
      <c r="E316">
        <v>0</v>
      </c>
      <c r="F316">
        <v>0</v>
      </c>
      <c r="G316" t="s">
        <v>2</v>
      </c>
      <c r="H316" cm="1">
        <f t="array" ref="H316">-isDup(B316,B317,0.7)</f>
        <v>0</v>
      </c>
    </row>
    <row r="317" spans="1:8" x14ac:dyDescent="0.2">
      <c r="A317" s="3">
        <v>45282.921492997688</v>
      </c>
      <c r="B317" t="s">
        <v>442</v>
      </c>
      <c r="C317" t="s">
        <v>443</v>
      </c>
      <c r="D317" t="s">
        <v>444</v>
      </c>
      <c r="E317">
        <v>0</v>
      </c>
      <c r="F317">
        <v>0</v>
      </c>
      <c r="G317" t="s">
        <v>2</v>
      </c>
      <c r="H317" cm="1">
        <f t="array" ref="H317">-isDup(B317,B318,0.7)</f>
        <v>0</v>
      </c>
    </row>
    <row r="318" spans="1:8" x14ac:dyDescent="0.2">
      <c r="A318" s="3">
        <v>45283.921492997688</v>
      </c>
      <c r="B318" t="s">
        <v>445</v>
      </c>
      <c r="C318" t="s">
        <v>33</v>
      </c>
      <c r="D318" t="s">
        <v>34</v>
      </c>
      <c r="E318">
        <v>0</v>
      </c>
      <c r="F318">
        <v>0</v>
      </c>
      <c r="G318" t="s">
        <v>2</v>
      </c>
      <c r="H318" cm="1">
        <f t="array" ref="H318">-isDup(B318,B319,0.7)</f>
        <v>0</v>
      </c>
    </row>
    <row r="319" spans="1:8" x14ac:dyDescent="0.2">
      <c r="A319" s="3">
        <v>45284.921492997688</v>
      </c>
      <c r="B319" t="s">
        <v>37</v>
      </c>
      <c r="C319" t="s">
        <v>33</v>
      </c>
      <c r="D319" t="s">
        <v>34</v>
      </c>
      <c r="E319">
        <v>0</v>
      </c>
      <c r="F319">
        <v>0</v>
      </c>
      <c r="G319" t="s">
        <v>2</v>
      </c>
      <c r="H319" cm="1">
        <f t="array" ref="H319">-isDup(B319,B320,0.7)</f>
        <v>-1</v>
      </c>
    </row>
    <row r="320" spans="1:8" x14ac:dyDescent="0.2">
      <c r="A320" s="3">
        <v>45285.921492997688</v>
      </c>
      <c r="B320" t="s">
        <v>35</v>
      </c>
      <c r="C320" t="s">
        <v>33</v>
      </c>
      <c r="D320" t="s">
        <v>34</v>
      </c>
      <c r="E320">
        <v>0</v>
      </c>
      <c r="F320">
        <v>0</v>
      </c>
      <c r="G320" t="s">
        <v>2</v>
      </c>
      <c r="H320" cm="1">
        <f t="array" ref="H320">-isDup(B320,B321,0.7)</f>
        <v>0</v>
      </c>
    </row>
    <row r="321" spans="1:8" x14ac:dyDescent="0.2">
      <c r="A321" s="3">
        <v>45286.921492997688</v>
      </c>
      <c r="B321" t="s">
        <v>36</v>
      </c>
      <c r="C321" t="s">
        <v>33</v>
      </c>
      <c r="D321" t="s">
        <v>34</v>
      </c>
      <c r="E321">
        <v>0</v>
      </c>
      <c r="F321">
        <v>0</v>
      </c>
      <c r="G321" t="s">
        <v>2</v>
      </c>
      <c r="H321" cm="1">
        <f t="array" ref="H321">-isDup(B321,B322,0.7)</f>
        <v>0</v>
      </c>
    </row>
    <row r="322" spans="1:8" x14ac:dyDescent="0.2">
      <c r="A322" s="3">
        <v>45287.921492997688</v>
      </c>
      <c r="B322" t="s">
        <v>169</v>
      </c>
      <c r="C322" t="s">
        <v>143</v>
      </c>
      <c r="D322" t="s">
        <v>129</v>
      </c>
      <c r="E322">
        <v>0</v>
      </c>
      <c r="F322">
        <v>0</v>
      </c>
      <c r="G322" t="s">
        <v>2</v>
      </c>
      <c r="H322" cm="1">
        <f t="array" ref="H322">-isDup(B322,B323,0.7)</f>
        <v>0</v>
      </c>
    </row>
    <row r="323" spans="1:8" x14ac:dyDescent="0.2">
      <c r="A323" s="3">
        <v>45288.921492997688</v>
      </c>
      <c r="B323" t="s">
        <v>446</v>
      </c>
      <c r="C323" t="s">
        <v>7</v>
      </c>
      <c r="E323">
        <v>0</v>
      </c>
      <c r="F323">
        <v>1</v>
      </c>
      <c r="G323" t="s">
        <v>2</v>
      </c>
      <c r="H323" cm="1">
        <f t="array" ref="H323">-isDup(B323,B324,0.7)</f>
        <v>0</v>
      </c>
    </row>
    <row r="324" spans="1:8" x14ac:dyDescent="0.2">
      <c r="A324" s="3">
        <v>45289.921492997688</v>
      </c>
      <c r="B324" t="s">
        <v>447</v>
      </c>
      <c r="C324" t="s">
        <v>7</v>
      </c>
      <c r="E324">
        <v>0</v>
      </c>
      <c r="F324">
        <v>1</v>
      </c>
      <c r="G324" t="s">
        <v>2</v>
      </c>
      <c r="H324" cm="1">
        <f t="array" ref="H324">-isDup(B324,B325,0.7)</f>
        <v>0</v>
      </c>
    </row>
    <row r="325" spans="1:8" x14ac:dyDescent="0.2">
      <c r="A325" s="3">
        <v>45290.921492997688</v>
      </c>
      <c r="B325" t="s">
        <v>287</v>
      </c>
      <c r="C325" t="s">
        <v>33</v>
      </c>
      <c r="D325" t="s">
        <v>34</v>
      </c>
      <c r="E325">
        <v>0</v>
      </c>
      <c r="F325">
        <v>0</v>
      </c>
      <c r="G325" t="s">
        <v>2</v>
      </c>
      <c r="H325" cm="1">
        <f t="array" ref="H325">-isDup(B325,B326,0.7)</f>
        <v>0</v>
      </c>
    </row>
    <row r="326" spans="1:8" x14ac:dyDescent="0.2">
      <c r="A326" s="3">
        <v>45291.921492997688</v>
      </c>
      <c r="B326" t="s">
        <v>138</v>
      </c>
      <c r="C326" t="s">
        <v>22</v>
      </c>
      <c r="E326">
        <v>0</v>
      </c>
      <c r="F326">
        <v>0</v>
      </c>
      <c r="G326" t="s">
        <v>2</v>
      </c>
      <c r="H326" cm="1">
        <f t="array" ref="H326">-isDup(B326,B327,0.7)</f>
        <v>0</v>
      </c>
    </row>
    <row r="327" spans="1:8" x14ac:dyDescent="0.2">
      <c r="A327" s="3">
        <v>45292.921492997688</v>
      </c>
      <c r="B327" t="s">
        <v>3</v>
      </c>
      <c r="C327" t="s">
        <v>4</v>
      </c>
      <c r="D327" t="s">
        <v>5</v>
      </c>
      <c r="E327">
        <v>0</v>
      </c>
      <c r="F327">
        <v>0</v>
      </c>
      <c r="G327" t="s">
        <v>2</v>
      </c>
      <c r="H327" cm="1">
        <f t="array" ref="H327">-isDup(B327,B328,0.7)</f>
        <v>0</v>
      </c>
    </row>
    <row r="328" spans="1:8" x14ac:dyDescent="0.2">
      <c r="A328" s="3">
        <v>45293.921492997688</v>
      </c>
      <c r="B328" t="s">
        <v>144</v>
      </c>
      <c r="C328" t="s">
        <v>22</v>
      </c>
      <c r="E328">
        <v>0</v>
      </c>
      <c r="F328">
        <v>0</v>
      </c>
      <c r="G328" t="s">
        <v>2</v>
      </c>
      <c r="H328" cm="1">
        <f t="array" ref="H328">-isDup(B328,B329,0.7)</f>
        <v>0</v>
      </c>
    </row>
    <row r="329" spans="1:8" x14ac:dyDescent="0.2">
      <c r="A329" s="3">
        <v>45294.921492997688</v>
      </c>
      <c r="B329" t="s">
        <v>152</v>
      </c>
      <c r="C329" t="s">
        <v>22</v>
      </c>
      <c r="E329">
        <v>0</v>
      </c>
      <c r="F329">
        <v>0</v>
      </c>
      <c r="G329" t="s">
        <v>2</v>
      </c>
      <c r="H329" cm="1">
        <f t="array" ref="H329">-isDup(B329,B330,0.7)</f>
        <v>0</v>
      </c>
    </row>
    <row r="330" spans="1:8" x14ac:dyDescent="0.2">
      <c r="A330" s="3">
        <v>45295.921492997688</v>
      </c>
      <c r="B330" t="s">
        <v>448</v>
      </c>
      <c r="C330" t="s">
        <v>7</v>
      </c>
      <c r="E330">
        <v>0</v>
      </c>
      <c r="F330">
        <v>1</v>
      </c>
      <c r="G330" t="s">
        <v>2</v>
      </c>
      <c r="H330" cm="1">
        <f t="array" ref="H330">-isDup(B330,B331,0.7)</f>
        <v>0</v>
      </c>
    </row>
    <row r="331" spans="1:8" x14ac:dyDescent="0.2">
      <c r="A331" s="3">
        <v>45296.921492997688</v>
      </c>
      <c r="B331" t="s">
        <v>151</v>
      </c>
      <c r="C331" t="s">
        <v>22</v>
      </c>
      <c r="E331">
        <v>0</v>
      </c>
      <c r="F331">
        <v>0</v>
      </c>
      <c r="G331" t="s">
        <v>2</v>
      </c>
      <c r="H331" cm="1">
        <f t="array" ref="H331">-isDup(B331,B332,0.7)</f>
        <v>0</v>
      </c>
    </row>
    <row r="332" spans="1:8" x14ac:dyDescent="0.2">
      <c r="A332" s="3">
        <v>45297.921492997688</v>
      </c>
      <c r="B332" t="s">
        <v>153</v>
      </c>
      <c r="C332" t="s">
        <v>22</v>
      </c>
      <c r="E332">
        <v>0</v>
      </c>
      <c r="F332">
        <v>0</v>
      </c>
      <c r="G332" t="s">
        <v>2</v>
      </c>
      <c r="H332" cm="1">
        <f t="array" ref="H332">-isDup(B332,B333,0.7)</f>
        <v>-1</v>
      </c>
    </row>
    <row r="333" spans="1:8" x14ac:dyDescent="0.2">
      <c r="A333" s="3">
        <v>45298.921492997688</v>
      </c>
      <c r="B333" t="s">
        <v>154</v>
      </c>
      <c r="C333" t="s">
        <v>22</v>
      </c>
      <c r="E333">
        <v>0</v>
      </c>
      <c r="F333">
        <v>0</v>
      </c>
      <c r="G333" t="s">
        <v>2</v>
      </c>
      <c r="H333" cm="1">
        <f t="array" ref="H333">-isDup(B333,B334,0.7)</f>
        <v>0</v>
      </c>
    </row>
    <row r="334" spans="1:8" x14ac:dyDescent="0.2">
      <c r="A334" s="3">
        <v>45299.921492997688</v>
      </c>
      <c r="B334" t="s">
        <v>336</v>
      </c>
      <c r="C334" t="s">
        <v>143</v>
      </c>
      <c r="D334" t="s">
        <v>129</v>
      </c>
      <c r="E334">
        <v>0</v>
      </c>
      <c r="F334">
        <v>0</v>
      </c>
      <c r="G334" t="s">
        <v>2</v>
      </c>
      <c r="H334" cm="1">
        <f t="array" ref="H334">-isDup(B334,B335,0.7)</f>
        <v>0</v>
      </c>
    </row>
    <row r="335" spans="1:8" x14ac:dyDescent="0.2">
      <c r="A335" s="3">
        <v>45300.921492997688</v>
      </c>
      <c r="B335" t="s">
        <v>449</v>
      </c>
      <c r="C335" t="s">
        <v>7</v>
      </c>
      <c r="E335">
        <v>0</v>
      </c>
      <c r="F335">
        <v>1</v>
      </c>
      <c r="G335" t="s">
        <v>2</v>
      </c>
      <c r="H335" cm="1">
        <f t="array" ref="H335">-isDup(B335,B336,0.7)</f>
        <v>0</v>
      </c>
    </row>
    <row r="336" spans="1:8" x14ac:dyDescent="0.2">
      <c r="A336" s="3">
        <v>45301.921492997688</v>
      </c>
      <c r="B336" t="s">
        <v>450</v>
      </c>
      <c r="C336" t="s">
        <v>143</v>
      </c>
      <c r="D336" t="s">
        <v>129</v>
      </c>
      <c r="E336">
        <v>0</v>
      </c>
      <c r="F336">
        <v>0</v>
      </c>
      <c r="G336" t="s">
        <v>2</v>
      </c>
      <c r="H336" cm="1">
        <f t="array" ref="H336">-isDup(B336,B337,0.7)</f>
        <v>0</v>
      </c>
    </row>
    <row r="337" spans="1:8" x14ac:dyDescent="0.2">
      <c r="A337" s="3">
        <v>45302.921492997688</v>
      </c>
      <c r="B337" t="s">
        <v>451</v>
      </c>
      <c r="C337" t="s">
        <v>452</v>
      </c>
      <c r="D337" t="s">
        <v>453</v>
      </c>
      <c r="E337">
        <v>0</v>
      </c>
      <c r="F337">
        <v>0</v>
      </c>
      <c r="G337" t="s">
        <v>2</v>
      </c>
      <c r="H337" cm="1">
        <f t="array" ref="H337">-isDup(B337,B338,0.7)</f>
        <v>0</v>
      </c>
    </row>
    <row r="338" spans="1:8" x14ac:dyDescent="0.2">
      <c r="A338" s="3">
        <v>45303.921492997688</v>
      </c>
      <c r="B338" t="s">
        <v>159</v>
      </c>
      <c r="C338" t="s">
        <v>22</v>
      </c>
      <c r="E338">
        <v>0</v>
      </c>
      <c r="F338">
        <v>0</v>
      </c>
      <c r="G338" t="s">
        <v>2</v>
      </c>
      <c r="H338" cm="1">
        <f t="array" ref="H338">-isDup(B338,B339,0.7)</f>
        <v>-1</v>
      </c>
    </row>
    <row r="339" spans="1:8" x14ac:dyDescent="0.2">
      <c r="A339" s="3">
        <v>45304.921492997688</v>
      </c>
      <c r="B339" t="s">
        <v>159</v>
      </c>
      <c r="C339" t="s">
        <v>22</v>
      </c>
      <c r="E339">
        <v>0</v>
      </c>
      <c r="F339">
        <v>0</v>
      </c>
      <c r="G339" t="s">
        <v>2</v>
      </c>
      <c r="H339" cm="1">
        <f t="array" ref="H339">-isDup(B339,B340,0.7)</f>
        <v>0</v>
      </c>
    </row>
    <row r="340" spans="1:8" x14ac:dyDescent="0.2">
      <c r="A340" s="3">
        <v>45305.921492997688</v>
      </c>
      <c r="B340" t="s">
        <v>454</v>
      </c>
      <c r="C340" t="s">
        <v>7</v>
      </c>
      <c r="E340">
        <v>0</v>
      </c>
      <c r="F340">
        <v>1</v>
      </c>
      <c r="G340" t="s">
        <v>2</v>
      </c>
      <c r="H340" cm="1">
        <f t="array" ref="H340">-isDup(B340,B341,0.7)</f>
        <v>0</v>
      </c>
    </row>
    <row r="341" spans="1:8" x14ac:dyDescent="0.2">
      <c r="A341" s="3">
        <v>45306.921492997688</v>
      </c>
      <c r="B341" t="s">
        <v>165</v>
      </c>
      <c r="C341" t="s">
        <v>22</v>
      </c>
      <c r="E341">
        <v>0</v>
      </c>
      <c r="F341">
        <v>0</v>
      </c>
      <c r="G341" t="s">
        <v>2</v>
      </c>
      <c r="H341" cm="1">
        <f t="array" ref="H341">-isDup(B341,B342,0.7)</f>
        <v>0</v>
      </c>
    </row>
    <row r="342" spans="1:8" x14ac:dyDescent="0.2">
      <c r="A342" s="3">
        <v>45307.921492997688</v>
      </c>
      <c r="B342" t="s">
        <v>455</v>
      </c>
      <c r="C342" t="s">
        <v>456</v>
      </c>
      <c r="D342" t="s">
        <v>457</v>
      </c>
      <c r="E342">
        <v>0</v>
      </c>
      <c r="F342">
        <v>1</v>
      </c>
      <c r="G342" t="s">
        <v>2</v>
      </c>
      <c r="H342" cm="1">
        <f t="array" ref="H342">-isDup(B342,B343,0.7)</f>
        <v>0</v>
      </c>
    </row>
    <row r="343" spans="1:8" x14ac:dyDescent="0.2">
      <c r="A343" s="3">
        <v>45308.921492997688</v>
      </c>
      <c r="B343" t="s">
        <v>458</v>
      </c>
      <c r="C343" t="s">
        <v>7</v>
      </c>
      <c r="E343">
        <v>0</v>
      </c>
      <c r="F343">
        <v>1</v>
      </c>
      <c r="G343" t="s">
        <v>2</v>
      </c>
      <c r="H343" cm="1">
        <f t="array" ref="H343">-isDup(B343,B344,0.7)</f>
        <v>0</v>
      </c>
    </row>
    <row r="344" spans="1:8" x14ac:dyDescent="0.2">
      <c r="A344" s="3">
        <v>45309.921492997688</v>
      </c>
      <c r="B344" t="s">
        <v>459</v>
      </c>
      <c r="C344" t="s">
        <v>290</v>
      </c>
      <c r="D344" t="s">
        <v>291</v>
      </c>
      <c r="E344">
        <v>0</v>
      </c>
      <c r="F344">
        <v>0</v>
      </c>
      <c r="G344" t="s">
        <v>2</v>
      </c>
      <c r="H344" cm="1">
        <f t="array" ref="H344">-isDup(B344,B345,0.7)</f>
        <v>0</v>
      </c>
    </row>
    <row r="345" spans="1:8" x14ac:dyDescent="0.2">
      <c r="A345" s="3">
        <v>45310.921492997688</v>
      </c>
      <c r="B345" t="s">
        <v>460</v>
      </c>
      <c r="C345" t="s">
        <v>461</v>
      </c>
      <c r="D345" t="s">
        <v>462</v>
      </c>
      <c r="E345">
        <v>0</v>
      </c>
      <c r="F345">
        <v>0</v>
      </c>
      <c r="G345" t="s">
        <v>2</v>
      </c>
      <c r="H345" cm="1">
        <f t="array" ref="H345">-isDup(B345,B346,0.7)</f>
        <v>0</v>
      </c>
    </row>
    <row r="346" spans="1:8" x14ac:dyDescent="0.2">
      <c r="A346" s="3">
        <v>45311.921492997688</v>
      </c>
      <c r="B346" t="s">
        <v>463</v>
      </c>
      <c r="C346" t="s">
        <v>33</v>
      </c>
      <c r="E346">
        <v>0</v>
      </c>
      <c r="F346">
        <v>0</v>
      </c>
      <c r="G346" t="s">
        <v>2</v>
      </c>
      <c r="H346" cm="1">
        <f t="array" ref="H346">-isDup(B346,B347,0.7)</f>
        <v>0</v>
      </c>
    </row>
    <row r="347" spans="1:8" x14ac:dyDescent="0.2">
      <c r="A347" s="3">
        <v>45312.921492997688</v>
      </c>
      <c r="B347" t="s">
        <v>464</v>
      </c>
      <c r="C347" t="s">
        <v>465</v>
      </c>
      <c r="D347" t="s">
        <v>466</v>
      </c>
      <c r="E347">
        <v>0</v>
      </c>
      <c r="F347">
        <v>0</v>
      </c>
      <c r="G347" t="s">
        <v>2</v>
      </c>
      <c r="H347" cm="1">
        <f t="array" ref="H347">-isDup(B347,B348,0.7)</f>
        <v>0</v>
      </c>
    </row>
    <row r="348" spans="1:8" x14ac:dyDescent="0.2">
      <c r="A348" s="3">
        <v>45313.921492997688</v>
      </c>
      <c r="B348" t="s">
        <v>467</v>
      </c>
      <c r="C348" t="s">
        <v>7</v>
      </c>
      <c r="E348">
        <v>0</v>
      </c>
      <c r="F348">
        <v>1</v>
      </c>
      <c r="G348" t="s">
        <v>2</v>
      </c>
      <c r="H348" cm="1">
        <f t="array" ref="H348">-isDup(B348,B349,0.7)</f>
        <v>0</v>
      </c>
    </row>
    <row r="349" spans="1:8" x14ac:dyDescent="0.2">
      <c r="A349" s="3">
        <v>45314.921492997688</v>
      </c>
      <c r="B349" t="s">
        <v>468</v>
      </c>
      <c r="C349" t="s">
        <v>100</v>
      </c>
      <c r="D349" t="s">
        <v>34</v>
      </c>
      <c r="E349">
        <v>0</v>
      </c>
      <c r="F349">
        <v>0</v>
      </c>
      <c r="G349" t="s">
        <v>2</v>
      </c>
      <c r="H349" cm="1">
        <f t="array" ref="H349">-isDup(B349,B350,0.7)</f>
        <v>0</v>
      </c>
    </row>
    <row r="350" spans="1:8" x14ac:dyDescent="0.2">
      <c r="A350" s="3">
        <v>45315.921492997688</v>
      </c>
      <c r="B350" t="s">
        <v>469</v>
      </c>
      <c r="C350" t="s">
        <v>470</v>
      </c>
      <c r="E350">
        <v>0</v>
      </c>
      <c r="F350">
        <v>0</v>
      </c>
      <c r="G350" t="s">
        <v>2</v>
      </c>
      <c r="H350" cm="1">
        <f t="array" ref="H350">-isDup(B350,B351,0.7)</f>
        <v>0</v>
      </c>
    </row>
    <row r="351" spans="1:8" x14ac:dyDescent="0.2">
      <c r="A351" s="3">
        <v>45316.921492997688</v>
      </c>
      <c r="B351" t="s">
        <v>471</v>
      </c>
      <c r="C351" t="s">
        <v>7</v>
      </c>
      <c r="E351">
        <v>0</v>
      </c>
      <c r="F351">
        <v>0</v>
      </c>
      <c r="G351" t="s">
        <v>2</v>
      </c>
      <c r="H351" cm="1">
        <f t="array" ref="H351">-isDup(B351,B352,0.7)</f>
        <v>0</v>
      </c>
    </row>
    <row r="352" spans="1:8" x14ac:dyDescent="0.2">
      <c r="A352" s="3">
        <v>45317.921492997688</v>
      </c>
      <c r="B352" t="s">
        <v>472</v>
      </c>
      <c r="C352" t="s">
        <v>473</v>
      </c>
      <c r="D352" t="s">
        <v>474</v>
      </c>
      <c r="E352">
        <v>0</v>
      </c>
      <c r="F352">
        <v>0</v>
      </c>
      <c r="G352" t="s">
        <v>2</v>
      </c>
      <c r="H352" cm="1">
        <f t="array" ref="H352">-isDup(B352,B353,0.7)</f>
        <v>0</v>
      </c>
    </row>
    <row r="353" spans="1:8" x14ac:dyDescent="0.2">
      <c r="A353" s="3">
        <v>45318.921492997688</v>
      </c>
      <c r="B353" t="s">
        <v>475</v>
      </c>
      <c r="C353" t="s">
        <v>128</v>
      </c>
      <c r="D353" t="s">
        <v>129</v>
      </c>
      <c r="E353">
        <v>0</v>
      </c>
      <c r="F353">
        <v>0</v>
      </c>
      <c r="G353" t="s">
        <v>2</v>
      </c>
      <c r="H353" cm="1">
        <f t="array" ref="H353">-isDup(B353,B354,0.7)</f>
        <v>0</v>
      </c>
    </row>
    <row r="354" spans="1:8" x14ac:dyDescent="0.2">
      <c r="A354" s="3">
        <v>45319.921492997688</v>
      </c>
      <c r="B354" t="s">
        <v>141</v>
      </c>
      <c r="C354" t="s">
        <v>143</v>
      </c>
      <c r="D354" t="s">
        <v>129</v>
      </c>
      <c r="E354">
        <v>0</v>
      </c>
      <c r="F354">
        <v>0</v>
      </c>
      <c r="G354" t="s">
        <v>2</v>
      </c>
      <c r="H354" cm="1">
        <f t="array" ref="H354">-isDup(B354,B355,0.7)</f>
        <v>0</v>
      </c>
    </row>
    <row r="355" spans="1:8" x14ac:dyDescent="0.2">
      <c r="A355" s="3">
        <v>45320.921492997688</v>
      </c>
      <c r="B355" t="s">
        <v>476</v>
      </c>
      <c r="C355" t="s">
        <v>143</v>
      </c>
      <c r="D355" t="s">
        <v>129</v>
      </c>
      <c r="E355">
        <v>0</v>
      </c>
      <c r="F355">
        <v>0</v>
      </c>
      <c r="G355" t="s">
        <v>2</v>
      </c>
      <c r="H355" cm="1">
        <f t="array" ref="H355">-isDup(B355,B356,0.7)</f>
        <v>0</v>
      </c>
    </row>
    <row r="356" spans="1:8" x14ac:dyDescent="0.2">
      <c r="A356" s="3">
        <v>45321.921492997688</v>
      </c>
      <c r="B356" t="s">
        <v>475</v>
      </c>
      <c r="C356" t="s">
        <v>143</v>
      </c>
      <c r="D356" t="s">
        <v>129</v>
      </c>
      <c r="E356">
        <v>0</v>
      </c>
      <c r="F356">
        <v>0</v>
      </c>
      <c r="G356" t="s">
        <v>2</v>
      </c>
      <c r="H356" cm="1">
        <f t="array" ref="H356">-isDup(B356,B357,0.7)</f>
        <v>0</v>
      </c>
    </row>
    <row r="357" spans="1:8" x14ac:dyDescent="0.2">
      <c r="A357" s="3">
        <v>45322.921492997688</v>
      </c>
      <c r="B357" t="s">
        <v>477</v>
      </c>
      <c r="C357" t="s">
        <v>171</v>
      </c>
      <c r="E357">
        <v>0</v>
      </c>
      <c r="F357">
        <v>0</v>
      </c>
      <c r="G357" t="s">
        <v>2</v>
      </c>
      <c r="H357" cm="1">
        <f t="array" ref="H357">-isDup(B357,B358,0.7)</f>
        <v>0</v>
      </c>
    </row>
    <row r="358" spans="1:8" x14ac:dyDescent="0.2">
      <c r="A358" s="3">
        <v>45323.921492997688</v>
      </c>
      <c r="B358" t="s">
        <v>478</v>
      </c>
      <c r="C358" t="s">
        <v>7</v>
      </c>
      <c r="E358">
        <v>0</v>
      </c>
      <c r="F358">
        <v>0</v>
      </c>
      <c r="G358" t="s">
        <v>2</v>
      </c>
      <c r="H358" cm="1">
        <f t="array" ref="H358">-isDup(B358,B359,0.7)</f>
        <v>0</v>
      </c>
    </row>
    <row r="359" spans="1:8" x14ac:dyDescent="0.2">
      <c r="A359" s="3">
        <v>45324.921492997688</v>
      </c>
      <c r="B359" t="s">
        <v>396</v>
      </c>
      <c r="C359" t="s">
        <v>143</v>
      </c>
      <c r="D359" t="s">
        <v>129</v>
      </c>
      <c r="E359">
        <v>0</v>
      </c>
      <c r="F359">
        <v>0</v>
      </c>
      <c r="G359" t="s">
        <v>2</v>
      </c>
      <c r="H359" cm="1">
        <f t="array" ref="H359">-isDup(B359,B360,0.7)</f>
        <v>0</v>
      </c>
    </row>
    <row r="360" spans="1:8" x14ac:dyDescent="0.2">
      <c r="A360" s="3">
        <v>45325.921492997688</v>
      </c>
      <c r="B360" t="s">
        <v>479</v>
      </c>
      <c r="C360" t="s">
        <v>480</v>
      </c>
      <c r="D360" t="s">
        <v>55</v>
      </c>
      <c r="E360">
        <v>0</v>
      </c>
      <c r="F360">
        <v>0</v>
      </c>
      <c r="G360" t="s">
        <v>2</v>
      </c>
      <c r="H360" cm="1">
        <f t="array" ref="H360">-isDup(B360,B361,0.7)</f>
        <v>0</v>
      </c>
    </row>
    <row r="361" spans="1:8" x14ac:dyDescent="0.2">
      <c r="A361" s="3">
        <v>45326.921492997688</v>
      </c>
      <c r="B361" t="s">
        <v>451</v>
      </c>
      <c r="C361" t="s">
        <v>481</v>
      </c>
      <c r="D361" t="s">
        <v>482</v>
      </c>
      <c r="E361">
        <v>0</v>
      </c>
      <c r="F361">
        <v>0</v>
      </c>
      <c r="G361" t="s">
        <v>2</v>
      </c>
      <c r="H361" cm="1">
        <f t="array" ref="H361">-isDup(B361,B362,0.7)</f>
        <v>0</v>
      </c>
    </row>
    <row r="362" spans="1:8" x14ac:dyDescent="0.2">
      <c r="A362" s="3">
        <v>45327.921492997688</v>
      </c>
      <c r="B362" t="s">
        <v>483</v>
      </c>
      <c r="C362" t="s">
        <v>484</v>
      </c>
      <c r="D362" t="s">
        <v>103</v>
      </c>
      <c r="E362">
        <v>0</v>
      </c>
      <c r="F362">
        <v>1</v>
      </c>
      <c r="G362" t="s">
        <v>2</v>
      </c>
      <c r="H362" cm="1">
        <f t="array" ref="H362">-isDup(B362,B363,0.7)</f>
        <v>0</v>
      </c>
    </row>
    <row r="363" spans="1:8" x14ac:dyDescent="0.2">
      <c r="A363" s="3">
        <v>45328.921492997688</v>
      </c>
      <c r="B363" t="s">
        <v>485</v>
      </c>
      <c r="C363" t="s">
        <v>7</v>
      </c>
      <c r="E363">
        <v>1</v>
      </c>
      <c r="F363">
        <v>0</v>
      </c>
      <c r="G363" t="s">
        <v>2</v>
      </c>
      <c r="H363" cm="1">
        <f t="array" ref="H363">-isDup(B363,B364,0.7)</f>
        <v>0</v>
      </c>
    </row>
    <row r="364" spans="1:8" x14ac:dyDescent="0.2">
      <c r="A364" s="3">
        <v>45329.921492997688</v>
      </c>
      <c r="B364" t="s">
        <v>486</v>
      </c>
      <c r="C364" t="s">
        <v>487</v>
      </c>
      <c r="D364" t="s">
        <v>488</v>
      </c>
      <c r="E364">
        <v>0</v>
      </c>
      <c r="F364">
        <v>0</v>
      </c>
      <c r="G364" t="s">
        <v>2</v>
      </c>
      <c r="H364" cm="1">
        <f t="array" ref="H364">-isDup(B364,B365,0.7)</f>
        <v>-1</v>
      </c>
    </row>
    <row r="365" spans="1:8" x14ac:dyDescent="0.2">
      <c r="A365" s="3">
        <v>45330.921492997688</v>
      </c>
      <c r="B365" t="s">
        <v>489</v>
      </c>
      <c r="C365" t="s">
        <v>490</v>
      </c>
      <c r="D365" t="s">
        <v>491</v>
      </c>
      <c r="E365">
        <v>0</v>
      </c>
      <c r="F365">
        <v>2</v>
      </c>
      <c r="G365" t="s">
        <v>2</v>
      </c>
      <c r="H365" cm="1">
        <f t="array" ref="H365">-isDup(B365,B366,0.7)</f>
        <v>0</v>
      </c>
    </row>
    <row r="366" spans="1:8" x14ac:dyDescent="0.2">
      <c r="A366" s="3">
        <v>45331.921492997688</v>
      </c>
      <c r="B366" t="s">
        <v>492</v>
      </c>
      <c r="C366" t="s">
        <v>143</v>
      </c>
      <c r="D366" t="s">
        <v>129</v>
      </c>
      <c r="E366">
        <v>0</v>
      </c>
      <c r="F366">
        <v>0</v>
      </c>
      <c r="G366" t="s">
        <v>2</v>
      </c>
      <c r="H366" cm="1">
        <f t="array" ref="H366">-isDup(B366,B367,0.7)</f>
        <v>0</v>
      </c>
    </row>
    <row r="367" spans="1:8" x14ac:dyDescent="0.2">
      <c r="A367" s="3">
        <v>45332.921492997688</v>
      </c>
      <c r="B367" t="s">
        <v>493</v>
      </c>
      <c r="C367" t="s">
        <v>494</v>
      </c>
      <c r="E367">
        <v>0</v>
      </c>
      <c r="F367">
        <v>0</v>
      </c>
      <c r="G367" t="s">
        <v>2</v>
      </c>
      <c r="H367" cm="1">
        <f t="array" ref="H367">-isDup(B367,B368,0.7)</f>
        <v>0</v>
      </c>
    </row>
    <row r="368" spans="1:8" x14ac:dyDescent="0.2">
      <c r="A368" s="3">
        <v>45333.921492997688</v>
      </c>
      <c r="B368" t="s">
        <v>495</v>
      </c>
      <c r="C368" t="s">
        <v>496</v>
      </c>
      <c r="E368">
        <v>2</v>
      </c>
      <c r="F368">
        <v>5</v>
      </c>
      <c r="G368" t="s">
        <v>2</v>
      </c>
      <c r="H368" cm="1">
        <f t="array" ref="H368">-isDup(B368,B369,0.7)</f>
        <v>0</v>
      </c>
    </row>
    <row r="369" spans="1:8" x14ac:dyDescent="0.2">
      <c r="A369" s="3">
        <v>45334.921492997688</v>
      </c>
      <c r="B369" t="s">
        <v>497</v>
      </c>
      <c r="C369" t="s">
        <v>498</v>
      </c>
      <c r="E369">
        <v>3</v>
      </c>
      <c r="F369">
        <v>22</v>
      </c>
      <c r="G369" t="s">
        <v>2</v>
      </c>
      <c r="H369" cm="1">
        <f t="array" ref="H369">-isDup(B369,B370,0.7)</f>
        <v>0</v>
      </c>
    </row>
    <row r="370" spans="1:8" x14ac:dyDescent="0.2">
      <c r="A370" s="3">
        <v>45335.921492997688</v>
      </c>
      <c r="B370" t="s">
        <v>499</v>
      </c>
      <c r="C370" t="s">
        <v>33</v>
      </c>
      <c r="D370" t="s">
        <v>34</v>
      </c>
      <c r="E370">
        <v>0</v>
      </c>
      <c r="F370">
        <v>0</v>
      </c>
      <c r="G370" t="s">
        <v>2</v>
      </c>
      <c r="H370" cm="1">
        <f t="array" ref="H370">-isDup(B370,B371,0.7)</f>
        <v>0</v>
      </c>
    </row>
    <row r="371" spans="1:8" x14ac:dyDescent="0.2">
      <c r="A371" s="3">
        <v>45336.921492997688</v>
      </c>
      <c r="B371" t="s">
        <v>35</v>
      </c>
      <c r="C371" t="s">
        <v>33</v>
      </c>
      <c r="D371" t="s">
        <v>34</v>
      </c>
      <c r="E371">
        <v>0</v>
      </c>
      <c r="F371">
        <v>0</v>
      </c>
      <c r="G371" t="s">
        <v>2</v>
      </c>
      <c r="H371" cm="1">
        <f t="array" ref="H371">-isDup(B371,B372,0.7)</f>
        <v>-1</v>
      </c>
    </row>
    <row r="372" spans="1:8" x14ac:dyDescent="0.2">
      <c r="A372" s="3">
        <v>45337.921492997688</v>
      </c>
      <c r="B372" t="s">
        <v>37</v>
      </c>
      <c r="C372" t="s">
        <v>33</v>
      </c>
      <c r="D372" t="s">
        <v>34</v>
      </c>
      <c r="E372">
        <v>0</v>
      </c>
      <c r="F372">
        <v>0</v>
      </c>
      <c r="G372" t="s">
        <v>2</v>
      </c>
      <c r="H372" cm="1">
        <f t="array" ref="H372">-isDup(B372,B373,0.7)</f>
        <v>0</v>
      </c>
    </row>
    <row r="373" spans="1:8" x14ac:dyDescent="0.2">
      <c r="A373" s="3">
        <v>45338.921492997688</v>
      </c>
      <c r="B373" t="s">
        <v>36</v>
      </c>
      <c r="C373" t="s">
        <v>33</v>
      </c>
      <c r="D373" t="s">
        <v>34</v>
      </c>
      <c r="E373">
        <v>0</v>
      </c>
      <c r="F373">
        <v>0</v>
      </c>
      <c r="G373" t="s">
        <v>2</v>
      </c>
      <c r="H373" cm="1">
        <f t="array" ref="H373">-isDup(B373,B374,0.7)</f>
        <v>0</v>
      </c>
    </row>
    <row r="374" spans="1:8" x14ac:dyDescent="0.2">
      <c r="A374" s="3">
        <v>45339.921492997688</v>
      </c>
      <c r="B374" t="s">
        <v>500</v>
      </c>
      <c r="C374" t="s">
        <v>7</v>
      </c>
      <c r="E374">
        <v>0</v>
      </c>
      <c r="F374">
        <v>0</v>
      </c>
      <c r="G374" t="s">
        <v>2</v>
      </c>
      <c r="H374" cm="1">
        <f t="array" ref="H374">-isDup(B374,B375,0.7)</f>
        <v>0</v>
      </c>
    </row>
    <row r="375" spans="1:8" x14ac:dyDescent="0.2">
      <c r="A375" s="3">
        <v>45340.921492997688</v>
      </c>
      <c r="B375" t="s">
        <v>501</v>
      </c>
      <c r="C375" t="s">
        <v>502</v>
      </c>
      <c r="D375" t="s">
        <v>503</v>
      </c>
      <c r="E375">
        <v>0</v>
      </c>
      <c r="F375">
        <v>0</v>
      </c>
      <c r="G375" t="s">
        <v>2</v>
      </c>
      <c r="H375" cm="1">
        <f t="array" ref="H375">-isDup(B375,B376,0.7)</f>
        <v>0</v>
      </c>
    </row>
    <row r="376" spans="1:8" x14ac:dyDescent="0.2">
      <c r="A376" s="3">
        <v>45341.921492997688</v>
      </c>
      <c r="B376" t="s">
        <v>504</v>
      </c>
      <c r="C376" t="s">
        <v>505</v>
      </c>
      <c r="D376" t="s">
        <v>506</v>
      </c>
      <c r="E376">
        <v>4</v>
      </c>
      <c r="F376">
        <v>5</v>
      </c>
      <c r="G376" t="s">
        <v>2</v>
      </c>
      <c r="H376" cm="1">
        <f t="array" ref="H376">-isDup(B376,B377,0.7)</f>
        <v>0</v>
      </c>
    </row>
    <row r="377" spans="1:8" x14ac:dyDescent="0.2">
      <c r="A377" s="3">
        <v>45342.921492997688</v>
      </c>
      <c r="B377" t="s">
        <v>3</v>
      </c>
      <c r="C377" t="s">
        <v>4</v>
      </c>
      <c r="D377" t="s">
        <v>5</v>
      </c>
      <c r="E377">
        <v>0</v>
      </c>
      <c r="F377">
        <v>0</v>
      </c>
      <c r="G377" t="s">
        <v>2</v>
      </c>
      <c r="H377" cm="1">
        <f t="array" ref="H377">-isDup(B377,B378,0.7)</f>
        <v>0</v>
      </c>
    </row>
    <row r="378" spans="1:8" x14ac:dyDescent="0.2">
      <c r="A378" s="3">
        <v>45343.921492997688</v>
      </c>
      <c r="B378" t="s">
        <v>489</v>
      </c>
      <c r="C378" t="s">
        <v>507</v>
      </c>
      <c r="D378" t="s">
        <v>508</v>
      </c>
      <c r="E378">
        <v>0</v>
      </c>
      <c r="F378">
        <v>0</v>
      </c>
      <c r="G378" t="s">
        <v>2</v>
      </c>
      <c r="H378" cm="1">
        <f t="array" ref="H378">-isDup(B378,B379,0.7)</f>
        <v>0</v>
      </c>
    </row>
    <row r="379" spans="1:8" x14ac:dyDescent="0.2">
      <c r="A379" s="3">
        <v>45344.921492997688</v>
      </c>
      <c r="B379" t="s">
        <v>509</v>
      </c>
      <c r="C379" t="s">
        <v>510</v>
      </c>
      <c r="E379">
        <v>0</v>
      </c>
      <c r="F379">
        <v>0</v>
      </c>
      <c r="G379" t="s">
        <v>2</v>
      </c>
      <c r="H379" cm="1">
        <f t="array" ref="H379">-isDup(B379,B380,0.7)</f>
        <v>0</v>
      </c>
    </row>
    <row r="380" spans="1:8" x14ac:dyDescent="0.2">
      <c r="A380" s="3">
        <v>45345.921492997688</v>
      </c>
      <c r="B380" t="s">
        <v>511</v>
      </c>
      <c r="C380" t="s">
        <v>512</v>
      </c>
      <c r="E380">
        <v>0</v>
      </c>
      <c r="F380">
        <v>1</v>
      </c>
      <c r="G380" t="s">
        <v>2</v>
      </c>
      <c r="H380" cm="1">
        <f t="array" ref="H380">-isDup(B380,B381,0.7)</f>
        <v>0</v>
      </c>
    </row>
    <row r="381" spans="1:8" x14ac:dyDescent="0.2">
      <c r="A381" s="3">
        <v>45346.921492997688</v>
      </c>
      <c r="B381" t="s">
        <v>513</v>
      </c>
      <c r="C381" t="s">
        <v>7</v>
      </c>
      <c r="E381">
        <v>0</v>
      </c>
      <c r="F381">
        <v>0</v>
      </c>
      <c r="G381" t="s">
        <v>2</v>
      </c>
      <c r="H381" cm="1">
        <f t="array" ref="H381">-isDup(B381,B382,0.7)</f>
        <v>0</v>
      </c>
    </row>
    <row r="382" spans="1:8" x14ac:dyDescent="0.2">
      <c r="A382" s="3">
        <v>45347.921492997688</v>
      </c>
      <c r="B382" t="s">
        <v>514</v>
      </c>
      <c r="C382" t="s">
        <v>262</v>
      </c>
      <c r="E382">
        <v>0</v>
      </c>
      <c r="F382">
        <v>0</v>
      </c>
      <c r="G382" t="s">
        <v>2</v>
      </c>
      <c r="H382" cm="1">
        <f t="array" ref="H382">-isDup(B382,B383,0.7)</f>
        <v>0</v>
      </c>
    </row>
    <row r="383" spans="1:8" x14ac:dyDescent="0.2">
      <c r="A383" s="3">
        <v>45348.921492997688</v>
      </c>
      <c r="B383" t="s">
        <v>515</v>
      </c>
      <c r="C383" t="s">
        <v>143</v>
      </c>
      <c r="D383" t="s">
        <v>129</v>
      </c>
      <c r="E383">
        <v>0</v>
      </c>
      <c r="F383">
        <v>0</v>
      </c>
      <c r="G383" t="s">
        <v>2</v>
      </c>
      <c r="H383" cm="1">
        <f t="array" ref="H383">-isDup(B383,B384,0.7)</f>
        <v>0</v>
      </c>
    </row>
    <row r="384" spans="1:8" x14ac:dyDescent="0.2">
      <c r="A384" s="3">
        <v>45349.921492997688</v>
      </c>
      <c r="B384" t="s">
        <v>516</v>
      </c>
      <c r="C384" t="s">
        <v>517</v>
      </c>
      <c r="E384">
        <v>0</v>
      </c>
      <c r="F384">
        <v>0</v>
      </c>
      <c r="G384" t="s">
        <v>2</v>
      </c>
      <c r="H384" cm="1">
        <f t="array" ref="H384">-isDup(B384,B385,0.7)</f>
        <v>0</v>
      </c>
    </row>
    <row r="385" spans="1:8" x14ac:dyDescent="0.2">
      <c r="A385" s="3">
        <v>45350.921492997688</v>
      </c>
      <c r="B385" t="s">
        <v>518</v>
      </c>
      <c r="C385" t="s">
        <v>134</v>
      </c>
      <c r="E385">
        <v>0</v>
      </c>
      <c r="F385">
        <v>0</v>
      </c>
      <c r="G385" t="s">
        <v>2</v>
      </c>
      <c r="H385" cm="1">
        <f t="array" ref="H385">-isDup(B385,B386,0.7)</f>
        <v>0</v>
      </c>
    </row>
    <row r="386" spans="1:8" x14ac:dyDescent="0.2">
      <c r="A386" s="3">
        <v>45351.921492997688</v>
      </c>
      <c r="B386" t="s">
        <v>519</v>
      </c>
      <c r="C386" t="s">
        <v>520</v>
      </c>
      <c r="E386">
        <v>0</v>
      </c>
      <c r="F386">
        <v>2</v>
      </c>
      <c r="G386" t="s">
        <v>2</v>
      </c>
      <c r="H386" cm="1">
        <f t="array" ref="H386">-isDup(B386,B387,0.7)</f>
        <v>0</v>
      </c>
    </row>
    <row r="387" spans="1:8" x14ac:dyDescent="0.2">
      <c r="A387" s="3">
        <v>45352.921492997688</v>
      </c>
      <c r="B387" t="s">
        <v>521</v>
      </c>
      <c r="C387" t="s">
        <v>7</v>
      </c>
      <c r="E387">
        <v>0</v>
      </c>
      <c r="F387">
        <v>0</v>
      </c>
      <c r="G387" t="s">
        <v>2</v>
      </c>
      <c r="H387" cm="1">
        <f t="array" ref="H387">-isDup(B387,B388,0.7)</f>
        <v>0</v>
      </c>
    </row>
    <row r="388" spans="1:8" x14ac:dyDescent="0.2">
      <c r="A388" s="3">
        <v>45353.921492997688</v>
      </c>
      <c r="B388" t="s">
        <v>522</v>
      </c>
      <c r="C388" t="s">
        <v>7</v>
      </c>
      <c r="E388">
        <v>0</v>
      </c>
      <c r="F388">
        <v>0</v>
      </c>
      <c r="G388" t="s">
        <v>2</v>
      </c>
      <c r="H388" cm="1">
        <f t="array" ref="H388">-isDup(B388,B389,0.7)</f>
        <v>0</v>
      </c>
    </row>
    <row r="389" spans="1:8" x14ac:dyDescent="0.2">
      <c r="A389" s="3">
        <v>45354.921492997688</v>
      </c>
      <c r="B389" t="s">
        <v>523</v>
      </c>
      <c r="C389" t="s">
        <v>382</v>
      </c>
      <c r="D389" t="s">
        <v>524</v>
      </c>
      <c r="E389">
        <v>0</v>
      </c>
      <c r="F389">
        <v>0</v>
      </c>
      <c r="G389" t="s">
        <v>2</v>
      </c>
      <c r="H389" cm="1">
        <f t="array" ref="H389">-isDup(B389,B390,0.7)</f>
        <v>0</v>
      </c>
    </row>
    <row r="390" spans="1:8" x14ac:dyDescent="0.2">
      <c r="A390" s="3">
        <v>45355.921492997688</v>
      </c>
      <c r="B390" t="s">
        <v>525</v>
      </c>
      <c r="C390" t="s">
        <v>526</v>
      </c>
      <c r="E390">
        <v>0</v>
      </c>
      <c r="F390">
        <v>0</v>
      </c>
      <c r="G390" t="s">
        <v>2</v>
      </c>
      <c r="H390" cm="1">
        <f t="array" ref="H390">-isDup(B390,B391,0.7)</f>
        <v>0</v>
      </c>
    </row>
    <row r="391" spans="1:8" x14ac:dyDescent="0.2">
      <c r="A391" s="3">
        <v>45356.921492997688</v>
      </c>
      <c r="B391" t="s">
        <v>527</v>
      </c>
      <c r="C391" t="s">
        <v>528</v>
      </c>
      <c r="D391" t="s">
        <v>529</v>
      </c>
      <c r="E391">
        <v>0</v>
      </c>
      <c r="F391">
        <v>0</v>
      </c>
      <c r="G391" t="s">
        <v>2</v>
      </c>
      <c r="H391" cm="1">
        <f t="array" ref="H391">-isDup(B391,B392,0.7)</f>
        <v>0</v>
      </c>
    </row>
    <row r="392" spans="1:8" x14ac:dyDescent="0.2">
      <c r="A392" s="3">
        <v>45357.921492997688</v>
      </c>
      <c r="B392" t="s">
        <v>530</v>
      </c>
      <c r="C392" t="s">
        <v>531</v>
      </c>
      <c r="D392" t="s">
        <v>532</v>
      </c>
      <c r="E392">
        <v>0</v>
      </c>
      <c r="F392">
        <v>2</v>
      </c>
      <c r="G392" t="s">
        <v>2</v>
      </c>
      <c r="H392" cm="1">
        <f t="array" ref="H392">-isDup(B392,B393,0.7)</f>
        <v>0</v>
      </c>
    </row>
    <row r="393" spans="1:8" x14ac:dyDescent="0.2">
      <c r="A393" s="3">
        <v>45358.921492997688</v>
      </c>
      <c r="B393" t="s">
        <v>533</v>
      </c>
      <c r="C393" t="s">
        <v>534</v>
      </c>
      <c r="E393">
        <v>0</v>
      </c>
      <c r="F393">
        <v>0</v>
      </c>
      <c r="G393" t="s">
        <v>2</v>
      </c>
      <c r="H393" cm="1">
        <f t="array" ref="H393">-isDup(B393,B394,0.7)</f>
        <v>-1</v>
      </c>
    </row>
    <row r="394" spans="1:8" x14ac:dyDescent="0.2">
      <c r="A394" s="3">
        <v>45359.921492997688</v>
      </c>
      <c r="B394" t="s">
        <v>533</v>
      </c>
      <c r="C394" t="s">
        <v>535</v>
      </c>
      <c r="E394">
        <v>0</v>
      </c>
      <c r="F394">
        <v>0</v>
      </c>
      <c r="G394" t="s">
        <v>2</v>
      </c>
      <c r="H394" cm="1">
        <f t="array" ref="H394">-isDup(B394,B395,0.7)</f>
        <v>0</v>
      </c>
    </row>
    <row r="395" spans="1:8" x14ac:dyDescent="0.2">
      <c r="A395" s="3">
        <v>45360.921492997688</v>
      </c>
      <c r="B395" t="s">
        <v>536</v>
      </c>
      <c r="C395" t="s">
        <v>7</v>
      </c>
      <c r="E395">
        <v>0</v>
      </c>
      <c r="F395">
        <v>0</v>
      </c>
      <c r="G395" t="s">
        <v>2</v>
      </c>
      <c r="H395" cm="1">
        <f t="array" ref="H395">-isDup(B395,B396,0.7)</f>
        <v>0</v>
      </c>
    </row>
    <row r="396" spans="1:8" x14ac:dyDescent="0.2">
      <c r="A396" s="3">
        <v>45361.921492997688</v>
      </c>
      <c r="B396" t="s">
        <v>218</v>
      </c>
      <c r="C396" t="s">
        <v>22</v>
      </c>
      <c r="E396">
        <v>0</v>
      </c>
      <c r="F396">
        <v>0</v>
      </c>
      <c r="G396" t="s">
        <v>2</v>
      </c>
      <c r="H396" cm="1">
        <f t="array" ref="H396">-isDup(B396,B397,0.7)</f>
        <v>-1</v>
      </c>
    </row>
    <row r="397" spans="1:8" x14ac:dyDescent="0.2">
      <c r="A397" s="3">
        <v>45362.921492997688</v>
      </c>
      <c r="B397" t="s">
        <v>218</v>
      </c>
      <c r="C397" t="s">
        <v>22</v>
      </c>
      <c r="E397">
        <v>0</v>
      </c>
      <c r="F397">
        <v>0</v>
      </c>
      <c r="G397" t="s">
        <v>2</v>
      </c>
      <c r="H397" cm="1">
        <f t="array" ref="H397">-isDup(B397,B398,0.7)</f>
        <v>0</v>
      </c>
    </row>
    <row r="398" spans="1:8" x14ac:dyDescent="0.2">
      <c r="A398" s="3">
        <v>45363.921492997688</v>
      </c>
      <c r="B398" t="s">
        <v>537</v>
      </c>
      <c r="C398" t="s">
        <v>149</v>
      </c>
      <c r="D398" t="s">
        <v>150</v>
      </c>
      <c r="E398">
        <v>0</v>
      </c>
      <c r="F398">
        <v>0</v>
      </c>
      <c r="G398" t="s">
        <v>2</v>
      </c>
      <c r="H398" cm="1">
        <f t="array" ref="H398">-isDup(B398,B399,0.7)</f>
        <v>0</v>
      </c>
    </row>
    <row r="399" spans="1:8" x14ac:dyDescent="0.2">
      <c r="A399" s="3">
        <v>45364.921492997688</v>
      </c>
      <c r="B399" t="s">
        <v>538</v>
      </c>
      <c r="C399" t="s">
        <v>98</v>
      </c>
      <c r="D399" t="s">
        <v>13</v>
      </c>
      <c r="E399">
        <v>0</v>
      </c>
      <c r="F399">
        <v>0</v>
      </c>
      <c r="G399" t="s">
        <v>2</v>
      </c>
      <c r="H399" cm="1">
        <f t="array" ref="H399">-isDup(B399,B400,0.7)</f>
        <v>0</v>
      </c>
    </row>
    <row r="400" spans="1:8" x14ac:dyDescent="0.2">
      <c r="A400" s="3">
        <v>45365.921492997688</v>
      </c>
      <c r="B400" t="s">
        <v>539</v>
      </c>
      <c r="C400" t="s">
        <v>98</v>
      </c>
      <c r="D400" t="s">
        <v>13</v>
      </c>
      <c r="E400">
        <v>0</v>
      </c>
      <c r="F400">
        <v>0</v>
      </c>
      <c r="G400" t="s">
        <v>2</v>
      </c>
      <c r="H400" cm="1">
        <f t="array" ref="H400">-isDup(B400,B401,0.7)</f>
        <v>0</v>
      </c>
    </row>
    <row r="401" spans="1:8" x14ac:dyDescent="0.2">
      <c r="A401" s="3">
        <v>45366.921492997688</v>
      </c>
      <c r="B401" t="s">
        <v>540</v>
      </c>
      <c r="C401" t="s">
        <v>98</v>
      </c>
      <c r="D401" t="s">
        <v>13</v>
      </c>
      <c r="E401">
        <v>0</v>
      </c>
      <c r="F401">
        <v>0</v>
      </c>
      <c r="G401" t="s">
        <v>2</v>
      </c>
      <c r="H401" cm="1">
        <f t="array" ref="H401">-isDup(B401,B402,0.7)</f>
        <v>0</v>
      </c>
    </row>
    <row r="402" spans="1:8" x14ac:dyDescent="0.2">
      <c r="A402" s="3">
        <v>45367.921492997688</v>
      </c>
      <c r="B402" t="s">
        <v>541</v>
      </c>
      <c r="C402" t="s">
        <v>542</v>
      </c>
      <c r="D402" t="s">
        <v>543</v>
      </c>
      <c r="E402">
        <v>0</v>
      </c>
      <c r="F402">
        <v>1</v>
      </c>
      <c r="G402" t="s">
        <v>2</v>
      </c>
      <c r="H402" cm="1">
        <f t="array" ref="H402">-isDup(B402,B403,0.7)</f>
        <v>0</v>
      </c>
    </row>
    <row r="403" spans="1:8" x14ac:dyDescent="0.2">
      <c r="A403" s="3">
        <v>45368.921492997688</v>
      </c>
      <c r="B403" t="s">
        <v>40</v>
      </c>
      <c r="C403" t="s">
        <v>542</v>
      </c>
      <c r="D403" t="s">
        <v>543</v>
      </c>
      <c r="E403">
        <v>0</v>
      </c>
      <c r="F403">
        <v>0</v>
      </c>
      <c r="G403" t="s">
        <v>2</v>
      </c>
      <c r="H403" cm="1">
        <f t="array" ref="H403">-isDup(B403,B404,0.7)</f>
        <v>0</v>
      </c>
    </row>
    <row r="404" spans="1:8" x14ac:dyDescent="0.2">
      <c r="A404" s="3">
        <v>45369.921492997688</v>
      </c>
      <c r="B404" t="s">
        <v>544</v>
      </c>
      <c r="C404" t="s">
        <v>542</v>
      </c>
      <c r="D404" t="s">
        <v>543</v>
      </c>
      <c r="E404">
        <v>1</v>
      </c>
      <c r="F404">
        <v>0</v>
      </c>
      <c r="G404" t="s">
        <v>2</v>
      </c>
      <c r="H404" cm="1">
        <f t="array" ref="H404">-isDup(B404,B405,0.7)</f>
        <v>0</v>
      </c>
    </row>
    <row r="405" spans="1:8" x14ac:dyDescent="0.2">
      <c r="A405" s="3">
        <v>45370.921492997688</v>
      </c>
      <c r="B405" t="s">
        <v>545</v>
      </c>
      <c r="C405" t="s">
        <v>546</v>
      </c>
      <c r="D405" t="s">
        <v>547</v>
      </c>
      <c r="E405">
        <v>0</v>
      </c>
      <c r="F405">
        <v>0</v>
      </c>
      <c r="G405" t="s">
        <v>2</v>
      </c>
      <c r="H405" cm="1">
        <f t="array" ref="H405">-isDup(B405,B406,0.7)</f>
        <v>0</v>
      </c>
    </row>
    <row r="406" spans="1:8" x14ac:dyDescent="0.2">
      <c r="A406" s="3">
        <v>45371.921492997688</v>
      </c>
      <c r="B406" t="s">
        <v>548</v>
      </c>
      <c r="C406" t="s">
        <v>549</v>
      </c>
      <c r="D406" t="s">
        <v>550</v>
      </c>
      <c r="E406">
        <v>0</v>
      </c>
      <c r="F406">
        <v>0</v>
      </c>
      <c r="G406" t="s">
        <v>2</v>
      </c>
      <c r="H406" cm="1">
        <f t="array" ref="H406">-isDup(B406,B407,0.7)</f>
        <v>0</v>
      </c>
    </row>
    <row r="407" spans="1:8" x14ac:dyDescent="0.2">
      <c r="A407" s="3">
        <v>45372.921492997688</v>
      </c>
      <c r="B407" t="s">
        <v>551</v>
      </c>
      <c r="C407" t="s">
        <v>552</v>
      </c>
      <c r="D407" t="s">
        <v>553</v>
      </c>
      <c r="E407">
        <v>1</v>
      </c>
      <c r="F407">
        <v>1</v>
      </c>
      <c r="G407" t="s">
        <v>2</v>
      </c>
      <c r="H407" cm="1">
        <f t="array" ref="H407">-isDup(B407,B408,0.7)</f>
        <v>0</v>
      </c>
    </row>
    <row r="408" spans="1:8" x14ac:dyDescent="0.2">
      <c r="A408" s="3">
        <v>45373.921492997688</v>
      </c>
      <c r="B408" t="s">
        <v>35</v>
      </c>
      <c r="C408" t="s">
        <v>33</v>
      </c>
      <c r="D408" t="s">
        <v>34</v>
      </c>
      <c r="E408">
        <v>0</v>
      </c>
      <c r="F408">
        <v>0</v>
      </c>
      <c r="G408" t="s">
        <v>2</v>
      </c>
      <c r="H408" cm="1">
        <f t="array" ref="H408">-isDup(B408,B409,0.7)</f>
        <v>-1</v>
      </c>
    </row>
    <row r="409" spans="1:8" x14ac:dyDescent="0.2">
      <c r="A409" s="3">
        <v>45374.921492997688</v>
      </c>
      <c r="B409" t="s">
        <v>554</v>
      </c>
      <c r="C409" t="s">
        <v>33</v>
      </c>
      <c r="D409" t="s">
        <v>34</v>
      </c>
      <c r="E409">
        <v>0</v>
      </c>
      <c r="F409">
        <v>0</v>
      </c>
      <c r="G409" t="s">
        <v>2</v>
      </c>
      <c r="H409" cm="1">
        <f t="array" ref="H409">-isDup(B409,B410,0.7)</f>
        <v>0</v>
      </c>
    </row>
    <row r="410" spans="1:8" x14ac:dyDescent="0.2">
      <c r="A410" s="3">
        <v>45375.921492997688</v>
      </c>
      <c r="B410" t="s">
        <v>36</v>
      </c>
      <c r="C410" t="s">
        <v>33</v>
      </c>
      <c r="D410" t="s">
        <v>34</v>
      </c>
      <c r="E410">
        <v>0</v>
      </c>
      <c r="F410">
        <v>0</v>
      </c>
      <c r="G410" t="s">
        <v>2</v>
      </c>
      <c r="H410" cm="1">
        <f t="array" ref="H410">-isDup(B410,B411,0.7)</f>
        <v>0</v>
      </c>
    </row>
    <row r="411" spans="1:8" x14ac:dyDescent="0.2">
      <c r="A411" s="3">
        <v>45376.921492997688</v>
      </c>
      <c r="B411" t="s">
        <v>37</v>
      </c>
      <c r="C411" t="s">
        <v>33</v>
      </c>
      <c r="D411" t="s">
        <v>34</v>
      </c>
      <c r="E411">
        <v>0</v>
      </c>
      <c r="F411">
        <v>0</v>
      </c>
      <c r="G411" t="s">
        <v>2</v>
      </c>
      <c r="H411" cm="1">
        <f t="array" ref="H411">-isDup(B411,B412,0.7)</f>
        <v>0</v>
      </c>
    </row>
    <row r="412" spans="1:8" x14ac:dyDescent="0.2">
      <c r="A412" s="3">
        <v>45377.921492997688</v>
      </c>
      <c r="B412" t="s">
        <v>555</v>
      </c>
      <c r="C412" t="s">
        <v>7</v>
      </c>
      <c r="E412">
        <v>0</v>
      </c>
      <c r="F412">
        <v>0</v>
      </c>
      <c r="G412" t="s">
        <v>2</v>
      </c>
      <c r="H412" cm="1">
        <f t="array" ref="H412">-isDup(B412,B413,0.7)</f>
        <v>0</v>
      </c>
    </row>
    <row r="413" spans="1:8" x14ac:dyDescent="0.2">
      <c r="A413" s="3">
        <v>45378.921492997688</v>
      </c>
      <c r="B413" t="s">
        <v>3</v>
      </c>
      <c r="C413" t="s">
        <v>4</v>
      </c>
      <c r="D413" t="s">
        <v>5</v>
      </c>
      <c r="E413">
        <v>0</v>
      </c>
      <c r="F413">
        <v>0</v>
      </c>
      <c r="G413" t="s">
        <v>2</v>
      </c>
      <c r="H413" cm="1">
        <f t="array" ref="H413">-isDup(B413,B414,0.7)</f>
        <v>0</v>
      </c>
    </row>
    <row r="414" spans="1:8" x14ac:dyDescent="0.2">
      <c r="A414" s="3">
        <v>45379.921492997688</v>
      </c>
      <c r="B414" t="s">
        <v>556</v>
      </c>
      <c r="C414" t="s">
        <v>557</v>
      </c>
      <c r="D414" t="s">
        <v>558</v>
      </c>
      <c r="E414">
        <v>0</v>
      </c>
      <c r="F414">
        <v>5</v>
      </c>
      <c r="G414" t="s">
        <v>2</v>
      </c>
      <c r="H414" cm="1">
        <f t="array" ref="H414">-isDup(B414,B415,0.7)</f>
        <v>0</v>
      </c>
    </row>
    <row r="415" spans="1:8" x14ac:dyDescent="0.2">
      <c r="A415" s="3">
        <v>45380.921492997688</v>
      </c>
      <c r="B415" t="s">
        <v>559</v>
      </c>
      <c r="C415" t="s">
        <v>560</v>
      </c>
      <c r="D415" t="s">
        <v>278</v>
      </c>
      <c r="E415">
        <v>0</v>
      </c>
      <c r="F415">
        <v>0</v>
      </c>
      <c r="G415" t="s">
        <v>2</v>
      </c>
      <c r="H415" cm="1">
        <f t="array" ref="H415">-isDup(B415,B416,0.7)</f>
        <v>0</v>
      </c>
    </row>
    <row r="416" spans="1:8" x14ac:dyDescent="0.2">
      <c r="A416" s="3">
        <v>45381.921492997688</v>
      </c>
      <c r="B416" t="s">
        <v>561</v>
      </c>
      <c r="C416" t="s">
        <v>439</v>
      </c>
      <c r="D416" t="s">
        <v>562</v>
      </c>
      <c r="E416">
        <v>0</v>
      </c>
      <c r="F416">
        <v>0</v>
      </c>
      <c r="G416" t="s">
        <v>2</v>
      </c>
      <c r="H416" cm="1">
        <f t="array" ref="H416">-isDup(B416,B417,0.7)</f>
        <v>0</v>
      </c>
    </row>
    <row r="417" spans="1:8" x14ac:dyDescent="0.2">
      <c r="A417" s="3">
        <v>45382.921492997688</v>
      </c>
      <c r="B417" t="s">
        <v>563</v>
      </c>
      <c r="C417" t="s">
        <v>12</v>
      </c>
      <c r="D417" t="s">
        <v>13</v>
      </c>
      <c r="E417">
        <v>0</v>
      </c>
      <c r="F417">
        <v>0</v>
      </c>
      <c r="G417" t="s">
        <v>2</v>
      </c>
      <c r="H417" cm="1">
        <f t="array" ref="H417">-isDup(B417,B418,0.7)</f>
        <v>0</v>
      </c>
    </row>
    <row r="418" spans="1:8" x14ac:dyDescent="0.2">
      <c r="A418" s="3">
        <v>45383.921492997688</v>
      </c>
      <c r="B418" t="s">
        <v>564</v>
      </c>
      <c r="C418" t="s">
        <v>7</v>
      </c>
      <c r="E418">
        <v>0</v>
      </c>
      <c r="F418">
        <v>0</v>
      </c>
      <c r="G418" t="s">
        <v>2</v>
      </c>
      <c r="H418" cm="1">
        <f t="array" ref="H418">-isDup(B418,B419,0.7)</f>
        <v>0</v>
      </c>
    </row>
    <row r="419" spans="1:8" x14ac:dyDescent="0.2">
      <c r="A419" s="3">
        <v>45384.921492997688</v>
      </c>
      <c r="B419" t="s">
        <v>565</v>
      </c>
      <c r="C419" t="s">
        <v>566</v>
      </c>
      <c r="D419" t="s">
        <v>567</v>
      </c>
      <c r="E419">
        <v>0</v>
      </c>
      <c r="F419">
        <v>1</v>
      </c>
      <c r="G419" t="s">
        <v>2</v>
      </c>
      <c r="H419" cm="1">
        <f t="array" ref="H419">-isDup(B419,B420,0.7)</f>
        <v>0</v>
      </c>
    </row>
    <row r="420" spans="1:8" x14ac:dyDescent="0.2">
      <c r="A420" s="3">
        <v>45385.921492997688</v>
      </c>
      <c r="B420" t="s">
        <v>568</v>
      </c>
      <c r="C420" t="s">
        <v>569</v>
      </c>
      <c r="E420">
        <v>0</v>
      </c>
      <c r="F420">
        <v>0</v>
      </c>
      <c r="G420" t="s">
        <v>2</v>
      </c>
      <c r="H420" cm="1">
        <f t="array" ref="H420">-isDup(B420,B421,0.7)</f>
        <v>0</v>
      </c>
    </row>
    <row r="421" spans="1:8" x14ac:dyDescent="0.2">
      <c r="A421" s="3">
        <v>45386.921492997688</v>
      </c>
      <c r="B421" t="s">
        <v>541</v>
      </c>
      <c r="C421" t="s">
        <v>102</v>
      </c>
      <c r="D421" t="s">
        <v>103</v>
      </c>
      <c r="E421">
        <v>0</v>
      </c>
      <c r="F421">
        <v>0</v>
      </c>
      <c r="G421" t="s">
        <v>2</v>
      </c>
      <c r="H421" cm="1">
        <f t="array" ref="H421">-isDup(B421,B422,0.7)</f>
        <v>0</v>
      </c>
    </row>
    <row r="422" spans="1:8" x14ac:dyDescent="0.2">
      <c r="A422" s="3">
        <v>45387.921492997688</v>
      </c>
      <c r="B422" t="s">
        <v>570</v>
      </c>
      <c r="C422" t="s">
        <v>7</v>
      </c>
      <c r="E422">
        <v>0</v>
      </c>
      <c r="F422">
        <v>0</v>
      </c>
      <c r="G422" t="s">
        <v>2</v>
      </c>
      <c r="H422" cm="1">
        <f t="array" ref="H422">-isDup(B422,B423,0.7)</f>
        <v>-1</v>
      </c>
    </row>
    <row r="423" spans="1:8" x14ac:dyDescent="0.2">
      <c r="A423" s="3">
        <v>45388.921492997688</v>
      </c>
      <c r="B423" t="s">
        <v>571</v>
      </c>
      <c r="C423" t="s">
        <v>7</v>
      </c>
      <c r="E423">
        <v>0</v>
      </c>
      <c r="F423">
        <v>0</v>
      </c>
      <c r="G423" t="s">
        <v>2</v>
      </c>
      <c r="H423" cm="1">
        <f t="array" ref="H423">-isDup(B423,B424,0.7)</f>
        <v>0</v>
      </c>
    </row>
    <row r="424" spans="1:8" x14ac:dyDescent="0.2">
      <c r="A424" s="3">
        <v>45389.921492997688</v>
      </c>
      <c r="B424" t="s">
        <v>572</v>
      </c>
      <c r="C424" t="s">
        <v>573</v>
      </c>
      <c r="D424" t="s">
        <v>574</v>
      </c>
      <c r="E424">
        <v>0</v>
      </c>
      <c r="F424">
        <v>1</v>
      </c>
      <c r="G424" t="s">
        <v>2</v>
      </c>
      <c r="H424" cm="1">
        <f t="array" ref="H424">-isDup(B424,B425,0.7)</f>
        <v>0</v>
      </c>
    </row>
    <row r="425" spans="1:8" x14ac:dyDescent="0.2">
      <c r="A425" s="3">
        <v>45390.921492997688</v>
      </c>
      <c r="B425" t="s">
        <v>575</v>
      </c>
      <c r="C425" t="s">
        <v>12</v>
      </c>
      <c r="D425" t="s">
        <v>13</v>
      </c>
      <c r="E425">
        <v>0</v>
      </c>
      <c r="F425">
        <v>0</v>
      </c>
      <c r="G425" t="s">
        <v>2</v>
      </c>
      <c r="H425" cm="1">
        <f t="array" ref="H425">-isDup(B425,B426,0.7)</f>
        <v>0</v>
      </c>
    </row>
    <row r="426" spans="1:8" x14ac:dyDescent="0.2">
      <c r="A426" s="3">
        <v>45391.921492997688</v>
      </c>
      <c r="B426" t="s">
        <v>576</v>
      </c>
      <c r="C426" t="s">
        <v>577</v>
      </c>
      <c r="D426" t="s">
        <v>55</v>
      </c>
      <c r="E426">
        <v>0</v>
      </c>
      <c r="F426">
        <v>0</v>
      </c>
      <c r="G426" t="s">
        <v>2</v>
      </c>
      <c r="H426" cm="1">
        <f t="array" ref="H426">-isDup(B426,B427,0.7)</f>
        <v>0</v>
      </c>
    </row>
    <row r="427" spans="1:8" x14ac:dyDescent="0.2">
      <c r="A427" s="3">
        <v>45392.921492997688</v>
      </c>
      <c r="B427" t="s">
        <v>578</v>
      </c>
      <c r="C427" t="s">
        <v>7</v>
      </c>
      <c r="E427">
        <v>0</v>
      </c>
      <c r="F427">
        <v>0</v>
      </c>
      <c r="G427" t="s">
        <v>2</v>
      </c>
      <c r="H427" cm="1">
        <f t="array" ref="H427">-isDup(B427,B428,0.7)</f>
        <v>-1</v>
      </c>
    </row>
    <row r="428" spans="1:8" x14ac:dyDescent="0.2">
      <c r="A428" s="3">
        <v>45393.921492997688</v>
      </c>
      <c r="B428" t="s">
        <v>579</v>
      </c>
      <c r="C428" t="s">
        <v>7</v>
      </c>
      <c r="E428">
        <v>0</v>
      </c>
      <c r="F428">
        <v>0</v>
      </c>
      <c r="G428" t="s">
        <v>2</v>
      </c>
      <c r="H428" cm="1">
        <f t="array" ref="H428">-isDup(B428,B429,0.7)</f>
        <v>-1</v>
      </c>
    </row>
    <row r="429" spans="1:8" x14ac:dyDescent="0.2">
      <c r="A429" s="3">
        <v>45394.921492997688</v>
      </c>
      <c r="B429" t="s">
        <v>580</v>
      </c>
      <c r="C429" t="s">
        <v>7</v>
      </c>
      <c r="E429">
        <v>0</v>
      </c>
      <c r="F429">
        <v>0</v>
      </c>
      <c r="G429" t="s">
        <v>2</v>
      </c>
      <c r="H429" cm="1">
        <f t="array" ref="H429">-isDup(B429,B430,0.7)</f>
        <v>0</v>
      </c>
    </row>
    <row r="430" spans="1:8" x14ac:dyDescent="0.2">
      <c r="A430" s="3">
        <v>45395.921492997688</v>
      </c>
      <c r="B430" t="s">
        <v>581</v>
      </c>
      <c r="C430" t="s">
        <v>582</v>
      </c>
      <c r="D430" t="s">
        <v>55</v>
      </c>
      <c r="E430">
        <v>0</v>
      </c>
      <c r="F430">
        <v>0</v>
      </c>
      <c r="G430" t="s">
        <v>2</v>
      </c>
      <c r="H430" cm="1">
        <f t="array" ref="H430">-isDup(B430,B431,0.7)</f>
        <v>0</v>
      </c>
    </row>
    <row r="431" spans="1:8" x14ac:dyDescent="0.2">
      <c r="A431" s="3">
        <v>45396.921492997688</v>
      </c>
      <c r="B431" t="s">
        <v>583</v>
      </c>
      <c r="C431" t="s">
        <v>7</v>
      </c>
      <c r="E431">
        <v>0</v>
      </c>
      <c r="F431">
        <v>0</v>
      </c>
      <c r="G431" t="s">
        <v>2</v>
      </c>
      <c r="H431" cm="1">
        <f t="array" ref="H431">-isDup(B431,B432,0.7)</f>
        <v>0</v>
      </c>
    </row>
    <row r="432" spans="1:8" x14ac:dyDescent="0.2">
      <c r="A432" s="3">
        <v>45397.921492997688</v>
      </c>
      <c r="B432" t="s">
        <v>584</v>
      </c>
      <c r="C432" t="s">
        <v>108</v>
      </c>
      <c r="D432" t="s">
        <v>585</v>
      </c>
      <c r="E432">
        <v>0</v>
      </c>
      <c r="F432">
        <v>6</v>
      </c>
      <c r="G432" t="s">
        <v>2</v>
      </c>
      <c r="H432" cm="1">
        <f t="array" ref="H432">-isDup(B432,B433,0.7)</f>
        <v>0</v>
      </c>
    </row>
    <row r="433" spans="1:8" x14ac:dyDescent="0.2">
      <c r="A433" s="3">
        <v>45398.921492997688</v>
      </c>
      <c r="B433" t="s">
        <v>586</v>
      </c>
      <c r="C433" t="s">
        <v>7</v>
      </c>
      <c r="E433">
        <v>0</v>
      </c>
      <c r="F433">
        <v>0</v>
      </c>
      <c r="G433" t="s">
        <v>2</v>
      </c>
      <c r="H433" cm="1">
        <f t="array" ref="H433">-isDup(B433,B434,0.7)</f>
        <v>0</v>
      </c>
    </row>
    <row r="434" spans="1:8" x14ac:dyDescent="0.2">
      <c r="A434" s="3">
        <v>45399.921492997688</v>
      </c>
      <c r="B434" t="s">
        <v>587</v>
      </c>
      <c r="C434" t="s">
        <v>588</v>
      </c>
      <c r="D434" t="s">
        <v>589</v>
      </c>
      <c r="E434">
        <v>0</v>
      </c>
      <c r="F434">
        <v>15</v>
      </c>
      <c r="G434" t="s">
        <v>2</v>
      </c>
      <c r="H434" cm="1">
        <f t="array" ref="H434">-isDup(B434,B435,0.7)</f>
        <v>0</v>
      </c>
    </row>
    <row r="435" spans="1:8" x14ac:dyDescent="0.2">
      <c r="A435" s="3">
        <v>45400.921492997688</v>
      </c>
      <c r="B435" t="s">
        <v>590</v>
      </c>
      <c r="C435" t="s">
        <v>134</v>
      </c>
      <c r="E435">
        <v>0</v>
      </c>
      <c r="F435">
        <v>0</v>
      </c>
      <c r="G435" t="s">
        <v>2</v>
      </c>
      <c r="H435" cm="1">
        <f t="array" ref="H435">-isDup(B435,B436,0.7)</f>
        <v>0</v>
      </c>
    </row>
    <row r="436" spans="1:8" x14ac:dyDescent="0.2">
      <c r="A436" s="3">
        <v>45401.921492997688</v>
      </c>
      <c r="B436" t="s">
        <v>591</v>
      </c>
      <c r="C436" t="s">
        <v>7</v>
      </c>
      <c r="E436">
        <v>0</v>
      </c>
      <c r="F436">
        <v>0</v>
      </c>
      <c r="G436" t="s">
        <v>2</v>
      </c>
      <c r="H436" cm="1">
        <f t="array" ref="H436">-isDup(B436,B437,0.7)</f>
        <v>0</v>
      </c>
    </row>
    <row r="437" spans="1:8" x14ac:dyDescent="0.2">
      <c r="A437" s="3">
        <v>45402.921492997688</v>
      </c>
      <c r="B437" t="s">
        <v>592</v>
      </c>
      <c r="C437" t="s">
        <v>593</v>
      </c>
      <c r="D437" t="s">
        <v>594</v>
      </c>
      <c r="E437">
        <v>0</v>
      </c>
      <c r="F437">
        <v>0</v>
      </c>
      <c r="G437" t="s">
        <v>2</v>
      </c>
      <c r="H437" cm="1">
        <f t="array" ref="H437">-isDup(B437,B438,0.7)</f>
        <v>0</v>
      </c>
    </row>
    <row r="438" spans="1:8" x14ac:dyDescent="0.2">
      <c r="A438" s="3">
        <v>45403.921492997688</v>
      </c>
      <c r="B438" t="s">
        <v>595</v>
      </c>
      <c r="C438" t="s">
        <v>33</v>
      </c>
      <c r="D438" t="s">
        <v>34</v>
      </c>
      <c r="E438">
        <v>0</v>
      </c>
      <c r="F438">
        <v>0</v>
      </c>
      <c r="G438" t="s">
        <v>2</v>
      </c>
      <c r="H438" cm="1">
        <f t="array" ref="H438">-isDup(B438,B439,0.7)</f>
        <v>0</v>
      </c>
    </row>
    <row r="439" spans="1:8" x14ac:dyDescent="0.2">
      <c r="A439" s="3">
        <v>45404.921492997688</v>
      </c>
      <c r="B439" t="s">
        <v>36</v>
      </c>
      <c r="C439" t="s">
        <v>33</v>
      </c>
      <c r="D439" t="s">
        <v>34</v>
      </c>
      <c r="E439">
        <v>0</v>
      </c>
      <c r="F439">
        <v>0</v>
      </c>
      <c r="G439" t="s">
        <v>2</v>
      </c>
      <c r="H439" cm="1">
        <f t="array" ref="H439">-isDup(B439,B440,0.7)</f>
        <v>0</v>
      </c>
    </row>
    <row r="440" spans="1:8" x14ac:dyDescent="0.2">
      <c r="A440" s="3">
        <v>45405.921492997688</v>
      </c>
      <c r="B440" t="s">
        <v>35</v>
      </c>
      <c r="C440" t="s">
        <v>33</v>
      </c>
      <c r="D440" t="s">
        <v>34</v>
      </c>
      <c r="E440">
        <v>0</v>
      </c>
      <c r="F440">
        <v>0</v>
      </c>
      <c r="G440" t="s">
        <v>2</v>
      </c>
      <c r="H440" cm="1">
        <f t="array" ref="H440">-isDup(B440,B441,0.7)</f>
        <v>-1</v>
      </c>
    </row>
    <row r="441" spans="1:8" x14ac:dyDescent="0.2">
      <c r="A441" s="3">
        <v>45406.921492997688</v>
      </c>
      <c r="B441" t="s">
        <v>37</v>
      </c>
      <c r="C441" t="s">
        <v>33</v>
      </c>
      <c r="D441" t="s">
        <v>34</v>
      </c>
      <c r="E441">
        <v>0</v>
      </c>
      <c r="F441">
        <v>0</v>
      </c>
      <c r="G441" t="s">
        <v>2</v>
      </c>
      <c r="H441" cm="1">
        <f t="array" ref="H441">-isDup(B441,B442,0.7)</f>
        <v>0</v>
      </c>
    </row>
    <row r="442" spans="1:8" x14ac:dyDescent="0.2">
      <c r="A442" s="3">
        <v>45407.921492997688</v>
      </c>
      <c r="B442" t="s">
        <v>287</v>
      </c>
      <c r="C442" t="s">
        <v>33</v>
      </c>
      <c r="D442" t="s">
        <v>34</v>
      </c>
      <c r="E442">
        <v>0</v>
      </c>
      <c r="F442">
        <v>0</v>
      </c>
      <c r="G442" t="s">
        <v>2</v>
      </c>
      <c r="H442" cm="1">
        <f t="array" ref="H442">-isDup(B442,B443,0.7)</f>
        <v>0</v>
      </c>
    </row>
    <row r="443" spans="1:8" x14ac:dyDescent="0.2">
      <c r="A443" s="3">
        <v>45408.921492997688</v>
      </c>
      <c r="B443" t="s">
        <v>596</v>
      </c>
      <c r="C443" t="s">
        <v>597</v>
      </c>
      <c r="D443" t="s">
        <v>5</v>
      </c>
      <c r="E443">
        <v>0</v>
      </c>
      <c r="F443">
        <v>0</v>
      </c>
      <c r="G443" t="s">
        <v>2</v>
      </c>
      <c r="H443" cm="1">
        <f t="array" ref="H443">-isDup(B443,B444,0.7)</f>
        <v>0</v>
      </c>
    </row>
    <row r="444" spans="1:8" x14ac:dyDescent="0.2">
      <c r="A444" s="3">
        <v>45409.921492997688</v>
      </c>
      <c r="B444" t="s">
        <v>3</v>
      </c>
      <c r="C444" t="s">
        <v>4</v>
      </c>
      <c r="D444" t="s">
        <v>5</v>
      </c>
      <c r="E444">
        <v>0</v>
      </c>
      <c r="F444">
        <v>0</v>
      </c>
      <c r="G444" t="s">
        <v>2</v>
      </c>
      <c r="H444" cm="1">
        <f t="array" ref="H444">-isDup(B444,B445,0.7)</f>
        <v>0</v>
      </c>
    </row>
    <row r="445" spans="1:8" x14ac:dyDescent="0.2">
      <c r="A445" s="3">
        <v>45410.921492997688</v>
      </c>
      <c r="B445" t="s">
        <v>598</v>
      </c>
      <c r="C445" t="s">
        <v>12</v>
      </c>
      <c r="D445" t="s">
        <v>13</v>
      </c>
      <c r="E445">
        <v>0</v>
      </c>
      <c r="F445">
        <v>0</v>
      </c>
      <c r="G445" t="s">
        <v>2</v>
      </c>
      <c r="H445" cm="1">
        <f t="array" ref="H445">-isDup(B445,B446,0.7)</f>
        <v>0</v>
      </c>
    </row>
    <row r="446" spans="1:8" x14ac:dyDescent="0.2">
      <c r="A446" s="3">
        <v>45411.921492997688</v>
      </c>
      <c r="B446" t="s">
        <v>599</v>
      </c>
      <c r="C446" t="s">
        <v>7</v>
      </c>
      <c r="E446">
        <v>0</v>
      </c>
      <c r="F446">
        <v>0</v>
      </c>
      <c r="G446" t="s">
        <v>2</v>
      </c>
      <c r="H446" cm="1">
        <f t="array" ref="H446">-isDup(B446,B447,0.7)</f>
        <v>0</v>
      </c>
    </row>
    <row r="447" spans="1:8" x14ac:dyDescent="0.2">
      <c r="A447" s="3">
        <v>45412.921492997688</v>
      </c>
      <c r="B447" t="s">
        <v>600</v>
      </c>
      <c r="C447" t="s">
        <v>12</v>
      </c>
      <c r="D447" t="s">
        <v>13</v>
      </c>
      <c r="E447">
        <v>0</v>
      </c>
      <c r="F447">
        <v>0</v>
      </c>
      <c r="G447" t="s">
        <v>2</v>
      </c>
      <c r="H447" cm="1">
        <f t="array" ref="H447">-isDup(B447,B448,0.7)</f>
        <v>0</v>
      </c>
    </row>
    <row r="448" spans="1:8" x14ac:dyDescent="0.2">
      <c r="A448" s="3">
        <v>45413.921492997688</v>
      </c>
      <c r="B448" t="s">
        <v>601</v>
      </c>
      <c r="C448" t="s">
        <v>602</v>
      </c>
      <c r="D448" t="s">
        <v>603</v>
      </c>
      <c r="E448">
        <v>8</v>
      </c>
      <c r="F448">
        <v>12</v>
      </c>
      <c r="G448" t="s">
        <v>2</v>
      </c>
      <c r="H448" cm="1">
        <f t="array" ref="H448">-isDup(B448,B449,0.7)</f>
        <v>0</v>
      </c>
    </row>
    <row r="449" spans="1:8" x14ac:dyDescent="0.2">
      <c r="A449" s="3">
        <v>45414.921492997688</v>
      </c>
      <c r="B449" t="s">
        <v>604</v>
      </c>
      <c r="C449" t="s">
        <v>605</v>
      </c>
      <c r="E449">
        <v>0</v>
      </c>
      <c r="F449">
        <v>0</v>
      </c>
      <c r="G449" t="s">
        <v>2</v>
      </c>
      <c r="H449" cm="1">
        <f t="array" ref="H449">-isDup(B449,B450,0.7)</f>
        <v>0</v>
      </c>
    </row>
    <row r="450" spans="1:8" x14ac:dyDescent="0.2">
      <c r="A450" s="3">
        <v>45415.921492997688</v>
      </c>
      <c r="B450" t="s">
        <v>606</v>
      </c>
      <c r="C450" t="s">
        <v>7</v>
      </c>
      <c r="E450">
        <v>0</v>
      </c>
      <c r="F450">
        <v>0</v>
      </c>
      <c r="G450" t="s">
        <v>2</v>
      </c>
      <c r="H450" cm="1">
        <f t="array" ref="H450">-isDup(B450,B451,0.7)</f>
        <v>0</v>
      </c>
    </row>
    <row r="451" spans="1:8" x14ac:dyDescent="0.2">
      <c r="A451" s="3">
        <v>45416.921492997688</v>
      </c>
      <c r="B451" t="s">
        <v>607</v>
      </c>
      <c r="C451" t="s">
        <v>608</v>
      </c>
      <c r="D451" t="s">
        <v>609</v>
      </c>
      <c r="E451">
        <v>0</v>
      </c>
      <c r="F451">
        <v>0</v>
      </c>
      <c r="G451" t="s">
        <v>2</v>
      </c>
      <c r="H451" cm="1">
        <f t="array" ref="H451">-isDup(B451,B452,0.7)</f>
        <v>0</v>
      </c>
    </row>
    <row r="452" spans="1:8" x14ac:dyDescent="0.2">
      <c r="A452" s="3">
        <v>45417.921492997688</v>
      </c>
      <c r="B452" t="s">
        <v>610</v>
      </c>
      <c r="C452" t="s">
        <v>611</v>
      </c>
      <c r="D452" t="s">
        <v>491</v>
      </c>
      <c r="E452">
        <v>0</v>
      </c>
      <c r="F452">
        <v>1</v>
      </c>
      <c r="G452" t="s">
        <v>2</v>
      </c>
      <c r="H452" cm="1">
        <f t="array" ref="H452">-isDup(B452,B453,0.7)</f>
        <v>0</v>
      </c>
    </row>
    <row r="453" spans="1:8" x14ac:dyDescent="0.2">
      <c r="A453" s="3">
        <v>45418.921492997688</v>
      </c>
      <c r="B453" t="s">
        <v>21</v>
      </c>
      <c r="C453" t="s">
        <v>22</v>
      </c>
      <c r="E453">
        <v>0</v>
      </c>
      <c r="F453">
        <v>0</v>
      </c>
      <c r="G453" t="s">
        <v>2</v>
      </c>
      <c r="H453" cm="1">
        <f t="array" ref="H453">-isDup(B453,B454,0.7)</f>
        <v>0</v>
      </c>
    </row>
    <row r="454" spans="1:8" x14ac:dyDescent="0.2">
      <c r="A454" s="3">
        <v>45419.921492997688</v>
      </c>
      <c r="B454" t="s">
        <v>612</v>
      </c>
      <c r="C454" t="s">
        <v>7</v>
      </c>
      <c r="E454">
        <v>0</v>
      </c>
      <c r="F454">
        <v>0</v>
      </c>
      <c r="G454" t="s">
        <v>2</v>
      </c>
      <c r="H454" cm="1">
        <f t="array" ref="H454">-isDup(B454,B455,0.7)</f>
        <v>0</v>
      </c>
    </row>
    <row r="455" spans="1:8" x14ac:dyDescent="0.2">
      <c r="A455" s="3">
        <v>45420.921492997688</v>
      </c>
      <c r="B455" t="s">
        <v>613</v>
      </c>
      <c r="C455" t="s">
        <v>614</v>
      </c>
      <c r="D455" t="s">
        <v>278</v>
      </c>
      <c r="E455">
        <v>2</v>
      </c>
      <c r="F455">
        <v>1</v>
      </c>
      <c r="G455" t="s">
        <v>2</v>
      </c>
      <c r="H455" cm="1">
        <f t="array" ref="H455">-isDup(B455,B456,0.7)</f>
        <v>0</v>
      </c>
    </row>
    <row r="456" spans="1:8" x14ac:dyDescent="0.2">
      <c r="A456" s="3">
        <v>45421.921492997688</v>
      </c>
      <c r="B456" t="s">
        <v>615</v>
      </c>
      <c r="C456" t="s">
        <v>616</v>
      </c>
      <c r="D456" t="s">
        <v>617</v>
      </c>
      <c r="E456">
        <v>0</v>
      </c>
      <c r="F456">
        <v>1</v>
      </c>
      <c r="G456" t="s">
        <v>2</v>
      </c>
      <c r="H456" cm="1">
        <f t="array" ref="H456">-isDup(B456,B457,0.7)</f>
        <v>0</v>
      </c>
    </row>
    <row r="457" spans="1:8" x14ac:dyDescent="0.2">
      <c r="A457" s="3">
        <v>45422.921492997688</v>
      </c>
      <c r="B457" t="s">
        <v>618</v>
      </c>
      <c r="C457" t="s">
        <v>7</v>
      </c>
      <c r="E457">
        <v>0</v>
      </c>
      <c r="F457">
        <v>0</v>
      </c>
      <c r="G457" t="s">
        <v>2</v>
      </c>
      <c r="H457" cm="1">
        <f t="array" ref="H457">-isDup(B457,B458,0.7)</f>
        <v>0</v>
      </c>
    </row>
    <row r="458" spans="1:8" x14ac:dyDescent="0.2">
      <c r="A458" s="3">
        <v>45423.921492997688</v>
      </c>
      <c r="B458" t="s">
        <v>619</v>
      </c>
      <c r="C458" t="s">
        <v>620</v>
      </c>
      <c r="D458" t="s">
        <v>621</v>
      </c>
      <c r="E458">
        <v>0</v>
      </c>
      <c r="F458">
        <v>1</v>
      </c>
      <c r="G458" t="s">
        <v>2</v>
      </c>
      <c r="H458" cm="1">
        <f t="array" ref="H458">-isDup(B458,B459,0.7)</f>
        <v>0</v>
      </c>
    </row>
    <row r="459" spans="1:8" x14ac:dyDescent="0.2">
      <c r="A459" s="3">
        <v>45424.921492997688</v>
      </c>
      <c r="B459" t="s">
        <v>622</v>
      </c>
      <c r="C459" t="s">
        <v>341</v>
      </c>
      <c r="D459" t="s">
        <v>342</v>
      </c>
      <c r="E459">
        <v>1</v>
      </c>
      <c r="F459">
        <v>0</v>
      </c>
      <c r="G459" t="s">
        <v>2</v>
      </c>
      <c r="H459" cm="1">
        <f t="array" ref="H459">-isDup(B459,B460,0.7)</f>
        <v>0</v>
      </c>
    </row>
    <row r="460" spans="1:8" x14ac:dyDescent="0.2">
      <c r="A460" s="3">
        <v>45425.921492997688</v>
      </c>
      <c r="B460" t="s">
        <v>623</v>
      </c>
      <c r="C460" t="s">
        <v>624</v>
      </c>
      <c r="D460" t="s">
        <v>410</v>
      </c>
      <c r="E460">
        <v>0</v>
      </c>
      <c r="F460">
        <v>1</v>
      </c>
      <c r="G460" t="s">
        <v>2</v>
      </c>
      <c r="H460" cm="1">
        <f t="array" ref="H460">-isDup(B460,B461,0.7)</f>
        <v>0</v>
      </c>
    </row>
    <row r="461" spans="1:8" x14ac:dyDescent="0.2">
      <c r="A461" s="3">
        <v>45426.921492997688</v>
      </c>
      <c r="B461" t="s">
        <v>625</v>
      </c>
      <c r="C461" t="s">
        <v>626</v>
      </c>
      <c r="D461" t="s">
        <v>627</v>
      </c>
      <c r="E461">
        <v>0</v>
      </c>
      <c r="F461">
        <v>1</v>
      </c>
      <c r="G461" t="s">
        <v>2</v>
      </c>
      <c r="H461" cm="1">
        <f t="array" ref="H461">-isDup(B461,B462,0.7)</f>
        <v>0</v>
      </c>
    </row>
    <row r="462" spans="1:8" x14ac:dyDescent="0.2">
      <c r="A462" s="3">
        <v>45427.921492997688</v>
      </c>
      <c r="B462" t="s">
        <v>628</v>
      </c>
      <c r="C462" t="s">
        <v>629</v>
      </c>
      <c r="E462">
        <v>0</v>
      </c>
      <c r="F462">
        <v>0</v>
      </c>
      <c r="G462" t="s">
        <v>2</v>
      </c>
      <c r="H462" cm="1">
        <f t="array" ref="H462">-isDup(B462,B463,0.7)</f>
        <v>0</v>
      </c>
    </row>
    <row r="463" spans="1:8" x14ac:dyDescent="0.2">
      <c r="A463" s="3">
        <v>45428.921492997688</v>
      </c>
      <c r="B463" t="s">
        <v>630</v>
      </c>
      <c r="C463" t="s">
        <v>7</v>
      </c>
      <c r="E463">
        <v>0</v>
      </c>
      <c r="F463">
        <v>0</v>
      </c>
      <c r="G463" t="s">
        <v>2</v>
      </c>
      <c r="H463" cm="1">
        <f t="array" ref="H463">-isDup(B463,B464,0.7)</f>
        <v>0</v>
      </c>
    </row>
    <row r="464" spans="1:8" x14ac:dyDescent="0.2">
      <c r="A464" s="3">
        <v>45429.921492997688</v>
      </c>
      <c r="B464" t="s">
        <v>631</v>
      </c>
      <c r="C464" t="s">
        <v>632</v>
      </c>
      <c r="D464" t="s">
        <v>633</v>
      </c>
      <c r="E464">
        <v>0</v>
      </c>
      <c r="F464">
        <v>2</v>
      </c>
      <c r="G464" t="s">
        <v>2</v>
      </c>
      <c r="H464" cm="1">
        <f t="array" ref="H464">-isDup(B464,B465,0.7)</f>
        <v>0</v>
      </c>
    </row>
    <row r="465" spans="1:8" x14ac:dyDescent="0.2">
      <c r="A465" s="3">
        <v>45430.921492997688</v>
      </c>
      <c r="B465" t="s">
        <v>634</v>
      </c>
      <c r="C465" t="s">
        <v>294</v>
      </c>
      <c r="E465">
        <v>0</v>
      </c>
      <c r="F465">
        <v>2</v>
      </c>
      <c r="G465" t="s">
        <v>2</v>
      </c>
      <c r="H465" cm="1">
        <f t="array" ref="H465">-isDup(B465,B466,0.7)</f>
        <v>0</v>
      </c>
    </row>
    <row r="466" spans="1:8" x14ac:dyDescent="0.2">
      <c r="A466" s="3">
        <v>45431.921492997688</v>
      </c>
      <c r="B466" t="s">
        <v>635</v>
      </c>
      <c r="C466" t="s">
        <v>636</v>
      </c>
      <c r="E466">
        <v>0</v>
      </c>
      <c r="F466">
        <v>1</v>
      </c>
      <c r="G466" t="s">
        <v>2</v>
      </c>
      <c r="H466" cm="1">
        <f t="array" ref="H466">-isDup(B466,B467,0.7)</f>
        <v>0</v>
      </c>
    </row>
    <row r="467" spans="1:8" x14ac:dyDescent="0.2">
      <c r="A467" s="3">
        <v>45432.921492997688</v>
      </c>
      <c r="B467" t="s">
        <v>637</v>
      </c>
      <c r="C467" t="s">
        <v>7</v>
      </c>
      <c r="E467">
        <v>0</v>
      </c>
      <c r="F467">
        <v>0</v>
      </c>
      <c r="G467" t="s">
        <v>2</v>
      </c>
      <c r="H467" cm="1">
        <f t="array" ref="H467">-isDup(B467,B468,0.7)</f>
        <v>0</v>
      </c>
    </row>
    <row r="468" spans="1:8" x14ac:dyDescent="0.2">
      <c r="A468" s="3">
        <v>45433.921492997688</v>
      </c>
      <c r="B468" t="s">
        <v>638</v>
      </c>
      <c r="C468" t="s">
        <v>7</v>
      </c>
      <c r="E468">
        <v>0</v>
      </c>
      <c r="F468">
        <v>0</v>
      </c>
      <c r="G468" t="s">
        <v>2</v>
      </c>
      <c r="H468" cm="1">
        <f t="array" ref="H468">-isDup(B468,B469,0.7)</f>
        <v>0</v>
      </c>
    </row>
    <row r="469" spans="1:8" x14ac:dyDescent="0.2">
      <c r="A469" s="3">
        <v>45434.921492997688</v>
      </c>
      <c r="B469" t="s">
        <v>639</v>
      </c>
      <c r="C469" t="s">
        <v>640</v>
      </c>
      <c r="D469" t="s">
        <v>641</v>
      </c>
      <c r="E469">
        <v>0</v>
      </c>
      <c r="F469">
        <v>0</v>
      </c>
      <c r="G469" t="s">
        <v>2</v>
      </c>
      <c r="H469" cm="1">
        <f t="array" ref="H469">-isDup(B469,B470,0.7)</f>
        <v>0</v>
      </c>
    </row>
    <row r="470" spans="1:8" x14ac:dyDescent="0.2">
      <c r="A470" s="3">
        <v>45435.921492997688</v>
      </c>
      <c r="B470" t="s">
        <v>642</v>
      </c>
      <c r="C470" t="s">
        <v>643</v>
      </c>
      <c r="E470">
        <v>0</v>
      </c>
      <c r="F470">
        <v>0</v>
      </c>
      <c r="G470" t="s">
        <v>2</v>
      </c>
      <c r="H470" cm="1">
        <f t="array" ref="H470">-isDup(B470,B471,0.7)</f>
        <v>0</v>
      </c>
    </row>
    <row r="471" spans="1:8" x14ac:dyDescent="0.2">
      <c r="A471" s="3">
        <v>45436.921492997688</v>
      </c>
      <c r="B471" t="s">
        <v>644</v>
      </c>
      <c r="C471" t="s">
        <v>4</v>
      </c>
      <c r="D471" t="s">
        <v>5</v>
      </c>
      <c r="E471">
        <v>0</v>
      </c>
      <c r="F471">
        <v>0</v>
      </c>
      <c r="G471" t="s">
        <v>2</v>
      </c>
      <c r="H471" cm="1">
        <f t="array" ref="H471">-isDup(B471,B472,0.7)</f>
        <v>0</v>
      </c>
    </row>
    <row r="472" spans="1:8" x14ac:dyDescent="0.2">
      <c r="A472" s="3">
        <v>45437.921492997688</v>
      </c>
      <c r="B472" t="s">
        <v>645</v>
      </c>
      <c r="C472" t="s">
        <v>7</v>
      </c>
      <c r="E472">
        <v>0</v>
      </c>
      <c r="F472">
        <v>0</v>
      </c>
      <c r="G472" t="s">
        <v>2</v>
      </c>
      <c r="H472" cm="1">
        <f t="array" ref="H472">-isDup(B472,B473,0.7)</f>
        <v>0</v>
      </c>
    </row>
    <row r="473" spans="1:8" x14ac:dyDescent="0.2">
      <c r="A473" s="3">
        <v>45438.921492997688</v>
      </c>
      <c r="B473" t="s">
        <v>646</v>
      </c>
      <c r="C473" t="s">
        <v>143</v>
      </c>
      <c r="D473" t="s">
        <v>129</v>
      </c>
      <c r="E473">
        <v>0</v>
      </c>
      <c r="F473">
        <v>0</v>
      </c>
      <c r="G473" t="s">
        <v>2</v>
      </c>
      <c r="H473" cm="1">
        <f t="array" ref="H473">-isDup(B473,B474,0.7)</f>
        <v>0</v>
      </c>
    </row>
    <row r="474" spans="1:8" x14ac:dyDescent="0.2">
      <c r="A474" s="3">
        <v>45439.921492997688</v>
      </c>
      <c r="B474" t="s">
        <v>647</v>
      </c>
      <c r="C474" t="s">
        <v>648</v>
      </c>
      <c r="E474">
        <v>0</v>
      </c>
      <c r="F474">
        <v>0</v>
      </c>
      <c r="G474" t="s">
        <v>2</v>
      </c>
      <c r="H474" cm="1">
        <f t="array" ref="H474">-isDup(B474,B475,0.7)</f>
        <v>0</v>
      </c>
    </row>
    <row r="475" spans="1:8" x14ac:dyDescent="0.2">
      <c r="A475" s="3">
        <v>45440.921492997688</v>
      </c>
      <c r="B475" t="s">
        <v>649</v>
      </c>
      <c r="C475" t="s">
        <v>605</v>
      </c>
      <c r="E475">
        <v>0</v>
      </c>
      <c r="F475">
        <v>0</v>
      </c>
      <c r="G475" t="s">
        <v>2</v>
      </c>
      <c r="H475" cm="1">
        <f t="array" ref="H475">-isDup(B475,B476,0.7)</f>
        <v>0</v>
      </c>
    </row>
    <row r="476" spans="1:8" x14ac:dyDescent="0.2">
      <c r="A476" s="3">
        <v>45441.921492997688</v>
      </c>
      <c r="B476" t="s">
        <v>226</v>
      </c>
      <c r="C476" t="s">
        <v>33</v>
      </c>
      <c r="D476" t="s">
        <v>34</v>
      </c>
      <c r="E476">
        <v>0</v>
      </c>
      <c r="F476">
        <v>0</v>
      </c>
      <c r="G476" t="s">
        <v>2</v>
      </c>
      <c r="H476" cm="1">
        <f t="array" ref="H476">-isDup(B476,B477,0.7)</f>
        <v>-1</v>
      </c>
    </row>
    <row r="477" spans="1:8" x14ac:dyDescent="0.2">
      <c r="A477" s="3">
        <v>45442.921492997688</v>
      </c>
      <c r="B477" t="s">
        <v>229</v>
      </c>
      <c r="C477" t="s">
        <v>33</v>
      </c>
      <c r="D477" t="s">
        <v>34</v>
      </c>
      <c r="E477">
        <v>0</v>
      </c>
      <c r="F477">
        <v>0</v>
      </c>
      <c r="G477" t="s">
        <v>2</v>
      </c>
      <c r="H477" cm="1">
        <f t="array" ref="H477">-isDup(B477,B478,0.7)</f>
        <v>0</v>
      </c>
    </row>
    <row r="478" spans="1:8" x14ac:dyDescent="0.2">
      <c r="A478" s="3">
        <v>45443.921492997688</v>
      </c>
      <c r="B478" t="s">
        <v>225</v>
      </c>
      <c r="C478" t="s">
        <v>33</v>
      </c>
      <c r="D478" t="s">
        <v>34</v>
      </c>
      <c r="E478">
        <v>0</v>
      </c>
      <c r="F478">
        <v>0</v>
      </c>
      <c r="G478" t="s">
        <v>2</v>
      </c>
      <c r="H478" cm="1">
        <f t="array" ref="H478">-isDup(B478,B479,0.7)</f>
        <v>0</v>
      </c>
    </row>
    <row r="479" spans="1:8" x14ac:dyDescent="0.2">
      <c r="A479" s="3">
        <v>45444.921492997688</v>
      </c>
      <c r="B479" t="s">
        <v>227</v>
      </c>
      <c r="C479" t="s">
        <v>33</v>
      </c>
      <c r="D479" t="s">
        <v>34</v>
      </c>
      <c r="E479">
        <v>0</v>
      </c>
      <c r="F479">
        <v>0</v>
      </c>
      <c r="G479" t="s">
        <v>2</v>
      </c>
      <c r="H479" cm="1">
        <f t="array" ref="H479">-isDup(B479,B480,0.7)</f>
        <v>0</v>
      </c>
    </row>
    <row r="480" spans="1:8" x14ac:dyDescent="0.2">
      <c r="A480" s="3">
        <v>45445.921492997688</v>
      </c>
      <c r="B480" t="s">
        <v>224</v>
      </c>
      <c r="C480" t="s">
        <v>33</v>
      </c>
      <c r="D480" t="s">
        <v>34</v>
      </c>
      <c r="E480">
        <v>0</v>
      </c>
      <c r="F480">
        <v>0</v>
      </c>
      <c r="G480" t="s">
        <v>2</v>
      </c>
      <c r="H480" cm="1">
        <f t="array" ref="H480">-isDup(B480,B481,0.7)</f>
        <v>0</v>
      </c>
    </row>
    <row r="481" spans="1:8" x14ac:dyDescent="0.2">
      <c r="A481" s="3">
        <v>45446.921492997688</v>
      </c>
      <c r="B481" t="s">
        <v>230</v>
      </c>
      <c r="C481" t="s">
        <v>33</v>
      </c>
      <c r="D481" t="s">
        <v>34</v>
      </c>
      <c r="E481">
        <v>0</v>
      </c>
      <c r="F481">
        <v>0</v>
      </c>
      <c r="G481" t="s">
        <v>2</v>
      </c>
      <c r="H481" cm="1">
        <f t="array" ref="H481">-isDup(B481,B482,0.7)</f>
        <v>0</v>
      </c>
    </row>
    <row r="482" spans="1:8" x14ac:dyDescent="0.2">
      <c r="A482" s="3">
        <v>45447.921492997688</v>
      </c>
      <c r="B482" t="s">
        <v>231</v>
      </c>
      <c r="C482" t="s">
        <v>33</v>
      </c>
      <c r="D482" t="s">
        <v>34</v>
      </c>
      <c r="E482">
        <v>0</v>
      </c>
      <c r="F482">
        <v>0</v>
      </c>
      <c r="G482" t="s">
        <v>2</v>
      </c>
      <c r="H482" cm="1">
        <f t="array" ref="H482">-isDup(B482,B483,0.7)</f>
        <v>0</v>
      </c>
    </row>
    <row r="483" spans="1:8" x14ac:dyDescent="0.2">
      <c r="A483" s="3">
        <v>45448.921492997688</v>
      </c>
      <c r="B483" t="s">
        <v>228</v>
      </c>
      <c r="C483" t="s">
        <v>33</v>
      </c>
      <c r="D483" t="s">
        <v>34</v>
      </c>
      <c r="E483">
        <v>0</v>
      </c>
      <c r="F483">
        <v>0</v>
      </c>
      <c r="G483" t="s">
        <v>2</v>
      </c>
      <c r="H483" cm="1">
        <f t="array" ref="H483">-isDup(B483,B484,0.7)</f>
        <v>0</v>
      </c>
    </row>
    <row r="484" spans="1:8" x14ac:dyDescent="0.2">
      <c r="A484" s="3">
        <v>45449.921492997688</v>
      </c>
      <c r="B484" t="s">
        <v>650</v>
      </c>
      <c r="C484" t="s">
        <v>651</v>
      </c>
      <c r="D484" t="s">
        <v>652</v>
      </c>
      <c r="E484">
        <v>0</v>
      </c>
      <c r="F484">
        <v>1</v>
      </c>
      <c r="G484" t="s">
        <v>2</v>
      </c>
      <c r="H484" cm="1">
        <f t="array" ref="H484">-isDup(B484,B485,0.7)</f>
        <v>0</v>
      </c>
    </row>
    <row r="485" spans="1:8" x14ac:dyDescent="0.2">
      <c r="A485" s="3">
        <v>45450.921492997688</v>
      </c>
      <c r="B485" t="s">
        <v>653</v>
      </c>
      <c r="C485" t="s">
        <v>7</v>
      </c>
      <c r="E485">
        <v>0</v>
      </c>
      <c r="F485">
        <v>0</v>
      </c>
      <c r="G485" t="s">
        <v>2</v>
      </c>
      <c r="H485" cm="1">
        <f t="array" ref="H485">-isDup(B485,B486,0.7)</f>
        <v>0</v>
      </c>
    </row>
    <row r="486" spans="1:8" x14ac:dyDescent="0.2">
      <c r="A486" s="3">
        <v>45451.921492997688</v>
      </c>
      <c r="B486" t="s">
        <v>654</v>
      </c>
      <c r="C486" t="s">
        <v>286</v>
      </c>
      <c r="E486">
        <v>0</v>
      </c>
      <c r="F486">
        <v>0</v>
      </c>
      <c r="G486" t="s">
        <v>2</v>
      </c>
      <c r="H486" cm="1">
        <f t="array" ref="H486">-isDup(B486,B487,0.7)</f>
        <v>0</v>
      </c>
    </row>
    <row r="487" spans="1:8" x14ac:dyDescent="0.2">
      <c r="A487" s="3">
        <v>45452.921492997688</v>
      </c>
      <c r="B487" t="s">
        <v>655</v>
      </c>
      <c r="C487" t="s">
        <v>656</v>
      </c>
      <c r="D487" t="s">
        <v>657</v>
      </c>
      <c r="E487">
        <v>0</v>
      </c>
      <c r="F487">
        <v>2</v>
      </c>
      <c r="G487" t="s">
        <v>2</v>
      </c>
      <c r="H487" cm="1">
        <f t="array" ref="H487">-isDup(B487,B488,0.7)</f>
        <v>0</v>
      </c>
    </row>
    <row r="488" spans="1:8" x14ac:dyDescent="0.2">
      <c r="A488" s="3">
        <v>45453.921492997688</v>
      </c>
      <c r="B488" t="s">
        <v>658</v>
      </c>
      <c r="C488" t="s">
        <v>7</v>
      </c>
      <c r="E488">
        <v>0</v>
      </c>
      <c r="F488">
        <v>0</v>
      </c>
      <c r="G488" t="s">
        <v>2</v>
      </c>
      <c r="H488" cm="1">
        <f t="array" ref="H488">-isDup(B488,B489,0.7)</f>
        <v>0</v>
      </c>
    </row>
    <row r="489" spans="1:8" x14ac:dyDescent="0.2">
      <c r="A489" s="3">
        <v>45454.921492997688</v>
      </c>
      <c r="B489" t="s">
        <v>169</v>
      </c>
      <c r="C489" t="s">
        <v>143</v>
      </c>
      <c r="D489" t="s">
        <v>129</v>
      </c>
      <c r="E489">
        <v>0</v>
      </c>
      <c r="F489">
        <v>0</v>
      </c>
      <c r="G489" t="s">
        <v>2</v>
      </c>
      <c r="H489" cm="1">
        <f t="array" ref="H489">-isDup(B489,B490,0.7)</f>
        <v>0</v>
      </c>
    </row>
    <row r="490" spans="1:8" x14ac:dyDescent="0.2">
      <c r="A490" s="3">
        <v>45455.921492997688</v>
      </c>
      <c r="B490" t="s">
        <v>659</v>
      </c>
      <c r="C490" t="s">
        <v>7</v>
      </c>
      <c r="E490">
        <v>0</v>
      </c>
      <c r="F490">
        <v>0</v>
      </c>
      <c r="G490" t="s">
        <v>2</v>
      </c>
      <c r="H490" cm="1">
        <f t="array" ref="H490">-isDup(B490,B491,0.7)</f>
        <v>0</v>
      </c>
    </row>
    <row r="491" spans="1:8" x14ac:dyDescent="0.2">
      <c r="A491" s="3">
        <v>45456.921492997688</v>
      </c>
      <c r="B491" t="s">
        <v>3</v>
      </c>
      <c r="C491" t="s">
        <v>4</v>
      </c>
      <c r="D491" t="s">
        <v>5</v>
      </c>
      <c r="E491">
        <v>0</v>
      </c>
      <c r="F491">
        <v>0</v>
      </c>
      <c r="G491" t="s">
        <v>2</v>
      </c>
      <c r="H491" cm="1">
        <f t="array" ref="H491">-isDup(B491,B492,0.7)</f>
        <v>0</v>
      </c>
    </row>
    <row r="492" spans="1:8" x14ac:dyDescent="0.2">
      <c r="A492" s="3">
        <v>45457.921492997688</v>
      </c>
      <c r="B492" t="s">
        <v>660</v>
      </c>
      <c r="C492" t="s">
        <v>593</v>
      </c>
      <c r="D492" t="s">
        <v>661</v>
      </c>
      <c r="E492">
        <v>0</v>
      </c>
      <c r="F492">
        <v>0</v>
      </c>
      <c r="G492" t="s">
        <v>2</v>
      </c>
      <c r="H492" cm="1">
        <f t="array" ref="H492">-isDup(B492,B493,0.7)</f>
        <v>0</v>
      </c>
    </row>
    <row r="493" spans="1:8" x14ac:dyDescent="0.2">
      <c r="A493" s="3">
        <v>45458.921492997688</v>
      </c>
      <c r="B493" t="s">
        <v>36</v>
      </c>
      <c r="C493" t="s">
        <v>33</v>
      </c>
      <c r="D493" t="s">
        <v>34</v>
      </c>
      <c r="E493">
        <v>0</v>
      </c>
      <c r="F493">
        <v>0</v>
      </c>
      <c r="G493" t="s">
        <v>2</v>
      </c>
      <c r="H493" cm="1">
        <f t="array" ref="H493">-isDup(B493,B494,0.7)</f>
        <v>0</v>
      </c>
    </row>
    <row r="494" spans="1:8" x14ac:dyDescent="0.2">
      <c r="A494" s="3">
        <v>45459.921492997688</v>
      </c>
      <c r="B494" t="s">
        <v>35</v>
      </c>
      <c r="C494" t="s">
        <v>33</v>
      </c>
      <c r="D494" t="s">
        <v>34</v>
      </c>
      <c r="E494">
        <v>0</v>
      </c>
      <c r="F494">
        <v>0</v>
      </c>
      <c r="G494" t="s">
        <v>2</v>
      </c>
      <c r="H494" cm="1">
        <f t="array" ref="H494">-isDup(B494,B495,0.7)</f>
        <v>-1</v>
      </c>
    </row>
    <row r="495" spans="1:8" x14ac:dyDescent="0.2">
      <c r="A495" s="3">
        <v>45460.921492997688</v>
      </c>
      <c r="B495" t="s">
        <v>37</v>
      </c>
      <c r="C495" t="s">
        <v>33</v>
      </c>
      <c r="D495" t="s">
        <v>34</v>
      </c>
      <c r="E495">
        <v>0</v>
      </c>
      <c r="F495">
        <v>0</v>
      </c>
      <c r="G495" t="s">
        <v>2</v>
      </c>
      <c r="H495" cm="1">
        <f t="array" ref="H495">-isDup(B495,B496,0.7)</f>
        <v>0</v>
      </c>
    </row>
    <row r="496" spans="1:8" x14ac:dyDescent="0.2">
      <c r="A496" s="3">
        <v>45461.921492997688</v>
      </c>
      <c r="B496" t="s">
        <v>662</v>
      </c>
      <c r="C496" t="s">
        <v>33</v>
      </c>
      <c r="D496" t="s">
        <v>34</v>
      </c>
      <c r="E496">
        <v>0</v>
      </c>
      <c r="F496">
        <v>0</v>
      </c>
      <c r="G496" t="s">
        <v>2</v>
      </c>
      <c r="H496" cm="1">
        <f t="array" ref="H496">-isDup(B496,B497,0.7)</f>
        <v>0</v>
      </c>
    </row>
    <row r="497" spans="1:8" x14ac:dyDescent="0.2">
      <c r="A497" s="3">
        <v>45462.921492997688</v>
      </c>
      <c r="B497" t="s">
        <v>287</v>
      </c>
      <c r="C497" t="s">
        <v>33</v>
      </c>
      <c r="D497" t="s">
        <v>34</v>
      </c>
      <c r="E497">
        <v>0</v>
      </c>
      <c r="F497">
        <v>0</v>
      </c>
      <c r="G497" t="s">
        <v>2</v>
      </c>
      <c r="H497" cm="1">
        <f t="array" ref="H497">-isDup(B497,B498,0.7)</f>
        <v>0</v>
      </c>
    </row>
    <row r="498" spans="1:8" x14ac:dyDescent="0.2">
      <c r="A498" s="3">
        <v>45463.921492997688</v>
      </c>
      <c r="B498" t="s">
        <v>663</v>
      </c>
      <c r="C498" t="s">
        <v>664</v>
      </c>
      <c r="D498" t="s">
        <v>665</v>
      </c>
      <c r="E498">
        <v>0</v>
      </c>
      <c r="F498">
        <v>1</v>
      </c>
      <c r="G498" t="s">
        <v>2</v>
      </c>
      <c r="H498" cm="1">
        <f t="array" ref="H498">-isDup(B498,B499,0.7)</f>
        <v>0</v>
      </c>
    </row>
    <row r="499" spans="1:8" x14ac:dyDescent="0.2">
      <c r="A499" s="3">
        <v>45464.921492997688</v>
      </c>
      <c r="B499" t="s">
        <v>666</v>
      </c>
      <c r="C499" t="s">
        <v>605</v>
      </c>
      <c r="E499">
        <v>0</v>
      </c>
      <c r="F499">
        <v>3</v>
      </c>
      <c r="G499" t="s">
        <v>2</v>
      </c>
      <c r="H499" cm="1">
        <f t="array" ref="H499">-isDup(B499,B500,0.7)</f>
        <v>0</v>
      </c>
    </row>
    <row r="500" spans="1:8" x14ac:dyDescent="0.2">
      <c r="A500" s="3">
        <v>45465.921492997688</v>
      </c>
      <c r="B500" t="s">
        <v>667</v>
      </c>
      <c r="C500" t="s">
        <v>7</v>
      </c>
      <c r="E500">
        <v>0</v>
      </c>
      <c r="F500">
        <v>0</v>
      </c>
      <c r="G500" t="s">
        <v>2</v>
      </c>
      <c r="H500" cm="1">
        <f t="array" ref="H500">-isDup(B500,B501,0.7)</f>
        <v>0</v>
      </c>
    </row>
    <row r="501" spans="1:8" x14ac:dyDescent="0.2">
      <c r="A501" s="3">
        <v>45466.921492997688</v>
      </c>
      <c r="B501" t="s">
        <v>668</v>
      </c>
      <c r="C501" t="s">
        <v>669</v>
      </c>
      <c r="E501">
        <v>0</v>
      </c>
      <c r="F501">
        <v>0</v>
      </c>
      <c r="G501" t="s">
        <v>2</v>
      </c>
      <c r="H501" cm="1">
        <f t="array" ref="H501">-isDup(B501,B502,0.7)</f>
        <v>0</v>
      </c>
    </row>
    <row r="502" spans="1:8" x14ac:dyDescent="0.2">
      <c r="A502" s="3">
        <v>45467.921492997688</v>
      </c>
      <c r="B502" t="s">
        <v>670</v>
      </c>
      <c r="C502" t="s">
        <v>12</v>
      </c>
      <c r="D502" t="s">
        <v>13</v>
      </c>
      <c r="E502">
        <v>0</v>
      </c>
      <c r="F502">
        <v>0</v>
      </c>
      <c r="G502" t="s">
        <v>2</v>
      </c>
      <c r="H502" cm="1">
        <f t="array" ref="H502">-isDup(B502,B503,0.7)</f>
        <v>0</v>
      </c>
    </row>
    <row r="503" spans="1:8" x14ac:dyDescent="0.2">
      <c r="A503" s="3">
        <v>45468.921492997688</v>
      </c>
      <c r="B503" t="s">
        <v>671</v>
      </c>
      <c r="C503" t="s">
        <v>12</v>
      </c>
      <c r="D503" t="s">
        <v>13</v>
      </c>
      <c r="E503">
        <v>0</v>
      </c>
      <c r="F503">
        <v>0</v>
      </c>
      <c r="G503" t="s">
        <v>2</v>
      </c>
      <c r="H503" cm="1">
        <f t="array" ref="H503">-isDup(B503,B504,0.7)</f>
        <v>0</v>
      </c>
    </row>
    <row r="504" spans="1:8" x14ac:dyDescent="0.2">
      <c r="A504" s="3">
        <v>45469.921492997688</v>
      </c>
      <c r="B504" t="s">
        <v>672</v>
      </c>
      <c r="C504" t="s">
        <v>673</v>
      </c>
      <c r="E504">
        <v>0</v>
      </c>
      <c r="F504">
        <v>0</v>
      </c>
      <c r="G504" t="s">
        <v>2</v>
      </c>
      <c r="H504" cm="1">
        <f t="array" ref="H504">-isDup(B504,B505,0.7)</f>
        <v>0</v>
      </c>
    </row>
    <row r="505" spans="1:8" x14ac:dyDescent="0.2">
      <c r="A505" s="3">
        <v>45470.921492997688</v>
      </c>
      <c r="B505" t="s">
        <v>674</v>
      </c>
      <c r="C505" t="s">
        <v>98</v>
      </c>
      <c r="D505" t="s">
        <v>13</v>
      </c>
      <c r="E505">
        <v>0</v>
      </c>
      <c r="F505">
        <v>0</v>
      </c>
      <c r="G505" t="s">
        <v>2</v>
      </c>
      <c r="H505" cm="1">
        <f t="array" ref="H505">-isDup(B505,B506,0.7)</f>
        <v>0</v>
      </c>
    </row>
    <row r="506" spans="1:8" x14ac:dyDescent="0.2">
      <c r="A506" s="3">
        <v>45471.921492997688</v>
      </c>
      <c r="B506" t="s">
        <v>675</v>
      </c>
      <c r="C506" t="s">
        <v>7</v>
      </c>
      <c r="E506">
        <v>0</v>
      </c>
      <c r="F506">
        <v>0</v>
      </c>
      <c r="G506" t="s">
        <v>2</v>
      </c>
      <c r="H506" cm="1">
        <f t="array" ref="H506">-isDup(B506,B507,0.7)</f>
        <v>0</v>
      </c>
    </row>
    <row r="507" spans="1:8" x14ac:dyDescent="0.2">
      <c r="A507" s="3">
        <v>45472.921492997688</v>
      </c>
      <c r="B507" t="s">
        <v>141</v>
      </c>
      <c r="C507" t="s">
        <v>143</v>
      </c>
      <c r="D507" t="s">
        <v>129</v>
      </c>
      <c r="E507">
        <v>0</v>
      </c>
      <c r="F507">
        <v>0</v>
      </c>
      <c r="G507" t="s">
        <v>2</v>
      </c>
      <c r="H507" cm="1">
        <f t="array" ref="H507">-isDup(B507,B508,0.7)</f>
        <v>0</v>
      </c>
    </row>
    <row r="508" spans="1:8" x14ac:dyDescent="0.2">
      <c r="A508" s="3">
        <v>45473.921492997688</v>
      </c>
      <c r="B508" t="s">
        <v>676</v>
      </c>
      <c r="C508" t="s">
        <v>12</v>
      </c>
      <c r="D508" t="s">
        <v>677</v>
      </c>
      <c r="E508">
        <v>0</v>
      </c>
      <c r="F508">
        <v>0</v>
      </c>
      <c r="G508" t="s">
        <v>2</v>
      </c>
      <c r="H508" cm="1">
        <f t="array" ref="H508">-isDup(B508,B509,0.7)</f>
        <v>0</v>
      </c>
    </row>
    <row r="509" spans="1:8" x14ac:dyDescent="0.2">
      <c r="A509" s="3">
        <v>45474.921492997688</v>
      </c>
      <c r="B509" t="s">
        <v>678</v>
      </c>
      <c r="C509" t="s">
        <v>679</v>
      </c>
      <c r="D509" t="s">
        <v>680</v>
      </c>
      <c r="E509">
        <v>0</v>
      </c>
      <c r="F509">
        <v>0</v>
      </c>
      <c r="G509" t="s">
        <v>2</v>
      </c>
      <c r="H509" cm="1">
        <f t="array" ref="H509">-isDup(B509,B510,0.7)</f>
        <v>0</v>
      </c>
    </row>
    <row r="510" spans="1:8" x14ac:dyDescent="0.2">
      <c r="A510" s="3">
        <v>45475.921492997688</v>
      </c>
      <c r="B510" t="s">
        <v>681</v>
      </c>
      <c r="C510" t="s">
        <v>7</v>
      </c>
      <c r="E510">
        <v>1</v>
      </c>
      <c r="F510">
        <v>0</v>
      </c>
      <c r="G510" t="s">
        <v>2</v>
      </c>
      <c r="H510" cm="1">
        <f t="array" ref="H510">-isDup(B510,B511,0.7)</f>
        <v>0</v>
      </c>
    </row>
    <row r="511" spans="1:8" x14ac:dyDescent="0.2">
      <c r="A511" s="3">
        <v>45476.921492997688</v>
      </c>
      <c r="B511" t="s">
        <v>682</v>
      </c>
      <c r="C511" t="s">
        <v>683</v>
      </c>
      <c r="D511" t="s">
        <v>684</v>
      </c>
      <c r="E511">
        <v>4</v>
      </c>
      <c r="F511">
        <v>7</v>
      </c>
      <c r="G511" t="s">
        <v>2</v>
      </c>
      <c r="H511" cm="1">
        <f t="array" ref="H511">-isDup(B511,B512,0.7)</f>
        <v>0</v>
      </c>
    </row>
    <row r="512" spans="1:8" x14ac:dyDescent="0.2">
      <c r="A512" s="3">
        <v>45477.921492997688</v>
      </c>
      <c r="B512" t="s">
        <v>685</v>
      </c>
      <c r="C512" t="s">
        <v>686</v>
      </c>
      <c r="D512" t="s">
        <v>13</v>
      </c>
      <c r="E512">
        <v>0</v>
      </c>
      <c r="F512">
        <v>0</v>
      </c>
      <c r="G512" t="s">
        <v>2</v>
      </c>
      <c r="H512" cm="1">
        <f t="array" ref="H512">-isDup(B512,B513,0.7)</f>
        <v>0</v>
      </c>
    </row>
    <row r="513" spans="1:8" x14ac:dyDescent="0.2">
      <c r="A513" s="3">
        <v>45478.921492997688</v>
      </c>
      <c r="B513" t="s">
        <v>687</v>
      </c>
      <c r="C513" t="s">
        <v>688</v>
      </c>
      <c r="D513" t="s">
        <v>410</v>
      </c>
      <c r="E513">
        <v>0</v>
      </c>
      <c r="F513">
        <v>0</v>
      </c>
      <c r="G513" t="s">
        <v>2</v>
      </c>
      <c r="H513" cm="1">
        <f t="array" ref="H513">-isDup(B513,B514,0.7)</f>
        <v>0</v>
      </c>
    </row>
    <row r="514" spans="1:8" x14ac:dyDescent="0.2">
      <c r="A514" s="3">
        <v>45479.921492997688</v>
      </c>
      <c r="B514" t="s">
        <v>689</v>
      </c>
      <c r="C514" t="s">
        <v>7</v>
      </c>
      <c r="E514">
        <v>0</v>
      </c>
      <c r="F514">
        <v>0</v>
      </c>
      <c r="G514" t="s">
        <v>2</v>
      </c>
      <c r="H514" cm="1">
        <f t="array" ref="H514">-isDup(B514,B515,0.7)</f>
        <v>0</v>
      </c>
    </row>
    <row r="515" spans="1:8" x14ac:dyDescent="0.2">
      <c r="A515" s="3">
        <v>45480.921492997688</v>
      </c>
      <c r="B515" t="s">
        <v>690</v>
      </c>
      <c r="C515" t="s">
        <v>7</v>
      </c>
      <c r="E515">
        <v>0</v>
      </c>
      <c r="F515">
        <v>0</v>
      </c>
      <c r="G515" t="s">
        <v>2</v>
      </c>
      <c r="H515" cm="1">
        <f t="array" ref="H515">-isDup(B515,B516,0.7)</f>
        <v>0</v>
      </c>
    </row>
    <row r="516" spans="1:8" x14ac:dyDescent="0.2">
      <c r="A516" s="3">
        <v>45481.921492997688</v>
      </c>
      <c r="B516" t="s">
        <v>691</v>
      </c>
      <c r="C516" t="s">
        <v>692</v>
      </c>
      <c r="D516" t="s">
        <v>693</v>
      </c>
      <c r="E516">
        <v>0</v>
      </c>
      <c r="F516">
        <v>0</v>
      </c>
      <c r="G516" t="s">
        <v>2</v>
      </c>
      <c r="H516" cm="1">
        <f t="array" ref="H516">-isDup(B516,B517,0.7)</f>
        <v>0</v>
      </c>
    </row>
    <row r="517" spans="1:8" x14ac:dyDescent="0.2">
      <c r="A517" s="3">
        <v>45482.921492997688</v>
      </c>
      <c r="B517" t="s">
        <v>694</v>
      </c>
      <c r="C517" t="s">
        <v>695</v>
      </c>
      <c r="D517" t="s">
        <v>158</v>
      </c>
      <c r="E517">
        <v>1</v>
      </c>
      <c r="F517">
        <v>22</v>
      </c>
      <c r="G517" t="s">
        <v>2</v>
      </c>
      <c r="H517" cm="1">
        <f t="array" ref="H517">-isDup(B517,B518,0.7)</f>
        <v>0</v>
      </c>
    </row>
    <row r="518" spans="1:8" x14ac:dyDescent="0.2">
      <c r="A518" s="3">
        <v>45483.921492997688</v>
      </c>
      <c r="B518" t="s">
        <v>696</v>
      </c>
      <c r="C518" t="s">
        <v>697</v>
      </c>
      <c r="E518">
        <v>0</v>
      </c>
      <c r="F518">
        <v>1</v>
      </c>
      <c r="G518" t="s">
        <v>2</v>
      </c>
      <c r="H518" cm="1">
        <f t="array" ref="H518">-isDup(B518,B519,0.7)</f>
        <v>0</v>
      </c>
    </row>
    <row r="519" spans="1:8" x14ac:dyDescent="0.2">
      <c r="A519" s="3">
        <v>45484.921492997688</v>
      </c>
      <c r="B519" t="s">
        <v>698</v>
      </c>
      <c r="C519" t="s">
        <v>699</v>
      </c>
      <c r="D519" t="s">
        <v>700</v>
      </c>
      <c r="E519">
        <v>0</v>
      </c>
      <c r="F519">
        <v>0</v>
      </c>
      <c r="G519" t="s">
        <v>2</v>
      </c>
      <c r="H519" cm="1">
        <f t="array" ref="H519">-isDup(B519,B520,0.7)</f>
        <v>0</v>
      </c>
    </row>
    <row r="520" spans="1:8" x14ac:dyDescent="0.2">
      <c r="A520" s="3">
        <v>45485.921492997688</v>
      </c>
      <c r="B520" t="s">
        <v>701</v>
      </c>
      <c r="C520" t="s">
        <v>593</v>
      </c>
      <c r="E520">
        <v>1</v>
      </c>
      <c r="F520">
        <v>0</v>
      </c>
      <c r="G520" t="s">
        <v>2</v>
      </c>
      <c r="H520" cm="1">
        <f t="array" ref="H520">-isDup(B520,B521,0.7)</f>
        <v>0</v>
      </c>
    </row>
    <row r="521" spans="1:8" x14ac:dyDescent="0.2">
      <c r="A521" s="3">
        <v>45486.921492997688</v>
      </c>
      <c r="B521" t="s">
        <v>702</v>
      </c>
      <c r="C521" t="s">
        <v>703</v>
      </c>
      <c r="D521" t="s">
        <v>210</v>
      </c>
      <c r="E521">
        <v>0</v>
      </c>
      <c r="F521">
        <v>4</v>
      </c>
      <c r="G521" t="s">
        <v>2</v>
      </c>
      <c r="H521" cm="1">
        <f t="array" ref="H521">-isDup(B521,B522,0.7)</f>
        <v>0</v>
      </c>
    </row>
    <row r="522" spans="1:8" x14ac:dyDescent="0.2">
      <c r="A522" s="3">
        <v>45487.921492997688</v>
      </c>
      <c r="B522" t="s">
        <v>704</v>
      </c>
      <c r="C522" t="s">
        <v>643</v>
      </c>
      <c r="E522">
        <v>0</v>
      </c>
      <c r="F522">
        <v>0</v>
      </c>
      <c r="G522" t="s">
        <v>2</v>
      </c>
      <c r="H522" cm="1">
        <f t="array" ref="H522">-isDup(B522,B523,0.7)</f>
        <v>0</v>
      </c>
    </row>
    <row r="523" spans="1:8" x14ac:dyDescent="0.2">
      <c r="A523" s="3">
        <v>45488.921492997688</v>
      </c>
      <c r="B523" t="s">
        <v>705</v>
      </c>
      <c r="C523" t="s">
        <v>7</v>
      </c>
      <c r="E523">
        <v>1</v>
      </c>
      <c r="F523">
        <v>0</v>
      </c>
      <c r="G523" t="s">
        <v>2</v>
      </c>
      <c r="H523" cm="1">
        <f t="array" ref="H523">-isDup(B523,B524,0.7)</f>
        <v>0</v>
      </c>
    </row>
    <row r="524" spans="1:8" x14ac:dyDescent="0.2">
      <c r="A524" s="3">
        <v>45489.921492997688</v>
      </c>
      <c r="B524" t="s">
        <v>706</v>
      </c>
      <c r="C524" t="s">
        <v>707</v>
      </c>
      <c r="D524" t="s">
        <v>708</v>
      </c>
      <c r="E524">
        <v>0</v>
      </c>
      <c r="F524">
        <v>2</v>
      </c>
      <c r="G524" t="s">
        <v>2</v>
      </c>
      <c r="H524" cm="1">
        <f t="array" ref="H524">-isDup(B524,B525,0.7)</f>
        <v>0</v>
      </c>
    </row>
    <row r="525" spans="1:8" x14ac:dyDescent="0.2">
      <c r="A525" s="3">
        <v>45490.921492997688</v>
      </c>
      <c r="B525" t="s">
        <v>709</v>
      </c>
      <c r="C525" t="s">
        <v>710</v>
      </c>
      <c r="E525">
        <v>0</v>
      </c>
      <c r="F525">
        <v>1</v>
      </c>
      <c r="G525" t="s">
        <v>2</v>
      </c>
      <c r="H525" cm="1">
        <f t="array" ref="H525">-isDup(B525,B526,0.7)</f>
        <v>0</v>
      </c>
    </row>
    <row r="526" spans="1:8" x14ac:dyDescent="0.2">
      <c r="A526" s="3">
        <v>45491.921492997688</v>
      </c>
      <c r="B526" t="s">
        <v>711</v>
      </c>
      <c r="C526" t="s">
        <v>134</v>
      </c>
      <c r="E526">
        <v>0</v>
      </c>
      <c r="F526">
        <v>0</v>
      </c>
      <c r="G526" t="s">
        <v>2</v>
      </c>
      <c r="H526" cm="1">
        <f t="array" ref="H526">-isDup(B526,B527,0.7)</f>
        <v>0</v>
      </c>
    </row>
    <row r="527" spans="1:8" x14ac:dyDescent="0.2">
      <c r="A527" s="3">
        <v>45492.921492997688</v>
      </c>
      <c r="B527" t="s">
        <v>712</v>
      </c>
      <c r="C527" t="s">
        <v>713</v>
      </c>
      <c r="E527">
        <v>0</v>
      </c>
      <c r="F527">
        <v>0</v>
      </c>
      <c r="G527" t="s">
        <v>2</v>
      </c>
      <c r="H527" cm="1">
        <f t="array" ref="H527">-isDup(B527,B528,0.7)</f>
        <v>0</v>
      </c>
    </row>
    <row r="528" spans="1:8" x14ac:dyDescent="0.2">
      <c r="A528" s="3">
        <v>45493.921492997688</v>
      </c>
      <c r="B528" t="s">
        <v>714</v>
      </c>
      <c r="C528" t="s">
        <v>715</v>
      </c>
      <c r="D528" t="s">
        <v>716</v>
      </c>
      <c r="E528">
        <v>0</v>
      </c>
      <c r="F528">
        <v>0</v>
      </c>
      <c r="G528" t="s">
        <v>2</v>
      </c>
      <c r="H528" cm="1">
        <f t="array" ref="H528">-isDup(B528,B529,0.7)</f>
        <v>0</v>
      </c>
    </row>
    <row r="529" spans="1:8" x14ac:dyDescent="0.2">
      <c r="A529" s="3">
        <v>45494.921492997688</v>
      </c>
      <c r="B529" t="s">
        <v>717</v>
      </c>
      <c r="C529" t="s">
        <v>718</v>
      </c>
      <c r="D529" t="s">
        <v>719</v>
      </c>
      <c r="E529">
        <v>0</v>
      </c>
      <c r="F529">
        <v>1</v>
      </c>
      <c r="G529" t="s">
        <v>2</v>
      </c>
      <c r="H529" cm="1">
        <f t="array" ref="H529">-isDup(B529,B530,0.7)</f>
        <v>0</v>
      </c>
    </row>
    <row r="530" spans="1:8" x14ac:dyDescent="0.2">
      <c r="A530" s="3">
        <v>45495.921492997688</v>
      </c>
      <c r="B530" t="s">
        <v>720</v>
      </c>
      <c r="C530" t="s">
        <v>51</v>
      </c>
      <c r="D530" t="s">
        <v>721</v>
      </c>
      <c r="E530">
        <v>0</v>
      </c>
      <c r="F530">
        <v>0</v>
      </c>
      <c r="G530" t="s">
        <v>2</v>
      </c>
      <c r="H530" cm="1">
        <f t="array" ref="H530">-isDup(B530,B531,0.7)</f>
        <v>0</v>
      </c>
    </row>
    <row r="531" spans="1:8" x14ac:dyDescent="0.2">
      <c r="A531" s="3">
        <v>45496.921492997688</v>
      </c>
      <c r="B531" t="s">
        <v>722</v>
      </c>
      <c r="C531" t="s">
        <v>723</v>
      </c>
      <c r="E531">
        <v>0</v>
      </c>
      <c r="F531">
        <v>0</v>
      </c>
      <c r="G531" t="s">
        <v>2</v>
      </c>
      <c r="H531" cm="1">
        <f t="array" ref="H531">-isDup(B531,B532,0.7)</f>
        <v>0</v>
      </c>
    </row>
    <row r="532" spans="1:8" x14ac:dyDescent="0.2">
      <c r="A532" s="3">
        <v>45497.921492997688</v>
      </c>
      <c r="B532" t="s">
        <v>724</v>
      </c>
      <c r="C532" t="s">
        <v>350</v>
      </c>
      <c r="D532" t="s">
        <v>55</v>
      </c>
      <c r="E532">
        <v>0</v>
      </c>
      <c r="F532">
        <v>0</v>
      </c>
      <c r="G532" t="s">
        <v>2</v>
      </c>
      <c r="H532" cm="1">
        <f t="array" ref="H532">-isDup(B532,B533,0.7)</f>
        <v>0</v>
      </c>
    </row>
    <row r="533" spans="1:8" x14ac:dyDescent="0.2">
      <c r="A533" s="3">
        <v>45498.921492997688</v>
      </c>
      <c r="B533" t="s">
        <v>725</v>
      </c>
      <c r="C533" t="s">
        <v>7</v>
      </c>
      <c r="E533">
        <v>0</v>
      </c>
      <c r="F533">
        <v>0</v>
      </c>
      <c r="G533" t="s">
        <v>2</v>
      </c>
      <c r="H533" cm="1">
        <f t="array" ref="H533">-isDup(B533,B534,0.7)</f>
        <v>0</v>
      </c>
    </row>
    <row r="534" spans="1:8" x14ac:dyDescent="0.2">
      <c r="A534" s="3">
        <v>45499.921492997688</v>
      </c>
      <c r="B534" t="s">
        <v>726</v>
      </c>
      <c r="C534" t="s">
        <v>727</v>
      </c>
      <c r="D534" t="s">
        <v>728</v>
      </c>
      <c r="E534">
        <v>0</v>
      </c>
      <c r="F534">
        <v>0</v>
      </c>
      <c r="G534" t="s">
        <v>2</v>
      </c>
      <c r="H534" cm="1">
        <f t="array" ref="H534">-isDup(B534,B535,0.7)</f>
        <v>0</v>
      </c>
    </row>
    <row r="535" spans="1:8" x14ac:dyDescent="0.2">
      <c r="A535" s="3">
        <v>45500.921492997688</v>
      </c>
      <c r="B535" t="s">
        <v>729</v>
      </c>
      <c r="C535" t="s">
        <v>290</v>
      </c>
      <c r="D535" t="s">
        <v>291</v>
      </c>
      <c r="E535">
        <v>0</v>
      </c>
      <c r="F535">
        <v>0</v>
      </c>
      <c r="G535" t="s">
        <v>2</v>
      </c>
      <c r="H535" cm="1">
        <f t="array" ref="H535">-isDup(B535,B536,0.7)</f>
        <v>0</v>
      </c>
    </row>
    <row r="536" spans="1:8" x14ac:dyDescent="0.2">
      <c r="A536" s="3">
        <v>45501.921492997688</v>
      </c>
      <c r="B536" t="s">
        <v>730</v>
      </c>
      <c r="C536" t="s">
        <v>731</v>
      </c>
      <c r="E536">
        <v>0</v>
      </c>
      <c r="F536">
        <v>0</v>
      </c>
      <c r="G536" t="s">
        <v>2</v>
      </c>
      <c r="H536" cm="1">
        <f t="array" ref="H536">-isDup(B536,B537,0.7)</f>
        <v>0</v>
      </c>
    </row>
    <row r="537" spans="1:8" x14ac:dyDescent="0.2">
      <c r="A537" s="3">
        <v>45502.921492997688</v>
      </c>
      <c r="B537" t="s">
        <v>732</v>
      </c>
      <c r="C537" t="s">
        <v>7</v>
      </c>
      <c r="E537">
        <v>0</v>
      </c>
      <c r="F537">
        <v>0</v>
      </c>
      <c r="G537" t="s">
        <v>2</v>
      </c>
      <c r="H537" cm="1">
        <f t="array" ref="H537">-isDup(B537,B538,0.7)</f>
        <v>0</v>
      </c>
    </row>
    <row r="538" spans="1:8" x14ac:dyDescent="0.2">
      <c r="A538" s="3">
        <v>45503.921492997688</v>
      </c>
      <c r="B538" t="s">
        <v>733</v>
      </c>
      <c r="C538" t="s">
        <v>734</v>
      </c>
      <c r="E538">
        <v>0</v>
      </c>
      <c r="F538">
        <v>0</v>
      </c>
      <c r="G538" t="s">
        <v>2</v>
      </c>
      <c r="H538" cm="1">
        <f t="array" ref="H538">-isDup(B538,B539,0.7)</f>
        <v>0</v>
      </c>
    </row>
    <row r="539" spans="1:8" x14ac:dyDescent="0.2">
      <c r="A539" s="3">
        <v>45504.921492997688</v>
      </c>
      <c r="B539" t="s">
        <v>3</v>
      </c>
      <c r="C539" t="s">
        <v>4</v>
      </c>
      <c r="D539" t="s">
        <v>5</v>
      </c>
      <c r="E539">
        <v>0</v>
      </c>
      <c r="F539">
        <v>0</v>
      </c>
      <c r="G539" t="s">
        <v>2</v>
      </c>
      <c r="H539" cm="1">
        <f t="array" ref="H539">-isDup(B539,B540,0.7)</f>
        <v>0</v>
      </c>
    </row>
    <row r="540" spans="1:8" x14ac:dyDescent="0.2">
      <c r="A540" s="3">
        <v>45505.921492997688</v>
      </c>
      <c r="B540" t="s">
        <v>735</v>
      </c>
      <c r="C540" t="s">
        <v>98</v>
      </c>
      <c r="D540" t="s">
        <v>13</v>
      </c>
      <c r="E540">
        <v>0</v>
      </c>
      <c r="F540">
        <v>0</v>
      </c>
      <c r="G540" t="s">
        <v>2</v>
      </c>
      <c r="H540" cm="1">
        <f t="array" ref="H540">-isDup(B540,B541,0.7)</f>
        <v>0</v>
      </c>
    </row>
    <row r="541" spans="1:8" x14ac:dyDescent="0.2">
      <c r="A541" s="3">
        <v>45506.921492997688</v>
      </c>
      <c r="B541" t="s">
        <v>736</v>
      </c>
      <c r="C541" t="s">
        <v>737</v>
      </c>
      <c r="E541">
        <v>0</v>
      </c>
      <c r="F541">
        <v>0</v>
      </c>
      <c r="G541" t="s">
        <v>2</v>
      </c>
      <c r="H541" cm="1">
        <f t="array" ref="H541">-isDup(B541,B542,0.7)</f>
        <v>0</v>
      </c>
    </row>
    <row r="542" spans="1:8" x14ac:dyDescent="0.2">
      <c r="A542" s="3">
        <v>45507.921492997688</v>
      </c>
      <c r="B542" t="s">
        <v>738</v>
      </c>
      <c r="C542" t="s">
        <v>33</v>
      </c>
      <c r="D542" t="s">
        <v>34</v>
      </c>
      <c r="E542">
        <v>0</v>
      </c>
      <c r="F542">
        <v>0</v>
      </c>
      <c r="G542" t="s">
        <v>2</v>
      </c>
      <c r="H542" cm="1">
        <f t="array" ref="H542">-isDup(B542,B543,0.7)</f>
        <v>0</v>
      </c>
    </row>
    <row r="543" spans="1:8" x14ac:dyDescent="0.2">
      <c r="A543" s="3">
        <v>45508.921492997688</v>
      </c>
      <c r="B543" t="s">
        <v>36</v>
      </c>
      <c r="C543" t="s">
        <v>33</v>
      </c>
      <c r="D543" t="s">
        <v>34</v>
      </c>
      <c r="E543">
        <v>0</v>
      </c>
      <c r="F543">
        <v>0</v>
      </c>
      <c r="G543" t="s">
        <v>2</v>
      </c>
      <c r="H543" cm="1">
        <f t="array" ref="H543">-isDup(B543,B544,0.7)</f>
        <v>0</v>
      </c>
    </row>
    <row r="544" spans="1:8" x14ac:dyDescent="0.2">
      <c r="A544" s="3">
        <v>45509.921492997688</v>
      </c>
      <c r="B544" t="s">
        <v>37</v>
      </c>
      <c r="C544" t="s">
        <v>33</v>
      </c>
      <c r="D544" t="s">
        <v>34</v>
      </c>
      <c r="E544">
        <v>0</v>
      </c>
      <c r="F544">
        <v>0</v>
      </c>
      <c r="G544" t="s">
        <v>2</v>
      </c>
      <c r="H544" cm="1">
        <f t="array" ref="H544">-isDup(B544,B545,0.7)</f>
        <v>-1</v>
      </c>
    </row>
    <row r="545" spans="1:8" x14ac:dyDescent="0.2">
      <c r="A545" s="3">
        <v>45510.921492997688</v>
      </c>
      <c r="B545" t="s">
        <v>35</v>
      </c>
      <c r="C545" t="s">
        <v>33</v>
      </c>
      <c r="D545" t="s">
        <v>34</v>
      </c>
      <c r="E545">
        <v>0</v>
      </c>
      <c r="F545">
        <v>0</v>
      </c>
      <c r="G545" t="s">
        <v>2</v>
      </c>
      <c r="H545" cm="1">
        <f t="array" ref="H545">-isDup(B545,B546,0.7)</f>
        <v>0</v>
      </c>
    </row>
    <row r="546" spans="1:8" x14ac:dyDescent="0.2">
      <c r="A546" s="3">
        <v>45511.921492997688</v>
      </c>
      <c r="B546" t="s">
        <v>287</v>
      </c>
      <c r="C546" t="s">
        <v>33</v>
      </c>
      <c r="D546" t="s">
        <v>34</v>
      </c>
      <c r="E546">
        <v>0</v>
      </c>
      <c r="F546">
        <v>0</v>
      </c>
      <c r="G546" t="s">
        <v>2</v>
      </c>
      <c r="H546" cm="1">
        <f t="array" ref="H546">-isDup(B546,B547,0.7)</f>
        <v>0</v>
      </c>
    </row>
    <row r="547" spans="1:8" x14ac:dyDescent="0.2">
      <c r="A547" s="3">
        <v>45512.921492997688</v>
      </c>
      <c r="B547" t="s">
        <v>739</v>
      </c>
      <c r="C547" t="s">
        <v>7</v>
      </c>
      <c r="E547">
        <v>0</v>
      </c>
      <c r="F547">
        <v>0</v>
      </c>
      <c r="G547" t="s">
        <v>2</v>
      </c>
      <c r="H547" cm="1">
        <f t="array" ref="H547">-isDup(B547,B548,0.7)</f>
        <v>0</v>
      </c>
    </row>
    <row r="548" spans="1:8" x14ac:dyDescent="0.2">
      <c r="A548" s="3">
        <v>45513.921492997688</v>
      </c>
      <c r="B548" t="s">
        <v>94</v>
      </c>
      <c r="C548" t="s">
        <v>22</v>
      </c>
      <c r="E548">
        <v>0</v>
      </c>
      <c r="F548">
        <v>0</v>
      </c>
      <c r="G548" t="s">
        <v>2</v>
      </c>
      <c r="H548" cm="1">
        <f t="array" ref="H548">-isDup(B548,B549,0.7)</f>
        <v>-1</v>
      </c>
    </row>
    <row r="549" spans="1:8" x14ac:dyDescent="0.2">
      <c r="A549" s="3">
        <v>45514.921492997688</v>
      </c>
      <c r="B549" t="s">
        <v>94</v>
      </c>
      <c r="C549" t="s">
        <v>22</v>
      </c>
      <c r="E549">
        <v>0</v>
      </c>
      <c r="F549">
        <v>0</v>
      </c>
      <c r="G549" t="s">
        <v>2</v>
      </c>
      <c r="H549" cm="1">
        <f t="array" ref="H549">-isDup(B549,B550,0.7)</f>
        <v>0</v>
      </c>
    </row>
    <row r="550" spans="1:8" x14ac:dyDescent="0.2">
      <c r="A550" s="3">
        <v>45515.921492997688</v>
      </c>
      <c r="B550" t="s">
        <v>740</v>
      </c>
      <c r="C550" t="s">
        <v>741</v>
      </c>
      <c r="E550">
        <v>0</v>
      </c>
      <c r="F550">
        <v>1</v>
      </c>
      <c r="G550" t="s">
        <v>2</v>
      </c>
      <c r="H550" cm="1">
        <f t="array" ref="H550">-isDup(B550,B551,0.7)</f>
        <v>0</v>
      </c>
    </row>
    <row r="551" spans="1:8" x14ac:dyDescent="0.2">
      <c r="A551" s="3">
        <v>45516.921492997688</v>
      </c>
      <c r="B551" t="s">
        <v>742</v>
      </c>
      <c r="C551" t="s">
        <v>7</v>
      </c>
      <c r="E551">
        <v>0</v>
      </c>
      <c r="F551">
        <v>0</v>
      </c>
      <c r="G551" t="s">
        <v>2</v>
      </c>
      <c r="H551" cm="1">
        <f t="array" ref="H551">-isDup(B551,B552,0.7)</f>
        <v>0</v>
      </c>
    </row>
    <row r="552" spans="1:8" x14ac:dyDescent="0.2">
      <c r="A552" s="3">
        <v>45517.921492997688</v>
      </c>
      <c r="B552" t="s">
        <v>743</v>
      </c>
      <c r="C552" t="s">
        <v>744</v>
      </c>
      <c r="D552" t="s">
        <v>745</v>
      </c>
      <c r="E552">
        <v>0</v>
      </c>
      <c r="F552">
        <v>2</v>
      </c>
      <c r="G552" t="s">
        <v>2</v>
      </c>
      <c r="H552" cm="1">
        <f t="array" ref="H552">-isDup(B552,B553,0.7)</f>
        <v>0</v>
      </c>
    </row>
    <row r="553" spans="1:8" x14ac:dyDescent="0.2">
      <c r="A553" s="3">
        <v>45518.921492997688</v>
      </c>
      <c r="B553" t="s">
        <v>746</v>
      </c>
      <c r="C553" t="s">
        <v>747</v>
      </c>
      <c r="D553" t="s">
        <v>748</v>
      </c>
      <c r="E553">
        <v>1</v>
      </c>
      <c r="F553">
        <v>1</v>
      </c>
      <c r="G553" t="s">
        <v>2</v>
      </c>
      <c r="H553" cm="1">
        <f t="array" ref="H553">-isDup(B553,B554,0.7)</f>
        <v>0</v>
      </c>
    </row>
    <row r="554" spans="1:8" x14ac:dyDescent="0.2">
      <c r="A554" s="3">
        <v>45519.921492997688</v>
      </c>
      <c r="B554" t="s">
        <v>600</v>
      </c>
      <c r="C554" t="s">
        <v>12</v>
      </c>
      <c r="D554" t="s">
        <v>13</v>
      </c>
      <c r="E554">
        <v>0</v>
      </c>
      <c r="F554">
        <v>0</v>
      </c>
      <c r="G554" t="s">
        <v>2</v>
      </c>
      <c r="H554" cm="1">
        <f t="array" ref="H554">-isDup(B554,B555,0.7)</f>
        <v>0</v>
      </c>
    </row>
    <row r="555" spans="1:8" x14ac:dyDescent="0.2">
      <c r="A555" s="3">
        <v>45520.921492997688</v>
      </c>
      <c r="B555" t="s">
        <v>749</v>
      </c>
      <c r="C555" t="s">
        <v>378</v>
      </c>
      <c r="D555" t="s">
        <v>129</v>
      </c>
      <c r="E555">
        <v>0</v>
      </c>
      <c r="F555">
        <v>0</v>
      </c>
      <c r="G555" t="s">
        <v>2</v>
      </c>
      <c r="H555" cm="1">
        <f t="array" ref="H555">-isDup(B555,B556,0.7)</f>
        <v>0</v>
      </c>
    </row>
    <row r="556" spans="1:8" x14ac:dyDescent="0.2">
      <c r="A556" s="3">
        <v>45521.921492997688</v>
      </c>
      <c r="B556" t="s">
        <v>750</v>
      </c>
      <c r="C556" t="s">
        <v>751</v>
      </c>
      <c r="D556" t="s">
        <v>69</v>
      </c>
      <c r="E556">
        <v>2</v>
      </c>
      <c r="F556">
        <v>15</v>
      </c>
      <c r="G556" t="s">
        <v>2</v>
      </c>
      <c r="H556" cm="1">
        <f t="array" ref="H556">-isDup(B556,B557,0.7)</f>
        <v>0</v>
      </c>
    </row>
    <row r="557" spans="1:8" x14ac:dyDescent="0.2">
      <c r="A557" s="3">
        <v>45522.921492997688</v>
      </c>
      <c r="B557" t="s">
        <v>752</v>
      </c>
      <c r="C557" t="s">
        <v>753</v>
      </c>
      <c r="E557">
        <v>0</v>
      </c>
      <c r="F557">
        <v>0</v>
      </c>
      <c r="G557" t="s">
        <v>2</v>
      </c>
      <c r="H557" cm="1">
        <f t="array" ref="H557">-isDup(B557,B558,0.7)</f>
        <v>0</v>
      </c>
    </row>
    <row r="558" spans="1:8" x14ac:dyDescent="0.2">
      <c r="A558" s="3">
        <v>45523.921492997688</v>
      </c>
      <c r="B558" t="s">
        <v>754</v>
      </c>
      <c r="C558" t="s">
        <v>7</v>
      </c>
      <c r="E558">
        <v>0</v>
      </c>
      <c r="F558">
        <v>0</v>
      </c>
      <c r="G558" t="s">
        <v>2</v>
      </c>
      <c r="H558" cm="1">
        <f t="array" ref="H558">-isDup(B558,B559,0.7)</f>
        <v>0</v>
      </c>
    </row>
    <row r="559" spans="1:8" x14ac:dyDescent="0.2">
      <c r="A559" s="3">
        <v>45524.921492997688</v>
      </c>
      <c r="B559" t="s">
        <v>755</v>
      </c>
      <c r="C559" t="s">
        <v>756</v>
      </c>
      <c r="E559">
        <v>0</v>
      </c>
      <c r="F559">
        <v>0</v>
      </c>
      <c r="G559" t="s">
        <v>2</v>
      </c>
      <c r="H559" cm="1">
        <f t="array" ref="H559">-isDup(B559,B560,0.7)</f>
        <v>0</v>
      </c>
    </row>
    <row r="560" spans="1:8" x14ac:dyDescent="0.2">
      <c r="A560" s="3">
        <v>45525.921492997688</v>
      </c>
      <c r="B560" t="s">
        <v>757</v>
      </c>
      <c r="C560" t="s">
        <v>632</v>
      </c>
      <c r="D560" t="s">
        <v>633</v>
      </c>
      <c r="E560">
        <v>0</v>
      </c>
      <c r="F560">
        <v>1</v>
      </c>
      <c r="G560" t="s">
        <v>2</v>
      </c>
      <c r="H560" cm="1">
        <f t="array" ref="H560">-isDup(B560,B561,0.7)</f>
        <v>0</v>
      </c>
    </row>
    <row r="561" spans="1:8" x14ac:dyDescent="0.2">
      <c r="A561" s="3">
        <v>45526.921492997688</v>
      </c>
      <c r="B561" t="s">
        <v>193</v>
      </c>
      <c r="C561" t="s">
        <v>143</v>
      </c>
      <c r="D561" t="s">
        <v>129</v>
      </c>
      <c r="E561">
        <v>0</v>
      </c>
      <c r="F561">
        <v>0</v>
      </c>
      <c r="G561" t="s">
        <v>2</v>
      </c>
      <c r="H561" cm="1">
        <f t="array" ref="H561">-isDup(B561,B562,0.7)</f>
        <v>0</v>
      </c>
    </row>
    <row r="562" spans="1:8" x14ac:dyDescent="0.2">
      <c r="A562" s="3">
        <v>45527.921492997688</v>
      </c>
      <c r="B562" t="s">
        <v>758</v>
      </c>
      <c r="C562" t="s">
        <v>759</v>
      </c>
      <c r="E562">
        <v>0</v>
      </c>
      <c r="F562">
        <v>0</v>
      </c>
      <c r="G562" t="s">
        <v>2</v>
      </c>
      <c r="H562" cm="1">
        <f t="array" ref="H562">-isDup(B562,B563,0.7)</f>
        <v>0</v>
      </c>
    </row>
    <row r="563" spans="1:8" x14ac:dyDescent="0.2">
      <c r="A563" s="3">
        <v>45528.921492997688</v>
      </c>
      <c r="B563" t="s">
        <v>760</v>
      </c>
      <c r="C563" t="s">
        <v>597</v>
      </c>
      <c r="D563" t="s">
        <v>5</v>
      </c>
      <c r="E563">
        <v>1</v>
      </c>
      <c r="F563">
        <v>1</v>
      </c>
      <c r="G563" t="s">
        <v>2</v>
      </c>
      <c r="H563" cm="1">
        <f t="array" ref="H563">-isDup(B563,B564,0.7)</f>
        <v>0</v>
      </c>
    </row>
    <row r="564" spans="1:8" x14ac:dyDescent="0.2">
      <c r="A564" s="3">
        <v>45529.921492997688</v>
      </c>
      <c r="B564" t="s">
        <v>761</v>
      </c>
      <c r="C564" t="s">
        <v>384</v>
      </c>
      <c r="D564" t="s">
        <v>410</v>
      </c>
      <c r="E564">
        <v>0</v>
      </c>
      <c r="F564">
        <v>1</v>
      </c>
      <c r="G564" t="s">
        <v>2</v>
      </c>
      <c r="H564" cm="1">
        <f t="array" ref="H564">-isDup(B564,B565,0.7)</f>
        <v>0</v>
      </c>
    </row>
    <row r="565" spans="1:8" x14ac:dyDescent="0.2">
      <c r="A565" s="3">
        <v>45530.921492997688</v>
      </c>
      <c r="B565" t="s">
        <v>762</v>
      </c>
      <c r="C565" t="s">
        <v>294</v>
      </c>
      <c r="E565">
        <v>0</v>
      </c>
      <c r="F565">
        <v>3</v>
      </c>
      <c r="G565" t="s">
        <v>2</v>
      </c>
      <c r="H565" cm="1">
        <f t="array" ref="H565">-isDup(B565,B566,0.7)</f>
        <v>0</v>
      </c>
    </row>
    <row r="566" spans="1:8" x14ac:dyDescent="0.2">
      <c r="A566" s="3">
        <v>45531.921492997688</v>
      </c>
      <c r="B566" t="s">
        <v>763</v>
      </c>
      <c r="C566" t="s">
        <v>7</v>
      </c>
      <c r="E566">
        <v>0</v>
      </c>
      <c r="F566">
        <v>0</v>
      </c>
      <c r="G566" t="s">
        <v>2</v>
      </c>
      <c r="H566" cm="1">
        <f t="array" ref="H566">-isDup(B566,B567,0.7)</f>
        <v>0</v>
      </c>
    </row>
    <row r="567" spans="1:8" x14ac:dyDescent="0.2">
      <c r="A567" s="3">
        <v>45532.921492997688</v>
      </c>
      <c r="B567" t="s">
        <v>764</v>
      </c>
      <c r="C567" t="s">
        <v>643</v>
      </c>
      <c r="E567">
        <v>0</v>
      </c>
      <c r="F567">
        <v>0</v>
      </c>
      <c r="G567" t="s">
        <v>2</v>
      </c>
      <c r="H567" cm="1">
        <f t="array" ref="H567">-isDup(B567,B568,0.7)</f>
        <v>0</v>
      </c>
    </row>
    <row r="568" spans="1:8" x14ac:dyDescent="0.2">
      <c r="A568" s="3">
        <v>45533.921492997688</v>
      </c>
      <c r="B568" t="s">
        <v>765</v>
      </c>
      <c r="C568" t="s">
        <v>7</v>
      </c>
      <c r="E568">
        <v>0</v>
      </c>
      <c r="F568">
        <v>0</v>
      </c>
      <c r="G568" t="s">
        <v>2</v>
      </c>
      <c r="H568" cm="1">
        <f t="array" ref="H568">-isDup(B568,B569,0.7)</f>
        <v>0</v>
      </c>
    </row>
    <row r="569" spans="1:8" x14ac:dyDescent="0.2">
      <c r="A569" s="3">
        <v>45534.921492997688</v>
      </c>
      <c r="B569" t="s">
        <v>766</v>
      </c>
      <c r="C569" t="s">
        <v>223</v>
      </c>
      <c r="D569" t="s">
        <v>767</v>
      </c>
      <c r="E569">
        <v>0</v>
      </c>
      <c r="F569">
        <v>3</v>
      </c>
      <c r="G569" t="s">
        <v>2</v>
      </c>
      <c r="H569" cm="1">
        <f t="array" ref="H569">-isDup(B569,B570,0.7)</f>
        <v>0</v>
      </c>
    </row>
    <row r="570" spans="1:8" x14ac:dyDescent="0.2">
      <c r="A570" s="3">
        <v>45535.921492997688</v>
      </c>
      <c r="B570" t="s">
        <v>768</v>
      </c>
      <c r="C570" t="s">
        <v>7</v>
      </c>
      <c r="E570">
        <v>0</v>
      </c>
      <c r="F570">
        <v>0</v>
      </c>
      <c r="G570" t="s">
        <v>2</v>
      </c>
      <c r="H570" cm="1">
        <f t="array" ref="H570">-isDup(B570,B571,0.7)</f>
        <v>0</v>
      </c>
    </row>
    <row r="571" spans="1:8" x14ac:dyDescent="0.2">
      <c r="A571" s="3">
        <v>45536.921492997688</v>
      </c>
      <c r="B571" t="s">
        <v>46</v>
      </c>
      <c r="C571" t="s">
        <v>22</v>
      </c>
      <c r="E571">
        <v>0</v>
      </c>
      <c r="F571">
        <v>0</v>
      </c>
      <c r="G571" t="s">
        <v>2</v>
      </c>
      <c r="H571" cm="1">
        <f t="array" ref="H571">-isDup(B571,B572,0.7)</f>
        <v>0</v>
      </c>
    </row>
    <row r="572" spans="1:8" x14ac:dyDescent="0.2">
      <c r="A572" s="3">
        <v>45537.921492997688</v>
      </c>
      <c r="B572" t="s">
        <v>769</v>
      </c>
      <c r="C572" t="s">
        <v>673</v>
      </c>
      <c r="E572">
        <v>0</v>
      </c>
      <c r="F572">
        <v>0</v>
      </c>
      <c r="G572" t="s">
        <v>2</v>
      </c>
      <c r="H572" cm="1">
        <f t="array" ref="H572">-isDup(B572,B573,0.7)</f>
        <v>0</v>
      </c>
    </row>
    <row r="573" spans="1:8" x14ac:dyDescent="0.2">
      <c r="A573" s="3">
        <v>45538.921492997688</v>
      </c>
      <c r="B573" t="s">
        <v>770</v>
      </c>
      <c r="C573" t="s">
        <v>771</v>
      </c>
      <c r="E573">
        <v>0</v>
      </c>
      <c r="F573">
        <v>3</v>
      </c>
      <c r="G573" t="s">
        <v>2</v>
      </c>
      <c r="H573" cm="1">
        <f t="array" ref="H573">-isDup(B573,B574,0.7)</f>
        <v>0</v>
      </c>
    </row>
    <row r="574" spans="1:8" x14ac:dyDescent="0.2">
      <c r="A574" s="3">
        <v>45539.921492997688</v>
      </c>
      <c r="B574" t="s">
        <v>772</v>
      </c>
      <c r="C574" t="s">
        <v>773</v>
      </c>
      <c r="D574" t="s">
        <v>774</v>
      </c>
      <c r="E574">
        <v>0</v>
      </c>
      <c r="F574">
        <v>0</v>
      </c>
      <c r="G574" t="s">
        <v>2</v>
      </c>
      <c r="H574" cm="1">
        <f t="array" ref="H574">-isDup(B574,B575,0.7)</f>
        <v>0</v>
      </c>
    </row>
    <row r="575" spans="1:8" x14ac:dyDescent="0.2">
      <c r="A575" s="3">
        <v>45540.921492997688</v>
      </c>
      <c r="B575" t="s">
        <v>387</v>
      </c>
      <c r="C575" t="s">
        <v>143</v>
      </c>
      <c r="D575" t="s">
        <v>129</v>
      </c>
      <c r="E575">
        <v>0</v>
      </c>
      <c r="F575">
        <v>0</v>
      </c>
      <c r="G575" t="s">
        <v>2</v>
      </c>
      <c r="H575" cm="1">
        <f t="array" ref="H575">-isDup(B575,B576,0.7)</f>
        <v>0</v>
      </c>
    </row>
    <row r="576" spans="1:8" x14ac:dyDescent="0.2">
      <c r="A576" s="3">
        <v>45541.921492997688</v>
      </c>
      <c r="B576" t="s">
        <v>775</v>
      </c>
      <c r="C576" t="s">
        <v>776</v>
      </c>
      <c r="D576" t="s">
        <v>777</v>
      </c>
      <c r="E576">
        <v>0</v>
      </c>
      <c r="F576">
        <v>0</v>
      </c>
      <c r="G576" t="s">
        <v>2</v>
      </c>
      <c r="H576" cm="1">
        <f t="array" ref="H576">-isDup(B576,B577,0.7)</f>
        <v>0</v>
      </c>
    </row>
    <row r="577" spans="1:8" x14ac:dyDescent="0.2">
      <c r="A577" s="3">
        <v>45542.921492997688</v>
      </c>
      <c r="B577" t="s">
        <v>778</v>
      </c>
      <c r="C577" t="s">
        <v>7</v>
      </c>
      <c r="E577">
        <v>0</v>
      </c>
      <c r="F577">
        <v>0</v>
      </c>
      <c r="G577" t="s">
        <v>2</v>
      </c>
      <c r="H577" cm="1">
        <f t="array" ref="H577">-isDup(B577,B578,0.7)</f>
        <v>0</v>
      </c>
    </row>
    <row r="578" spans="1:8" x14ac:dyDescent="0.2">
      <c r="A578" s="3">
        <v>45543.921492997688</v>
      </c>
      <c r="B578" t="s">
        <v>138</v>
      </c>
      <c r="C578" t="s">
        <v>22</v>
      </c>
      <c r="E578">
        <v>0</v>
      </c>
      <c r="F578">
        <v>0</v>
      </c>
      <c r="G578" t="s">
        <v>2</v>
      </c>
      <c r="H578" cm="1">
        <f t="array" ref="H578">-isDup(B578,B579,0.7)</f>
        <v>0</v>
      </c>
    </row>
    <row r="579" spans="1:8" x14ac:dyDescent="0.2">
      <c r="A579" s="3">
        <v>45544.921492997688</v>
      </c>
      <c r="B579" t="s">
        <v>370</v>
      </c>
      <c r="C579" t="s">
        <v>143</v>
      </c>
      <c r="D579" t="s">
        <v>129</v>
      </c>
      <c r="E579">
        <v>0</v>
      </c>
      <c r="F579">
        <v>0</v>
      </c>
      <c r="G579" t="s">
        <v>2</v>
      </c>
      <c r="H579" cm="1">
        <f t="array" ref="H579">-isDup(B579,B580,0.7)</f>
        <v>0</v>
      </c>
    </row>
    <row r="580" spans="1:8" x14ac:dyDescent="0.2">
      <c r="A580" s="3">
        <v>45545.921492997688</v>
      </c>
      <c r="B580" t="s">
        <v>144</v>
      </c>
      <c r="C580" t="s">
        <v>22</v>
      </c>
      <c r="E580">
        <v>0</v>
      </c>
      <c r="F580">
        <v>0</v>
      </c>
      <c r="G580" t="s">
        <v>2</v>
      </c>
      <c r="H580" cm="1">
        <f t="array" ref="H580">-isDup(B580,B581,0.7)</f>
        <v>0</v>
      </c>
    </row>
    <row r="581" spans="1:8" x14ac:dyDescent="0.2">
      <c r="A581" s="3">
        <v>45546.921492997688</v>
      </c>
      <c r="B581" t="s">
        <v>3</v>
      </c>
      <c r="C581" t="s">
        <v>4</v>
      </c>
      <c r="D581" t="s">
        <v>5</v>
      </c>
      <c r="E581">
        <v>0</v>
      </c>
      <c r="F581">
        <v>0</v>
      </c>
      <c r="G581" t="s">
        <v>2</v>
      </c>
      <c r="H581" cm="1">
        <f t="array" ref="H581">-isDup(B581,B582,0.7)</f>
        <v>0</v>
      </c>
    </row>
    <row r="582" spans="1:8" x14ac:dyDescent="0.2">
      <c r="A582" s="3">
        <v>45547.921492997688</v>
      </c>
      <c r="B582" t="s">
        <v>152</v>
      </c>
      <c r="C582" t="s">
        <v>22</v>
      </c>
      <c r="E582">
        <v>0</v>
      </c>
      <c r="F582">
        <v>0</v>
      </c>
      <c r="G582" t="s">
        <v>2</v>
      </c>
      <c r="H582" cm="1">
        <f t="array" ref="H582">-isDup(B582,B583,0.7)</f>
        <v>0</v>
      </c>
    </row>
    <row r="583" spans="1:8" x14ac:dyDescent="0.2">
      <c r="A583" s="3">
        <v>45548.921492997688</v>
      </c>
      <c r="B583" t="s">
        <v>398</v>
      </c>
      <c r="C583" t="s">
        <v>143</v>
      </c>
      <c r="D583" t="s">
        <v>129</v>
      </c>
      <c r="E583">
        <v>0</v>
      </c>
      <c r="F583">
        <v>0</v>
      </c>
      <c r="G583" t="s">
        <v>2</v>
      </c>
      <c r="H583" cm="1">
        <f t="array" ref="H583">-isDup(B583,B584,0.7)</f>
        <v>0</v>
      </c>
    </row>
    <row r="584" spans="1:8" x14ac:dyDescent="0.2">
      <c r="A584" s="3">
        <v>45549.921492997688</v>
      </c>
      <c r="B584" t="s">
        <v>151</v>
      </c>
      <c r="C584" t="s">
        <v>22</v>
      </c>
      <c r="E584">
        <v>0</v>
      </c>
      <c r="F584">
        <v>0</v>
      </c>
      <c r="G584" t="s">
        <v>2</v>
      </c>
      <c r="H584" cm="1">
        <f t="array" ref="H584">-isDup(B584,B585,0.7)</f>
        <v>0</v>
      </c>
    </row>
    <row r="585" spans="1:8" x14ac:dyDescent="0.2">
      <c r="A585" s="3">
        <v>45550.921492997688</v>
      </c>
      <c r="B585" t="s">
        <v>153</v>
      </c>
      <c r="C585" t="s">
        <v>22</v>
      </c>
      <c r="E585">
        <v>0</v>
      </c>
      <c r="F585">
        <v>0</v>
      </c>
      <c r="G585" t="s">
        <v>2</v>
      </c>
      <c r="H585" cm="1">
        <f t="array" ref="H585">-isDup(B585,B586,0.7)</f>
        <v>-1</v>
      </c>
    </row>
    <row r="586" spans="1:8" x14ac:dyDescent="0.2">
      <c r="A586" s="3">
        <v>45551.921492997688</v>
      </c>
      <c r="B586" t="s">
        <v>153</v>
      </c>
      <c r="C586" t="s">
        <v>22</v>
      </c>
      <c r="E586">
        <v>0</v>
      </c>
      <c r="F586">
        <v>0</v>
      </c>
      <c r="G586" t="s">
        <v>2</v>
      </c>
      <c r="H586" cm="1">
        <f t="array" ref="H586">-isDup(B586,B587,0.7)</f>
        <v>0</v>
      </c>
    </row>
    <row r="587" spans="1:8" x14ac:dyDescent="0.2">
      <c r="A587" s="3">
        <v>45552.921492997688</v>
      </c>
      <c r="B587" t="s">
        <v>779</v>
      </c>
      <c r="C587" t="s">
        <v>341</v>
      </c>
      <c r="D587" t="s">
        <v>342</v>
      </c>
      <c r="E587">
        <v>1</v>
      </c>
      <c r="F587">
        <v>0</v>
      </c>
      <c r="G587" t="s">
        <v>2</v>
      </c>
      <c r="H587" cm="1">
        <f t="array" ref="H587">-isDup(B587,B588,0.7)</f>
        <v>0</v>
      </c>
    </row>
    <row r="588" spans="1:8" x14ac:dyDescent="0.2">
      <c r="A588" s="3">
        <v>45553.921492997688</v>
      </c>
      <c r="B588" t="s">
        <v>780</v>
      </c>
      <c r="C588" t="s">
        <v>7</v>
      </c>
      <c r="E588">
        <v>0</v>
      </c>
      <c r="F588">
        <v>0</v>
      </c>
      <c r="G588" t="s">
        <v>2</v>
      </c>
      <c r="H588" cm="1">
        <f t="array" ref="H588">-isDup(B588,B589,0.7)</f>
        <v>0</v>
      </c>
    </row>
    <row r="589" spans="1:8" x14ac:dyDescent="0.2">
      <c r="A589" s="3">
        <v>45554.921492997688</v>
      </c>
      <c r="B589" t="s">
        <v>154</v>
      </c>
      <c r="C589" t="s">
        <v>22</v>
      </c>
      <c r="E589">
        <v>0</v>
      </c>
      <c r="F589">
        <v>0</v>
      </c>
      <c r="G589" t="s">
        <v>2</v>
      </c>
      <c r="H589" cm="1">
        <f t="array" ref="H589">-isDup(B589,B590,0.7)</f>
        <v>0</v>
      </c>
    </row>
    <row r="590" spans="1:8" x14ac:dyDescent="0.2">
      <c r="A590" s="3">
        <v>45555.921492997688</v>
      </c>
      <c r="B590" t="s">
        <v>35</v>
      </c>
      <c r="C590" t="s">
        <v>33</v>
      </c>
      <c r="D590" t="s">
        <v>34</v>
      </c>
      <c r="E590">
        <v>0</v>
      </c>
      <c r="F590">
        <v>0</v>
      </c>
      <c r="G590" t="s">
        <v>2</v>
      </c>
      <c r="H590" cm="1">
        <f t="array" ref="H590">-isDup(B590,B591,0.7)</f>
        <v>-1</v>
      </c>
    </row>
    <row r="591" spans="1:8" x14ac:dyDescent="0.2">
      <c r="A591" s="3">
        <v>45556.921492997688</v>
      </c>
      <c r="B591" t="s">
        <v>781</v>
      </c>
      <c r="C591" t="s">
        <v>33</v>
      </c>
      <c r="D591" t="s">
        <v>34</v>
      </c>
      <c r="E591">
        <v>0</v>
      </c>
      <c r="F591">
        <v>0</v>
      </c>
      <c r="G591" t="s">
        <v>2</v>
      </c>
      <c r="H591" cm="1">
        <f t="array" ref="H591">-isDup(B591,B592,0.7)</f>
        <v>0</v>
      </c>
    </row>
    <row r="592" spans="1:8" x14ac:dyDescent="0.2">
      <c r="A592" s="3">
        <v>45557.921492997688</v>
      </c>
      <c r="B592" t="s">
        <v>37</v>
      </c>
      <c r="C592" t="s">
        <v>33</v>
      </c>
      <c r="D592" t="s">
        <v>34</v>
      </c>
      <c r="E592">
        <v>0</v>
      </c>
      <c r="F592">
        <v>0</v>
      </c>
      <c r="G592" t="s">
        <v>2</v>
      </c>
      <c r="H592" cm="1">
        <f t="array" ref="H592">-isDup(B592,B593,0.7)</f>
        <v>0</v>
      </c>
    </row>
    <row r="593" spans="1:8" x14ac:dyDescent="0.2">
      <c r="A593" s="3">
        <v>45558.921492997688</v>
      </c>
      <c r="B593" t="s">
        <v>36</v>
      </c>
      <c r="C593" t="s">
        <v>33</v>
      </c>
      <c r="D593" t="s">
        <v>34</v>
      </c>
      <c r="E593">
        <v>0</v>
      </c>
      <c r="F593">
        <v>0</v>
      </c>
      <c r="G593" t="s">
        <v>2</v>
      </c>
      <c r="H593" cm="1">
        <f t="array" ref="H593">-isDup(B593,B594,0.7)</f>
        <v>0</v>
      </c>
    </row>
    <row r="594" spans="1:8" x14ac:dyDescent="0.2">
      <c r="A594" s="3">
        <v>45559.921492997688</v>
      </c>
      <c r="B594" t="s">
        <v>287</v>
      </c>
      <c r="C594" t="s">
        <v>33</v>
      </c>
      <c r="D594" t="s">
        <v>34</v>
      </c>
      <c r="E594">
        <v>0</v>
      </c>
      <c r="F594">
        <v>0</v>
      </c>
      <c r="G594" t="s">
        <v>2</v>
      </c>
      <c r="H594" cm="1">
        <f t="array" ref="H594">-isDup(B594,B595,0.7)</f>
        <v>0</v>
      </c>
    </row>
    <row r="595" spans="1:8" x14ac:dyDescent="0.2">
      <c r="A595" s="3">
        <v>45560.921492997688</v>
      </c>
      <c r="B595" t="s">
        <v>782</v>
      </c>
      <c r="C595" t="s">
        <v>487</v>
      </c>
      <c r="D595" t="s">
        <v>783</v>
      </c>
      <c r="E595">
        <v>0</v>
      </c>
      <c r="F595">
        <v>0</v>
      </c>
      <c r="G595" t="s">
        <v>2</v>
      </c>
      <c r="H595" cm="1">
        <f t="array" ref="H595">-isDup(B595,B596,0.7)</f>
        <v>0</v>
      </c>
    </row>
    <row r="596" spans="1:8" x14ac:dyDescent="0.2">
      <c r="A596" s="3">
        <v>45561.921492997688</v>
      </c>
      <c r="B596" t="s">
        <v>784</v>
      </c>
      <c r="C596" t="s">
        <v>785</v>
      </c>
      <c r="D596" t="s">
        <v>786</v>
      </c>
      <c r="E596">
        <v>0</v>
      </c>
      <c r="F596">
        <v>2</v>
      </c>
      <c r="G596" t="s">
        <v>2</v>
      </c>
      <c r="H596" cm="1">
        <f t="array" ref="H596">-isDup(B596,B597,0.7)</f>
        <v>0</v>
      </c>
    </row>
    <row r="597" spans="1:8" x14ac:dyDescent="0.2">
      <c r="A597" s="3">
        <v>45562.921492997688</v>
      </c>
      <c r="B597" t="s">
        <v>159</v>
      </c>
      <c r="C597" t="s">
        <v>22</v>
      </c>
      <c r="E597">
        <v>0</v>
      </c>
      <c r="F597">
        <v>0</v>
      </c>
      <c r="G597" t="s">
        <v>2</v>
      </c>
      <c r="H597" cm="1">
        <f t="array" ref="H597">-isDup(B597,B598,0.7)</f>
        <v>0</v>
      </c>
    </row>
    <row r="598" spans="1:8" x14ac:dyDescent="0.2">
      <c r="A598" s="3">
        <v>45563.921492997688</v>
      </c>
      <c r="B598" t="s">
        <v>787</v>
      </c>
      <c r="C598" t="s">
        <v>340</v>
      </c>
      <c r="E598">
        <v>0</v>
      </c>
      <c r="F598">
        <v>0</v>
      </c>
      <c r="G598" t="s">
        <v>2</v>
      </c>
      <c r="H598" cm="1">
        <f t="array" ref="H598">-isDup(B598,B599,0.7)</f>
        <v>-1</v>
      </c>
    </row>
    <row r="599" spans="1:8" x14ac:dyDescent="0.2">
      <c r="A599" s="3">
        <v>45564.921492997688</v>
      </c>
      <c r="B599" t="s">
        <v>788</v>
      </c>
      <c r="C599" t="s">
        <v>789</v>
      </c>
      <c r="D599" t="s">
        <v>790</v>
      </c>
      <c r="E599">
        <v>0</v>
      </c>
      <c r="F599">
        <v>0</v>
      </c>
      <c r="G599" t="s">
        <v>2</v>
      </c>
      <c r="H599" cm="1">
        <f t="array" ref="H599">-isDup(B599,B600,0.7)</f>
        <v>0</v>
      </c>
    </row>
    <row r="600" spans="1:8" x14ac:dyDescent="0.2">
      <c r="A600" s="3">
        <v>45565.921492997688</v>
      </c>
      <c r="B600" t="s">
        <v>787</v>
      </c>
      <c r="C600" t="s">
        <v>341</v>
      </c>
      <c r="D600" t="s">
        <v>342</v>
      </c>
      <c r="E600">
        <v>1</v>
      </c>
      <c r="F600">
        <v>0</v>
      </c>
      <c r="G600" t="s">
        <v>2</v>
      </c>
      <c r="H600" cm="1">
        <f t="array" ref="H600">-isDup(B600,B601,0.7)</f>
        <v>0</v>
      </c>
    </row>
    <row r="601" spans="1:8" x14ac:dyDescent="0.2">
      <c r="A601" s="3">
        <v>45566.921492997688</v>
      </c>
      <c r="B601" t="s">
        <v>791</v>
      </c>
      <c r="C601" t="s">
        <v>792</v>
      </c>
      <c r="D601" t="s">
        <v>793</v>
      </c>
      <c r="E601">
        <v>0</v>
      </c>
      <c r="F601">
        <v>11</v>
      </c>
      <c r="G601" t="s">
        <v>2</v>
      </c>
      <c r="H601" cm="1">
        <f t="array" ref="H601">-isDup(B601,B602,0.7)</f>
        <v>0</v>
      </c>
    </row>
    <row r="602" spans="1:8" x14ac:dyDescent="0.2">
      <c r="A602" s="3">
        <v>45567.921492997688</v>
      </c>
      <c r="B602" t="s">
        <v>165</v>
      </c>
      <c r="C602" t="s">
        <v>22</v>
      </c>
      <c r="E602">
        <v>0</v>
      </c>
      <c r="F602">
        <v>0</v>
      </c>
      <c r="G602" t="s">
        <v>2</v>
      </c>
      <c r="H602" cm="1">
        <f t="array" ref="H602">-isDup(B602,B603,0.7)</f>
        <v>-1</v>
      </c>
    </row>
    <row r="603" spans="1:8" x14ac:dyDescent="0.2">
      <c r="A603" s="3">
        <v>45568.921492997688</v>
      </c>
      <c r="B603" t="s">
        <v>165</v>
      </c>
      <c r="C603" t="s">
        <v>22</v>
      </c>
      <c r="E603">
        <v>0</v>
      </c>
      <c r="F603">
        <v>0</v>
      </c>
      <c r="G603" t="s">
        <v>2</v>
      </c>
      <c r="H603" cm="1">
        <f t="array" ref="H603">-isDup(B603,B604,0.7)</f>
        <v>0</v>
      </c>
    </row>
    <row r="604" spans="1:8" x14ac:dyDescent="0.2">
      <c r="A604" s="3">
        <v>45569.921492997688</v>
      </c>
      <c r="B604" t="s">
        <v>794</v>
      </c>
      <c r="C604" t="s">
        <v>286</v>
      </c>
      <c r="E604">
        <v>0</v>
      </c>
      <c r="F604">
        <v>0</v>
      </c>
      <c r="G604" t="s">
        <v>2</v>
      </c>
      <c r="H604" cm="1">
        <f t="array" ref="H604">-isDup(B604,B605,0.7)</f>
        <v>0</v>
      </c>
    </row>
    <row r="605" spans="1:8" x14ac:dyDescent="0.2">
      <c r="A605" s="3">
        <v>45570.921492997688</v>
      </c>
      <c r="B605" t="s">
        <v>795</v>
      </c>
      <c r="C605" t="s">
        <v>796</v>
      </c>
      <c r="D605" t="s">
        <v>189</v>
      </c>
      <c r="E605">
        <v>0</v>
      </c>
      <c r="F605">
        <v>0</v>
      </c>
      <c r="G605" t="s">
        <v>2</v>
      </c>
      <c r="H605" cm="1">
        <f t="array" ref="H605">-isDup(B605,B606,0.7)</f>
        <v>0</v>
      </c>
    </row>
    <row r="606" spans="1:8" x14ac:dyDescent="0.2">
      <c r="A606" s="3">
        <v>45571.921492997688</v>
      </c>
      <c r="B606" t="s">
        <v>414</v>
      </c>
      <c r="C606" t="s">
        <v>78</v>
      </c>
      <c r="E606">
        <v>0</v>
      </c>
      <c r="F606">
        <v>1</v>
      </c>
      <c r="G606" t="s">
        <v>2</v>
      </c>
      <c r="H606" cm="1">
        <f t="array" ref="H606">-isDup(B606,B607,0.7)</f>
        <v>0</v>
      </c>
    </row>
    <row r="607" spans="1:8" x14ac:dyDescent="0.2">
      <c r="A607" s="3">
        <v>45572.921492997688</v>
      </c>
      <c r="B607" t="s">
        <v>797</v>
      </c>
      <c r="C607" t="s">
        <v>798</v>
      </c>
      <c r="D607" t="s">
        <v>799</v>
      </c>
      <c r="E607">
        <v>0</v>
      </c>
      <c r="F607">
        <v>0</v>
      </c>
      <c r="G607" t="s">
        <v>2</v>
      </c>
      <c r="H607" cm="1">
        <f t="array" ref="H607">-isDup(B607,B608,0.7)</f>
        <v>0</v>
      </c>
    </row>
    <row r="608" spans="1:8" x14ac:dyDescent="0.2">
      <c r="A608" s="3">
        <v>45573.921492997688</v>
      </c>
      <c r="B608" t="s">
        <v>800</v>
      </c>
      <c r="C608" t="s">
        <v>7</v>
      </c>
      <c r="E608">
        <v>0</v>
      </c>
      <c r="F608">
        <v>0</v>
      </c>
      <c r="G608" t="s">
        <v>2</v>
      </c>
      <c r="H608" cm="1">
        <f t="array" ref="H608">-isDup(B608,B609,0.7)</f>
        <v>0</v>
      </c>
    </row>
    <row r="609" spans="1:8" x14ac:dyDescent="0.2">
      <c r="A609" s="3">
        <v>45574.921492997688</v>
      </c>
      <c r="B609" t="s">
        <v>801</v>
      </c>
      <c r="C609" t="s">
        <v>643</v>
      </c>
      <c r="E609">
        <v>0</v>
      </c>
      <c r="F609">
        <v>0</v>
      </c>
      <c r="G609" t="s">
        <v>2</v>
      </c>
      <c r="H609" cm="1">
        <f t="array" ref="H609">-isDup(B609,B610,0.7)</f>
        <v>0</v>
      </c>
    </row>
    <row r="610" spans="1:8" x14ac:dyDescent="0.2">
      <c r="A610" s="3">
        <v>45575.921492997688</v>
      </c>
      <c r="B610" t="s">
        <v>802</v>
      </c>
      <c r="C610" t="s">
        <v>643</v>
      </c>
      <c r="E610">
        <v>0</v>
      </c>
      <c r="F610">
        <v>0</v>
      </c>
      <c r="G610" t="s">
        <v>2</v>
      </c>
      <c r="H610" cm="1">
        <f t="array" ref="H610">-isDup(B610,B611,0.7)</f>
        <v>0</v>
      </c>
    </row>
    <row r="611" spans="1:8" x14ac:dyDescent="0.2">
      <c r="A611" s="3">
        <v>45576.921492997688</v>
      </c>
      <c r="B611" t="s">
        <v>803</v>
      </c>
      <c r="C611" t="s">
        <v>7</v>
      </c>
      <c r="E611">
        <v>0</v>
      </c>
      <c r="F611">
        <v>0</v>
      </c>
      <c r="G611" t="s">
        <v>2</v>
      </c>
      <c r="H611" cm="1">
        <f t="array" ref="H611">-isDup(B611,B612,0.7)</f>
        <v>-1</v>
      </c>
    </row>
    <row r="612" spans="1:8" x14ac:dyDescent="0.2">
      <c r="A612" s="3">
        <v>45577.921492997688</v>
      </c>
      <c r="B612" t="s">
        <v>804</v>
      </c>
      <c r="C612" t="s">
        <v>7</v>
      </c>
      <c r="E612">
        <v>0</v>
      </c>
      <c r="F612">
        <v>0</v>
      </c>
      <c r="G612" t="s">
        <v>2</v>
      </c>
      <c r="H612" cm="1">
        <f t="array" ref="H612">-isDup(B612,B613,0.7)</f>
        <v>0</v>
      </c>
    </row>
    <row r="613" spans="1:8" x14ac:dyDescent="0.2">
      <c r="A613" s="3">
        <v>45578.921492997688</v>
      </c>
      <c r="B613" t="s">
        <v>805</v>
      </c>
      <c r="C613" t="s">
        <v>727</v>
      </c>
      <c r="D613" t="s">
        <v>728</v>
      </c>
      <c r="E613">
        <v>0</v>
      </c>
      <c r="F613">
        <v>8</v>
      </c>
      <c r="G613" t="s">
        <v>2</v>
      </c>
      <c r="H613" cm="1">
        <f t="array" ref="H613">-isDup(B613,B614,0.7)</f>
        <v>0</v>
      </c>
    </row>
    <row r="614" spans="1:8" x14ac:dyDescent="0.2">
      <c r="A614" s="3">
        <v>45579.921492997688</v>
      </c>
      <c r="B614" t="s">
        <v>194</v>
      </c>
      <c r="C614" t="s">
        <v>128</v>
      </c>
      <c r="D614" t="s">
        <v>129</v>
      </c>
      <c r="E614">
        <v>0</v>
      </c>
      <c r="F614">
        <v>0</v>
      </c>
      <c r="G614" t="s">
        <v>2</v>
      </c>
      <c r="H614" cm="1">
        <f t="array" ref="H614">-isDup(B614,B615,0.7)</f>
        <v>0</v>
      </c>
    </row>
    <row r="615" spans="1:8" x14ac:dyDescent="0.2">
      <c r="A615" s="3">
        <v>45580.921492997688</v>
      </c>
      <c r="B615" t="s">
        <v>806</v>
      </c>
      <c r="C615" t="s">
        <v>134</v>
      </c>
      <c r="E615">
        <v>0</v>
      </c>
      <c r="F615">
        <v>0</v>
      </c>
      <c r="G615" t="s">
        <v>2</v>
      </c>
      <c r="H615" cm="1">
        <f t="array" ref="H615">-isDup(B615,B616,0.7)</f>
        <v>0</v>
      </c>
    </row>
    <row r="616" spans="1:8" x14ac:dyDescent="0.2">
      <c r="A616" s="3">
        <v>45581.921492997688</v>
      </c>
      <c r="B616" t="s">
        <v>807</v>
      </c>
      <c r="C616" t="s">
        <v>808</v>
      </c>
      <c r="E616">
        <v>0</v>
      </c>
      <c r="F616">
        <v>2</v>
      </c>
      <c r="G616" t="s">
        <v>2</v>
      </c>
      <c r="H616" cm="1">
        <f t="array" ref="H616">-isDup(B616,B617,0.7)</f>
        <v>0</v>
      </c>
    </row>
    <row r="617" spans="1:8" x14ac:dyDescent="0.2">
      <c r="A617" s="3">
        <v>45582.921492997688</v>
      </c>
      <c r="B617" t="s">
        <v>809</v>
      </c>
      <c r="C617" t="s">
        <v>7</v>
      </c>
      <c r="E617">
        <v>0</v>
      </c>
      <c r="F617">
        <v>0</v>
      </c>
      <c r="G617" t="s">
        <v>2</v>
      </c>
      <c r="H617" cm="1">
        <f t="array" ref="H617">-isDup(B617,B618,0.7)</f>
        <v>0</v>
      </c>
    </row>
    <row r="618" spans="1:8" x14ac:dyDescent="0.2">
      <c r="A618" s="3">
        <v>45583.921492997688</v>
      </c>
      <c r="B618" t="s">
        <v>396</v>
      </c>
      <c r="C618" t="s">
        <v>128</v>
      </c>
      <c r="D618" t="s">
        <v>129</v>
      </c>
      <c r="E618">
        <v>0</v>
      </c>
      <c r="F618">
        <v>0</v>
      </c>
      <c r="G618" t="s">
        <v>2</v>
      </c>
      <c r="H618" cm="1">
        <f t="array" ref="H618">-isDup(B618,B619,0.7)</f>
        <v>-1</v>
      </c>
    </row>
    <row r="619" spans="1:8" x14ac:dyDescent="0.2">
      <c r="A619" s="3">
        <v>45584.921492997688</v>
      </c>
      <c r="B619" t="s">
        <v>396</v>
      </c>
      <c r="C619" t="s">
        <v>143</v>
      </c>
      <c r="D619" t="s">
        <v>129</v>
      </c>
      <c r="E619">
        <v>0</v>
      </c>
      <c r="F619">
        <v>0</v>
      </c>
      <c r="G619" t="s">
        <v>2</v>
      </c>
      <c r="H619" cm="1">
        <f t="array" ref="H619">-isDup(B619,B620,0.7)</f>
        <v>0</v>
      </c>
    </row>
    <row r="620" spans="1:8" x14ac:dyDescent="0.2">
      <c r="A620" s="3">
        <v>45585.921492997688</v>
      </c>
      <c r="B620" t="s">
        <v>810</v>
      </c>
      <c r="C620" t="s">
        <v>7</v>
      </c>
      <c r="E620">
        <v>0</v>
      </c>
      <c r="F620">
        <v>0</v>
      </c>
      <c r="G620" t="s">
        <v>2</v>
      </c>
      <c r="H620" cm="1">
        <f t="array" ref="H620">-isDup(B620,B621,0.7)</f>
        <v>0</v>
      </c>
    </row>
    <row r="621" spans="1:8" x14ac:dyDescent="0.2">
      <c r="A621" s="3">
        <v>45586.921492997688</v>
      </c>
      <c r="B621" t="s">
        <v>811</v>
      </c>
      <c r="C621" t="s">
        <v>128</v>
      </c>
      <c r="D621" t="s">
        <v>129</v>
      </c>
      <c r="E621">
        <v>0</v>
      </c>
      <c r="F621">
        <v>0</v>
      </c>
      <c r="G621" t="s">
        <v>2</v>
      </c>
      <c r="H621" cm="1">
        <f t="array" ref="H621">-isDup(B621,B622,0.7)</f>
        <v>0</v>
      </c>
    </row>
    <row r="622" spans="1:8" x14ac:dyDescent="0.2">
      <c r="A622" s="3">
        <v>45587.921492997688</v>
      </c>
      <c r="B622" t="s">
        <v>429</v>
      </c>
      <c r="C622" t="s">
        <v>128</v>
      </c>
      <c r="D622" t="s">
        <v>129</v>
      </c>
      <c r="E622">
        <v>0</v>
      </c>
      <c r="F622">
        <v>0</v>
      </c>
      <c r="G622" t="s">
        <v>2</v>
      </c>
      <c r="H622" cm="1">
        <f t="array" ref="H622">-isDup(B622,B623,0.7)</f>
        <v>-1</v>
      </c>
    </row>
    <row r="623" spans="1:8" x14ac:dyDescent="0.2">
      <c r="A623" s="3">
        <v>45588.921492997688</v>
      </c>
      <c r="B623" t="s">
        <v>429</v>
      </c>
      <c r="C623" t="s">
        <v>143</v>
      </c>
      <c r="D623" t="s">
        <v>129</v>
      </c>
      <c r="E623">
        <v>0</v>
      </c>
      <c r="F623">
        <v>0</v>
      </c>
      <c r="G623" t="s">
        <v>2</v>
      </c>
      <c r="H623" cm="1">
        <f t="array" ref="H623">-isDup(B623,B624,0.7)</f>
        <v>0</v>
      </c>
    </row>
    <row r="624" spans="1:8" x14ac:dyDescent="0.2">
      <c r="A624" s="3">
        <v>45589.921492997688</v>
      </c>
      <c r="B624" t="s">
        <v>141</v>
      </c>
      <c r="C624" t="s">
        <v>143</v>
      </c>
      <c r="D624" t="s">
        <v>129</v>
      </c>
      <c r="E624">
        <v>0</v>
      </c>
      <c r="F624">
        <v>0</v>
      </c>
      <c r="G624" t="s">
        <v>2</v>
      </c>
      <c r="H624" cm="1">
        <f t="array" ref="H624">-isDup(B624,B625,0.7)</f>
        <v>-1</v>
      </c>
    </row>
    <row r="625" spans="1:8" x14ac:dyDescent="0.2">
      <c r="A625" s="3">
        <v>45590.921492997688</v>
      </c>
      <c r="B625" t="s">
        <v>141</v>
      </c>
      <c r="C625" t="s">
        <v>128</v>
      </c>
      <c r="D625" t="s">
        <v>129</v>
      </c>
      <c r="E625">
        <v>0</v>
      </c>
      <c r="F625">
        <v>0</v>
      </c>
      <c r="G625" t="s">
        <v>2</v>
      </c>
      <c r="H625" cm="1">
        <f t="array" ref="H625">-isDup(B625,B626,0.7)</f>
        <v>0</v>
      </c>
    </row>
    <row r="626" spans="1:8" x14ac:dyDescent="0.2">
      <c r="A626" s="3">
        <v>45591.921492997688</v>
      </c>
      <c r="B626" t="s">
        <v>812</v>
      </c>
      <c r="C626" t="s">
        <v>632</v>
      </c>
      <c r="D626" t="s">
        <v>633</v>
      </c>
      <c r="E626">
        <v>0</v>
      </c>
      <c r="F626">
        <v>1</v>
      </c>
      <c r="G626" t="s">
        <v>2</v>
      </c>
      <c r="H626" cm="1">
        <f t="array" ref="H626">-isDup(B626,B627,0.7)</f>
        <v>0</v>
      </c>
    </row>
    <row r="627" spans="1:8" x14ac:dyDescent="0.2">
      <c r="A627" s="3">
        <v>45592.921492997688</v>
      </c>
      <c r="B627" t="s">
        <v>3</v>
      </c>
      <c r="C627" t="s">
        <v>4</v>
      </c>
      <c r="D627" t="s">
        <v>5</v>
      </c>
      <c r="E627">
        <v>0</v>
      </c>
      <c r="F627">
        <v>0</v>
      </c>
      <c r="G627" t="s">
        <v>2</v>
      </c>
      <c r="H627" cm="1">
        <f t="array" ref="H627">-isDup(B627,B628,0.7)</f>
        <v>0</v>
      </c>
    </row>
    <row r="628" spans="1:8" x14ac:dyDescent="0.2">
      <c r="A628" s="3">
        <v>45593.921492997688</v>
      </c>
      <c r="B628" t="s">
        <v>813</v>
      </c>
      <c r="C628" t="s">
        <v>814</v>
      </c>
      <c r="D628" t="s">
        <v>815</v>
      </c>
      <c r="E628">
        <v>0</v>
      </c>
      <c r="F628">
        <v>0</v>
      </c>
      <c r="G628" t="s">
        <v>2</v>
      </c>
      <c r="H628" cm="1">
        <f t="array" ref="H628">-isDup(B628,B629,0.7)</f>
        <v>0</v>
      </c>
    </row>
    <row r="629" spans="1:8" x14ac:dyDescent="0.2">
      <c r="A629" s="3">
        <v>45594.921492997688</v>
      </c>
      <c r="B629" t="s">
        <v>816</v>
      </c>
      <c r="C629" t="s">
        <v>128</v>
      </c>
      <c r="D629" t="s">
        <v>129</v>
      </c>
      <c r="E629">
        <v>0</v>
      </c>
      <c r="F629">
        <v>0</v>
      </c>
      <c r="G629" t="s">
        <v>2</v>
      </c>
      <c r="H629" cm="1">
        <f t="array" ref="H629">-isDup(B629,B630,0.7)</f>
        <v>0</v>
      </c>
    </row>
    <row r="630" spans="1:8" x14ac:dyDescent="0.2">
      <c r="A630" s="3">
        <v>45595.921492997688</v>
      </c>
      <c r="B630" t="s">
        <v>817</v>
      </c>
      <c r="C630" t="s">
        <v>7</v>
      </c>
      <c r="E630">
        <v>0</v>
      </c>
      <c r="F630">
        <v>0</v>
      </c>
      <c r="G630" t="s">
        <v>2</v>
      </c>
      <c r="H630" cm="1">
        <f t="array" ref="H630">-isDup(B630,B631,0.7)</f>
        <v>0</v>
      </c>
    </row>
    <row r="631" spans="1:8" x14ac:dyDescent="0.2">
      <c r="A631" s="3">
        <v>45596.921492997688</v>
      </c>
      <c r="B631" t="s">
        <v>515</v>
      </c>
      <c r="C631" t="s">
        <v>128</v>
      </c>
      <c r="D631" t="s">
        <v>129</v>
      </c>
      <c r="E631">
        <v>0</v>
      </c>
      <c r="F631">
        <v>0</v>
      </c>
      <c r="G631" t="s">
        <v>2</v>
      </c>
      <c r="H631" cm="1">
        <f t="array" ref="H631">-isDup(B631,B632,0.7)</f>
        <v>-1</v>
      </c>
    </row>
    <row r="632" spans="1:8" x14ac:dyDescent="0.2">
      <c r="A632" s="3">
        <v>45597.921492997688</v>
      </c>
      <c r="B632" t="s">
        <v>515</v>
      </c>
      <c r="C632" t="s">
        <v>143</v>
      </c>
      <c r="D632" t="s">
        <v>129</v>
      </c>
      <c r="E632">
        <v>0</v>
      </c>
      <c r="F632">
        <v>0</v>
      </c>
      <c r="G632" t="s">
        <v>2</v>
      </c>
      <c r="H632" cm="1">
        <f t="array" ref="H632">-isDup(B632,B633,0.7)</f>
        <v>0</v>
      </c>
    </row>
    <row r="633" spans="1:8" x14ac:dyDescent="0.2">
      <c r="A633" s="3">
        <v>45598.921492997688</v>
      </c>
      <c r="B633" t="s">
        <v>818</v>
      </c>
      <c r="C633" t="s">
        <v>819</v>
      </c>
      <c r="D633" t="s">
        <v>820</v>
      </c>
      <c r="E633">
        <v>0</v>
      </c>
      <c r="F633">
        <v>1</v>
      </c>
      <c r="G633" t="s">
        <v>2</v>
      </c>
      <c r="H633" cm="1">
        <f t="array" ref="H633">-isDup(B633,B634,0.7)</f>
        <v>0</v>
      </c>
    </row>
    <row r="634" spans="1:8" x14ac:dyDescent="0.2">
      <c r="A634" s="3">
        <v>45599.921492997688</v>
      </c>
      <c r="B634" t="s">
        <v>821</v>
      </c>
      <c r="C634" t="s">
        <v>7</v>
      </c>
      <c r="E634">
        <v>0</v>
      </c>
      <c r="F634">
        <v>0</v>
      </c>
      <c r="G634" t="s">
        <v>2</v>
      </c>
      <c r="H634" cm="1">
        <f t="array" ref="H634">-isDup(B634,B635,0.7)</f>
        <v>0</v>
      </c>
    </row>
    <row r="635" spans="1:8" x14ac:dyDescent="0.2">
      <c r="A635" s="3">
        <v>45600.921492997688</v>
      </c>
      <c r="B635" t="s">
        <v>822</v>
      </c>
      <c r="C635" t="s">
        <v>823</v>
      </c>
      <c r="E635">
        <v>0</v>
      </c>
      <c r="F635">
        <v>0</v>
      </c>
      <c r="G635" t="s">
        <v>2</v>
      </c>
      <c r="H635" cm="1">
        <f t="array" ref="H635">-isDup(B635,B636,0.7)</f>
        <v>0</v>
      </c>
    </row>
    <row r="636" spans="1:8" x14ac:dyDescent="0.2">
      <c r="A636" s="3">
        <v>45601.921492997688</v>
      </c>
      <c r="B636" t="s">
        <v>824</v>
      </c>
      <c r="C636" t="s">
        <v>825</v>
      </c>
      <c r="E636">
        <v>0</v>
      </c>
      <c r="F636">
        <v>0</v>
      </c>
      <c r="G636" t="s">
        <v>2</v>
      </c>
      <c r="H636" cm="1">
        <f t="array" ref="H636">-isDup(B636,B637,0.7)</f>
        <v>0</v>
      </c>
    </row>
    <row r="637" spans="1:8" x14ac:dyDescent="0.2">
      <c r="A637" s="3">
        <v>45602.921492997688</v>
      </c>
      <c r="B637" t="s">
        <v>826</v>
      </c>
      <c r="C637" t="s">
        <v>673</v>
      </c>
      <c r="E637">
        <v>0</v>
      </c>
      <c r="F637">
        <v>90</v>
      </c>
      <c r="G637" t="s">
        <v>2</v>
      </c>
      <c r="H637" cm="1">
        <f t="array" ref="H637">-isDup(B637,B638,0.7)</f>
        <v>0</v>
      </c>
    </row>
    <row r="638" spans="1:8" x14ac:dyDescent="0.2">
      <c r="A638" s="3">
        <v>45603.921492997688</v>
      </c>
      <c r="B638" t="s">
        <v>827</v>
      </c>
      <c r="C638" t="s">
        <v>412</v>
      </c>
      <c r="D638" t="s">
        <v>828</v>
      </c>
      <c r="E638">
        <v>0</v>
      </c>
      <c r="F638">
        <v>0</v>
      </c>
      <c r="G638" t="s">
        <v>2</v>
      </c>
      <c r="H638" cm="1">
        <f t="array" ref="H638">-isDup(B638,B639,0.7)</f>
        <v>0</v>
      </c>
    </row>
    <row r="639" spans="1:8" x14ac:dyDescent="0.2">
      <c r="A639" s="3">
        <v>45604.921492997688</v>
      </c>
      <c r="B639" t="s">
        <v>36</v>
      </c>
      <c r="C639" t="s">
        <v>33</v>
      </c>
      <c r="D639" t="s">
        <v>34</v>
      </c>
      <c r="E639">
        <v>0</v>
      </c>
      <c r="F639">
        <v>0</v>
      </c>
      <c r="G639" t="s">
        <v>2</v>
      </c>
      <c r="H639" cm="1">
        <f t="array" ref="H639">-isDup(B639,B640,0.7)</f>
        <v>0</v>
      </c>
    </row>
    <row r="640" spans="1:8" x14ac:dyDescent="0.2">
      <c r="A640" s="3">
        <v>45605.921492997688</v>
      </c>
      <c r="B640" t="s">
        <v>37</v>
      </c>
      <c r="C640" t="s">
        <v>33</v>
      </c>
      <c r="D640" t="s">
        <v>34</v>
      </c>
      <c r="E640">
        <v>0</v>
      </c>
      <c r="F640">
        <v>0</v>
      </c>
      <c r="G640" t="s">
        <v>2</v>
      </c>
      <c r="H640" cm="1">
        <f t="array" ref="H640">-isDup(B640,B641,0.7)</f>
        <v>0</v>
      </c>
    </row>
    <row r="641" spans="1:8" x14ac:dyDescent="0.2">
      <c r="A641" s="3">
        <v>45606.921492997688</v>
      </c>
      <c r="B641" t="s">
        <v>829</v>
      </c>
      <c r="C641" t="s">
        <v>33</v>
      </c>
      <c r="D641" t="s">
        <v>34</v>
      </c>
      <c r="E641">
        <v>0</v>
      </c>
      <c r="F641">
        <v>0</v>
      </c>
      <c r="G641" t="s">
        <v>2</v>
      </c>
      <c r="H641" cm="1">
        <f t="array" ref="H641">-isDup(B641,B642,0.7)</f>
        <v>0</v>
      </c>
    </row>
    <row r="642" spans="1:8" x14ac:dyDescent="0.2">
      <c r="A642" s="3">
        <v>45607.921492997688</v>
      </c>
      <c r="B642" t="s">
        <v>35</v>
      </c>
      <c r="C642" t="s">
        <v>33</v>
      </c>
      <c r="D642" t="s">
        <v>34</v>
      </c>
      <c r="E642">
        <v>0</v>
      </c>
      <c r="F642">
        <v>0</v>
      </c>
      <c r="G642" t="s">
        <v>2</v>
      </c>
      <c r="H642" cm="1">
        <f t="array" ref="H642">-isDup(B642,B643,0.7)</f>
        <v>0</v>
      </c>
    </row>
    <row r="643" spans="1:8" x14ac:dyDescent="0.2">
      <c r="A643" s="3">
        <v>45608.921492997688</v>
      </c>
      <c r="B643" t="s">
        <v>287</v>
      </c>
      <c r="C643" t="s">
        <v>33</v>
      </c>
      <c r="D643" t="s">
        <v>34</v>
      </c>
      <c r="E643">
        <v>0</v>
      </c>
      <c r="F643">
        <v>0</v>
      </c>
      <c r="G643" t="s">
        <v>2</v>
      </c>
      <c r="H643" cm="1">
        <f t="array" ref="H643">-isDup(B643,B644,0.7)</f>
        <v>0</v>
      </c>
    </row>
    <row r="644" spans="1:8" x14ac:dyDescent="0.2">
      <c r="A644" s="3">
        <v>45609.921492997688</v>
      </c>
      <c r="B644" t="s">
        <v>830</v>
      </c>
      <c r="C644" t="s">
        <v>699</v>
      </c>
      <c r="D644" t="s">
        <v>700</v>
      </c>
      <c r="E644">
        <v>0</v>
      </c>
      <c r="F644">
        <v>0</v>
      </c>
      <c r="G644" t="s">
        <v>2</v>
      </c>
      <c r="H644" cm="1">
        <f t="array" ref="H644">-isDup(B644,B645,0.7)</f>
        <v>0</v>
      </c>
    </row>
    <row r="645" spans="1:8" x14ac:dyDescent="0.2">
      <c r="A645" s="3">
        <v>45610.921492997688</v>
      </c>
      <c r="B645" t="s">
        <v>831</v>
      </c>
      <c r="C645" t="s">
        <v>832</v>
      </c>
      <c r="E645">
        <v>0</v>
      </c>
      <c r="F645">
        <v>0</v>
      </c>
      <c r="G645" t="s">
        <v>2</v>
      </c>
      <c r="H645" cm="1">
        <f t="array" ref="H645">-isDup(B645,B646,0.7)</f>
        <v>0</v>
      </c>
    </row>
    <row r="646" spans="1:8" x14ac:dyDescent="0.2">
      <c r="A646" s="3">
        <v>45611.921492997688</v>
      </c>
      <c r="B646" t="s">
        <v>833</v>
      </c>
      <c r="C646" t="s">
        <v>12</v>
      </c>
      <c r="D646" t="s">
        <v>13</v>
      </c>
      <c r="E646">
        <v>0</v>
      </c>
      <c r="F646">
        <v>0</v>
      </c>
      <c r="G646" t="s">
        <v>2</v>
      </c>
      <c r="H646" cm="1">
        <f t="array" ref="H646">-isDup(B646,B647,0.7)</f>
        <v>0</v>
      </c>
    </row>
    <row r="647" spans="1:8" x14ac:dyDescent="0.2">
      <c r="A647" s="3">
        <v>45612.921492997688</v>
      </c>
      <c r="B647" t="s">
        <v>834</v>
      </c>
      <c r="C647" t="s">
        <v>835</v>
      </c>
      <c r="E647">
        <v>0</v>
      </c>
      <c r="F647">
        <v>0</v>
      </c>
      <c r="G647" t="s">
        <v>2</v>
      </c>
      <c r="H647" cm="1">
        <f t="array" ref="H647">-isDup(B647,B648,0.7)</f>
        <v>0</v>
      </c>
    </row>
    <row r="648" spans="1:8" x14ac:dyDescent="0.2">
      <c r="A648" s="3">
        <v>45613.921492997688</v>
      </c>
      <c r="B648" t="s">
        <v>836</v>
      </c>
      <c r="C648" t="s">
        <v>7</v>
      </c>
      <c r="E648">
        <v>0</v>
      </c>
      <c r="F648">
        <v>0</v>
      </c>
      <c r="G648" t="s">
        <v>2</v>
      </c>
      <c r="H648" cm="1">
        <f t="array" ref="H648">-isDup(B648,B649,0.7)</f>
        <v>0</v>
      </c>
    </row>
    <row r="649" spans="1:8" x14ac:dyDescent="0.2">
      <c r="A649" s="3">
        <v>45614.921492997688</v>
      </c>
      <c r="B649" t="s">
        <v>837</v>
      </c>
      <c r="C649" t="s">
        <v>294</v>
      </c>
      <c r="E649">
        <v>0</v>
      </c>
      <c r="F649">
        <v>2</v>
      </c>
      <c r="G649" t="s">
        <v>2</v>
      </c>
      <c r="H649" cm="1">
        <f t="array" ref="H649">-isDup(B649,B650,0.7)</f>
        <v>0</v>
      </c>
    </row>
    <row r="650" spans="1:8" x14ac:dyDescent="0.2">
      <c r="A650" s="3">
        <v>45615.921492997688</v>
      </c>
      <c r="B650" t="s">
        <v>838</v>
      </c>
      <c r="C650" t="s">
        <v>24</v>
      </c>
      <c r="D650" t="s">
        <v>25</v>
      </c>
      <c r="E650">
        <v>0</v>
      </c>
      <c r="F650">
        <v>0</v>
      </c>
      <c r="G650" t="s">
        <v>2</v>
      </c>
      <c r="H650" cm="1">
        <f t="array" ref="H650">-isDup(B650,B651,0.7)</f>
        <v>0</v>
      </c>
    </row>
    <row r="651" spans="1:8" x14ac:dyDescent="0.2">
      <c r="A651" s="3">
        <v>45616.921492997688</v>
      </c>
      <c r="B651" t="s">
        <v>839</v>
      </c>
      <c r="C651" t="s">
        <v>840</v>
      </c>
      <c r="E651">
        <v>0</v>
      </c>
      <c r="F651">
        <v>0</v>
      </c>
      <c r="G651" t="s">
        <v>2</v>
      </c>
      <c r="H651" cm="1">
        <f t="array" ref="H651">-isDup(B651,B652,0.7)</f>
        <v>0</v>
      </c>
    </row>
    <row r="652" spans="1:8" x14ac:dyDescent="0.2">
      <c r="A652" s="3">
        <v>45617.921492997688</v>
      </c>
      <c r="B652" t="s">
        <v>841</v>
      </c>
      <c r="C652" t="s">
        <v>842</v>
      </c>
      <c r="D652" t="s">
        <v>843</v>
      </c>
      <c r="E652">
        <v>0</v>
      </c>
      <c r="F652">
        <v>0</v>
      </c>
      <c r="G652" t="s">
        <v>2</v>
      </c>
      <c r="H652" cm="1">
        <f t="array" ref="H652">-isDup(B652,B653,0.7)</f>
        <v>0</v>
      </c>
    </row>
    <row r="653" spans="1:8" x14ac:dyDescent="0.2">
      <c r="A653" s="3">
        <v>45618.921492997688</v>
      </c>
      <c r="B653" t="s">
        <v>844</v>
      </c>
      <c r="C653" t="s">
        <v>845</v>
      </c>
      <c r="D653" t="s">
        <v>846</v>
      </c>
      <c r="E653">
        <v>3</v>
      </c>
      <c r="F653">
        <v>6</v>
      </c>
      <c r="G653" t="s">
        <v>2</v>
      </c>
      <c r="H653" cm="1">
        <f t="array" ref="H653">-isDup(B653,B654,0.7)</f>
        <v>0</v>
      </c>
    </row>
    <row r="654" spans="1:8" x14ac:dyDescent="0.2">
      <c r="A654" s="3">
        <v>45619.921492997688</v>
      </c>
      <c r="B654" t="s">
        <v>27</v>
      </c>
      <c r="C654" t="s">
        <v>12</v>
      </c>
      <c r="D654" t="s">
        <v>13</v>
      </c>
      <c r="E654">
        <v>0</v>
      </c>
      <c r="F654">
        <v>0</v>
      </c>
      <c r="G654" t="s">
        <v>2</v>
      </c>
      <c r="H654" cm="1">
        <f t="array" ref="H654">-isDup(B654,B655,0.7)</f>
        <v>0</v>
      </c>
    </row>
    <row r="655" spans="1:8" x14ac:dyDescent="0.2">
      <c r="A655" s="3">
        <v>45620.921492997688</v>
      </c>
      <c r="B655" t="s">
        <v>847</v>
      </c>
      <c r="C655" t="s">
        <v>128</v>
      </c>
      <c r="D655" t="s">
        <v>129</v>
      </c>
      <c r="E655">
        <v>0</v>
      </c>
      <c r="F655">
        <v>0</v>
      </c>
      <c r="G655" t="s">
        <v>2</v>
      </c>
      <c r="H655" cm="1">
        <f t="array" ref="H655">-isDup(B655,B656,0.7)</f>
        <v>-1</v>
      </c>
    </row>
    <row r="656" spans="1:8" x14ac:dyDescent="0.2">
      <c r="A656" s="3">
        <v>45621.921492997688</v>
      </c>
      <c r="B656" t="s">
        <v>848</v>
      </c>
      <c r="C656" t="s">
        <v>128</v>
      </c>
      <c r="D656" t="s">
        <v>129</v>
      </c>
      <c r="E656">
        <v>0</v>
      </c>
      <c r="F656">
        <v>0</v>
      </c>
      <c r="G656" t="s">
        <v>2</v>
      </c>
      <c r="H656" cm="1">
        <f t="array" ref="H656">-isDup(B656,B657,0.7)</f>
        <v>0</v>
      </c>
    </row>
    <row r="657" spans="1:8" x14ac:dyDescent="0.2">
      <c r="A657" s="3">
        <v>45622.921492997688</v>
      </c>
      <c r="B657" t="s">
        <v>849</v>
      </c>
      <c r="C657" t="s">
        <v>850</v>
      </c>
      <c r="E657">
        <v>0</v>
      </c>
      <c r="F657">
        <v>1</v>
      </c>
      <c r="G657" t="s">
        <v>2</v>
      </c>
      <c r="H657" cm="1">
        <f t="array" ref="H657">-isDup(B657,B658,0.7)</f>
        <v>0</v>
      </c>
    </row>
    <row r="658" spans="1:8" x14ac:dyDescent="0.2">
      <c r="A658" s="3">
        <v>45623.921492997688</v>
      </c>
      <c r="B658" t="s">
        <v>851</v>
      </c>
      <c r="C658" t="s">
        <v>852</v>
      </c>
      <c r="D658" t="s">
        <v>103</v>
      </c>
      <c r="E658">
        <v>0</v>
      </c>
      <c r="F658">
        <v>1</v>
      </c>
      <c r="G658" t="s">
        <v>2</v>
      </c>
      <c r="H658" cm="1">
        <f t="array" ref="H658">-isDup(B658,B659,0.7)</f>
        <v>0</v>
      </c>
    </row>
    <row r="659" spans="1:8" x14ac:dyDescent="0.2">
      <c r="A659" s="3">
        <v>45624.921492997688</v>
      </c>
      <c r="B659" t="s">
        <v>853</v>
      </c>
      <c r="C659" t="s">
        <v>854</v>
      </c>
      <c r="D659" t="s">
        <v>855</v>
      </c>
      <c r="E659">
        <v>0</v>
      </c>
      <c r="F659">
        <v>0</v>
      </c>
      <c r="G659" t="s">
        <v>2</v>
      </c>
      <c r="H659" cm="1">
        <f t="array" ref="H659">-isDup(B659,B660,0.7)</f>
        <v>0</v>
      </c>
    </row>
    <row r="660" spans="1:8" x14ac:dyDescent="0.2">
      <c r="A660" s="3">
        <v>45625.921492997688</v>
      </c>
      <c r="B660" t="s">
        <v>856</v>
      </c>
      <c r="C660" t="s">
        <v>24</v>
      </c>
      <c r="D660" t="s">
        <v>857</v>
      </c>
      <c r="E660">
        <v>0</v>
      </c>
      <c r="F660">
        <v>1</v>
      </c>
      <c r="G660" t="s">
        <v>2</v>
      </c>
      <c r="H660" cm="1">
        <f t="array" ref="H660">-isDup(B660,B661,0.7)</f>
        <v>0</v>
      </c>
    </row>
    <row r="661" spans="1:8" x14ac:dyDescent="0.2">
      <c r="A661" s="3">
        <v>45626.921492997688</v>
      </c>
      <c r="B661" t="s">
        <v>858</v>
      </c>
      <c r="C661" t="s">
        <v>7</v>
      </c>
      <c r="E661">
        <v>0</v>
      </c>
      <c r="F661">
        <v>0</v>
      </c>
      <c r="G661" t="s">
        <v>2</v>
      </c>
      <c r="H661" cm="1">
        <f t="array" ref="H661">-isDup(B661,B662,0.7)</f>
        <v>0</v>
      </c>
    </row>
    <row r="662" spans="1:8" x14ac:dyDescent="0.2">
      <c r="A662" s="3">
        <v>45627.921492997688</v>
      </c>
      <c r="B662" t="s">
        <v>218</v>
      </c>
      <c r="C662" t="s">
        <v>22</v>
      </c>
      <c r="E662">
        <v>0</v>
      </c>
      <c r="F662">
        <v>0</v>
      </c>
      <c r="G662" t="s">
        <v>2</v>
      </c>
      <c r="H662" cm="1">
        <f t="array" ref="H662">-isDup(B662,B663,0.7)</f>
        <v>-1</v>
      </c>
    </row>
    <row r="663" spans="1:8" x14ac:dyDescent="0.2">
      <c r="A663" s="3">
        <v>45628.921492997688</v>
      </c>
      <c r="B663" t="s">
        <v>218</v>
      </c>
      <c r="C663" t="s">
        <v>22</v>
      </c>
      <c r="E663">
        <v>0</v>
      </c>
      <c r="F663">
        <v>0</v>
      </c>
      <c r="G663" t="s">
        <v>2</v>
      </c>
      <c r="H663" cm="1">
        <f t="array" ref="H663">-isDup(B663,B664,0.7)</f>
        <v>0</v>
      </c>
    </row>
    <row r="664" spans="1:8" x14ac:dyDescent="0.2">
      <c r="A664" s="3">
        <v>45629.921492997688</v>
      </c>
      <c r="B664" t="s">
        <v>859</v>
      </c>
      <c r="C664" t="s">
        <v>860</v>
      </c>
      <c r="D664" t="s">
        <v>861</v>
      </c>
      <c r="E664">
        <v>0</v>
      </c>
      <c r="F664">
        <v>0</v>
      </c>
      <c r="G664" t="s">
        <v>2</v>
      </c>
      <c r="H664" cm="1">
        <f t="array" ref="H664">-isDup(B664,B665,0.7)</f>
        <v>0</v>
      </c>
    </row>
    <row r="665" spans="1:8" x14ac:dyDescent="0.2">
      <c r="A665" s="3">
        <v>45630.921492997688</v>
      </c>
      <c r="B665" t="s">
        <v>432</v>
      </c>
      <c r="C665" t="s">
        <v>128</v>
      </c>
      <c r="D665" t="s">
        <v>129</v>
      </c>
      <c r="E665">
        <v>0</v>
      </c>
      <c r="F665">
        <v>0</v>
      </c>
      <c r="G665" t="s">
        <v>2</v>
      </c>
      <c r="H665" cm="1">
        <f t="array" ref="H665">-isDup(B665,B666,0.7)</f>
        <v>-1</v>
      </c>
    </row>
    <row r="666" spans="1:8" x14ac:dyDescent="0.2">
      <c r="A666" s="3">
        <v>45631.921492997688</v>
      </c>
      <c r="B666" t="s">
        <v>432</v>
      </c>
      <c r="C666" t="s">
        <v>143</v>
      </c>
      <c r="D666" t="s">
        <v>129</v>
      </c>
      <c r="E666">
        <v>0</v>
      </c>
      <c r="F666">
        <v>0</v>
      </c>
      <c r="G666" t="s">
        <v>2</v>
      </c>
      <c r="H666" cm="1">
        <f t="array" ref="H666">-isDup(B666,B667,0.7)</f>
        <v>0</v>
      </c>
    </row>
    <row r="667" spans="1:8" x14ac:dyDescent="0.2">
      <c r="A667" s="3">
        <v>45632.921492997688</v>
      </c>
      <c r="B667" t="s">
        <v>862</v>
      </c>
      <c r="C667" t="s">
        <v>608</v>
      </c>
      <c r="E667">
        <v>0</v>
      </c>
      <c r="F667">
        <v>0</v>
      </c>
      <c r="G667" t="s">
        <v>2</v>
      </c>
      <c r="H667" cm="1">
        <f t="array" ref="H667">-isDup(B667,B668,0.7)</f>
        <v>0</v>
      </c>
    </row>
    <row r="668" spans="1:8" x14ac:dyDescent="0.2">
      <c r="A668" s="3">
        <v>45633.921492997688</v>
      </c>
      <c r="B668" t="s">
        <v>863</v>
      </c>
      <c r="C668" t="s">
        <v>864</v>
      </c>
      <c r="E668">
        <v>0</v>
      </c>
      <c r="F668">
        <v>0</v>
      </c>
      <c r="G668" t="s">
        <v>2</v>
      </c>
      <c r="H668" cm="1">
        <f t="array" ref="H668">-isDup(B668,B669,0.7)</f>
        <v>0</v>
      </c>
    </row>
    <row r="669" spans="1:8" x14ac:dyDescent="0.2">
      <c r="A669" s="3">
        <v>45634.921492997688</v>
      </c>
      <c r="B669" t="s">
        <v>865</v>
      </c>
      <c r="C669" t="s">
        <v>7</v>
      </c>
      <c r="E669">
        <v>0</v>
      </c>
      <c r="F669">
        <v>0</v>
      </c>
      <c r="G669" t="s">
        <v>2</v>
      </c>
      <c r="H669" cm="1">
        <f t="array" ref="H669">-isDup(B669,B670,0.7)</f>
        <v>0</v>
      </c>
    </row>
    <row r="670" spans="1:8" x14ac:dyDescent="0.2">
      <c r="A670" s="3">
        <v>45635.921492997688</v>
      </c>
      <c r="B670" t="s">
        <v>600</v>
      </c>
      <c r="C670" t="s">
        <v>12</v>
      </c>
      <c r="D670" t="s">
        <v>13</v>
      </c>
      <c r="E670">
        <v>0</v>
      </c>
      <c r="F670">
        <v>0</v>
      </c>
      <c r="G670" t="s">
        <v>2</v>
      </c>
      <c r="H670" cm="1">
        <f t="array" ref="H670">-isDup(B670,B671,0.7)</f>
        <v>0</v>
      </c>
    </row>
    <row r="671" spans="1:8" x14ac:dyDescent="0.2">
      <c r="A671" s="3">
        <v>45636.921492997688</v>
      </c>
      <c r="B671" t="s">
        <v>866</v>
      </c>
      <c r="C671" t="s">
        <v>300</v>
      </c>
      <c r="D671" t="s">
        <v>301</v>
      </c>
      <c r="E671">
        <v>0</v>
      </c>
      <c r="F671">
        <v>0</v>
      </c>
      <c r="G671" t="s">
        <v>2</v>
      </c>
      <c r="H671" cm="1">
        <f t="array" ref="H671">-isDup(B671,B672,0.7)</f>
        <v>0</v>
      </c>
    </row>
    <row r="672" spans="1:8" x14ac:dyDescent="0.2">
      <c r="A672" s="3">
        <v>45637.921492997688</v>
      </c>
      <c r="B672" t="s">
        <v>867</v>
      </c>
      <c r="C672" t="s">
        <v>24</v>
      </c>
      <c r="D672" t="s">
        <v>25</v>
      </c>
      <c r="E672">
        <v>0</v>
      </c>
      <c r="F672">
        <v>1</v>
      </c>
      <c r="G672" t="s">
        <v>2</v>
      </c>
      <c r="H672" cm="1">
        <f t="array" ref="H672">-isDup(B672,B673,0.7)</f>
        <v>0</v>
      </c>
    </row>
    <row r="673" spans="1:8" x14ac:dyDescent="0.2">
      <c r="A673" s="3">
        <v>45638.921492997688</v>
      </c>
      <c r="B673" t="s">
        <v>868</v>
      </c>
      <c r="C673" t="s">
        <v>24</v>
      </c>
      <c r="D673" t="s">
        <v>25</v>
      </c>
      <c r="E673">
        <v>0</v>
      </c>
      <c r="F673">
        <v>0</v>
      </c>
      <c r="G673" t="s">
        <v>2</v>
      </c>
      <c r="H673" cm="1">
        <f t="array" ref="H673">-isDup(B673,B674,0.7)</f>
        <v>0</v>
      </c>
    </row>
    <row r="674" spans="1:8" x14ac:dyDescent="0.2">
      <c r="A674" s="3">
        <v>45639.921492997688</v>
      </c>
      <c r="B674" t="s">
        <v>869</v>
      </c>
      <c r="C674" t="s">
        <v>24</v>
      </c>
      <c r="D674" t="s">
        <v>25</v>
      </c>
      <c r="E674">
        <v>0</v>
      </c>
      <c r="F674">
        <v>0</v>
      </c>
      <c r="G674" t="s">
        <v>2</v>
      </c>
      <c r="H674" cm="1">
        <f t="array" ref="H674">-isDup(B674,B675,0.7)</f>
        <v>0</v>
      </c>
    </row>
    <row r="675" spans="1:8" x14ac:dyDescent="0.2">
      <c r="A675" s="3">
        <v>45640.921492997688</v>
      </c>
      <c r="B675" t="s">
        <v>537</v>
      </c>
      <c r="C675" t="s">
        <v>24</v>
      </c>
      <c r="D675" t="s">
        <v>25</v>
      </c>
      <c r="E675">
        <v>0</v>
      </c>
      <c r="F675">
        <v>0</v>
      </c>
      <c r="G675" t="s">
        <v>2</v>
      </c>
      <c r="H675" cm="1">
        <f t="array" ref="H675">-isDup(B675,B676,0.7)</f>
        <v>0</v>
      </c>
    </row>
    <row r="676" spans="1:8" x14ac:dyDescent="0.2">
      <c r="A676" s="3">
        <v>45641.921492997688</v>
      </c>
      <c r="B676" t="s">
        <v>870</v>
      </c>
      <c r="C676" t="s">
        <v>871</v>
      </c>
      <c r="E676">
        <v>1</v>
      </c>
      <c r="F676">
        <v>2</v>
      </c>
      <c r="G676" t="s">
        <v>2</v>
      </c>
      <c r="H676" cm="1">
        <f t="array" ref="H676">-isDup(B676,B677,0.7)</f>
        <v>0</v>
      </c>
    </row>
    <row r="677" spans="1:8" x14ac:dyDescent="0.2">
      <c r="A677" s="3">
        <v>45642.921492997688</v>
      </c>
      <c r="B677" t="s">
        <v>872</v>
      </c>
      <c r="C677" t="s">
        <v>873</v>
      </c>
      <c r="D677" t="s">
        <v>874</v>
      </c>
      <c r="E677">
        <v>0</v>
      </c>
      <c r="F677">
        <v>0</v>
      </c>
      <c r="G677" t="s">
        <v>2</v>
      </c>
      <c r="H677" cm="1">
        <f t="array" ref="H677">-isDup(B677,B678,0.7)</f>
        <v>0</v>
      </c>
    </row>
    <row r="678" spans="1:8" x14ac:dyDescent="0.2">
      <c r="A678" s="3">
        <v>45643.921492997688</v>
      </c>
      <c r="B678" t="s">
        <v>875</v>
      </c>
      <c r="C678" t="s">
        <v>7</v>
      </c>
      <c r="E678">
        <v>0</v>
      </c>
      <c r="F678">
        <v>0</v>
      </c>
      <c r="G678" t="s">
        <v>2</v>
      </c>
      <c r="H678" cm="1">
        <f t="array" ref="H678">-isDup(B678,B679,0.7)</f>
        <v>0</v>
      </c>
    </row>
    <row r="679" spans="1:8" x14ac:dyDescent="0.2">
      <c r="A679" s="3">
        <v>45644.921492997688</v>
      </c>
      <c r="B679" t="s">
        <v>876</v>
      </c>
      <c r="C679" t="s">
        <v>102</v>
      </c>
      <c r="D679" t="s">
        <v>103</v>
      </c>
      <c r="E679">
        <v>0</v>
      </c>
      <c r="F679">
        <v>0</v>
      </c>
      <c r="G679" t="s">
        <v>2</v>
      </c>
      <c r="H679" cm="1">
        <f t="array" ref="H679">-isDup(B679,B680,0.7)</f>
        <v>0</v>
      </c>
    </row>
    <row r="680" spans="1:8" x14ac:dyDescent="0.2">
      <c r="A680" s="3">
        <v>45645.921492997688</v>
      </c>
      <c r="B680" t="s">
        <v>877</v>
      </c>
      <c r="C680" t="s">
        <v>510</v>
      </c>
      <c r="E680">
        <v>1</v>
      </c>
      <c r="F680">
        <v>2</v>
      </c>
      <c r="G680" t="s">
        <v>2</v>
      </c>
      <c r="H680" cm="1">
        <f t="array" ref="H680">-isDup(B680,B681,0.7)</f>
        <v>0</v>
      </c>
    </row>
    <row r="681" spans="1:8" x14ac:dyDescent="0.2">
      <c r="A681" s="3">
        <v>45646.921492997688</v>
      </c>
      <c r="B681" t="s">
        <v>878</v>
      </c>
      <c r="C681" t="s">
        <v>879</v>
      </c>
      <c r="D681" t="s">
        <v>880</v>
      </c>
      <c r="E681">
        <v>0</v>
      </c>
      <c r="F681">
        <v>1</v>
      </c>
      <c r="G681" t="s">
        <v>2</v>
      </c>
      <c r="H681" cm="1">
        <f t="array" ref="H681">-isDup(B681,B682,0.7)</f>
        <v>0</v>
      </c>
    </row>
    <row r="682" spans="1:8" x14ac:dyDescent="0.2">
      <c r="A682" s="3">
        <v>45647.921492997688</v>
      </c>
      <c r="B682" t="s">
        <v>881</v>
      </c>
      <c r="C682" t="s">
        <v>882</v>
      </c>
      <c r="E682">
        <v>0</v>
      </c>
      <c r="F682">
        <v>0</v>
      </c>
      <c r="G682" t="s">
        <v>2</v>
      </c>
      <c r="H682" cm="1">
        <f t="array" ref="H682">-isDup(B682,B683,0.7)</f>
        <v>-1</v>
      </c>
    </row>
    <row r="683" spans="1:8" x14ac:dyDescent="0.2">
      <c r="A683" s="3">
        <v>45648.921492997688</v>
      </c>
      <c r="B683" t="s">
        <v>760</v>
      </c>
      <c r="C683" t="s">
        <v>24</v>
      </c>
      <c r="D683" t="s">
        <v>25</v>
      </c>
      <c r="E683">
        <v>0</v>
      </c>
      <c r="F683">
        <v>0</v>
      </c>
      <c r="G683" t="s">
        <v>2</v>
      </c>
      <c r="H683" cm="1">
        <f t="array" ref="H683">-isDup(B683,B684,0.7)</f>
        <v>0</v>
      </c>
    </row>
    <row r="684" spans="1:8" x14ac:dyDescent="0.2">
      <c r="A684" s="3">
        <v>45649.921492997688</v>
      </c>
      <c r="B684" t="s">
        <v>863</v>
      </c>
      <c r="C684" t="s">
        <v>24</v>
      </c>
      <c r="D684" t="s">
        <v>25</v>
      </c>
      <c r="E684">
        <v>0</v>
      </c>
      <c r="F684">
        <v>0</v>
      </c>
      <c r="G684" t="s">
        <v>2</v>
      </c>
      <c r="H684" cm="1">
        <f t="array" ref="H684">-isDup(B684,B685,0.7)</f>
        <v>0</v>
      </c>
    </row>
    <row r="685" spans="1:8" x14ac:dyDescent="0.2">
      <c r="A685" s="3">
        <v>45650.921492997688</v>
      </c>
      <c r="B685" t="s">
        <v>3</v>
      </c>
      <c r="C685" t="s">
        <v>4</v>
      </c>
      <c r="D685" t="s">
        <v>5</v>
      </c>
      <c r="E685">
        <v>0</v>
      </c>
      <c r="F685">
        <v>0</v>
      </c>
      <c r="G685" t="s">
        <v>2</v>
      </c>
      <c r="H685" cm="1">
        <f t="array" ref="H685">-isDup(B685,B686,0.7)</f>
        <v>0</v>
      </c>
    </row>
    <row r="686" spans="1:8" x14ac:dyDescent="0.2">
      <c r="A686" s="3">
        <v>45651.921492997688</v>
      </c>
      <c r="B686" t="s">
        <v>148</v>
      </c>
      <c r="C686" t="s">
        <v>24</v>
      </c>
      <c r="D686" t="s">
        <v>25</v>
      </c>
      <c r="E686">
        <v>0</v>
      </c>
      <c r="F686">
        <v>0</v>
      </c>
      <c r="G686" t="s">
        <v>2</v>
      </c>
      <c r="H686" cm="1">
        <f t="array" ref="H686">-isDup(B686,B687,0.7)</f>
        <v>0</v>
      </c>
    </row>
    <row r="687" spans="1:8" x14ac:dyDescent="0.2">
      <c r="A687" s="3">
        <v>45652.921492997688</v>
      </c>
      <c r="B687" t="s">
        <v>883</v>
      </c>
      <c r="C687" t="s">
        <v>884</v>
      </c>
      <c r="D687" t="s">
        <v>34</v>
      </c>
      <c r="E687">
        <v>0</v>
      </c>
      <c r="F687">
        <v>2</v>
      </c>
      <c r="G687" t="s">
        <v>2</v>
      </c>
      <c r="H687" cm="1">
        <f t="array" ref="H687">-isDup(B687,B688,0.7)</f>
        <v>0</v>
      </c>
    </row>
    <row r="688" spans="1:8" x14ac:dyDescent="0.2">
      <c r="A688" s="3">
        <v>45653.921492997688</v>
      </c>
      <c r="B688" t="s">
        <v>885</v>
      </c>
      <c r="C688" t="s">
        <v>24</v>
      </c>
      <c r="D688" t="s">
        <v>25</v>
      </c>
      <c r="E688">
        <v>0</v>
      </c>
      <c r="F688">
        <v>0</v>
      </c>
      <c r="G688" t="s">
        <v>2</v>
      </c>
      <c r="H688" cm="1">
        <f t="array" ref="H688">-isDup(B688,B689,0.7)</f>
        <v>0</v>
      </c>
    </row>
    <row r="689" spans="1:8" x14ac:dyDescent="0.2">
      <c r="A689" s="3">
        <v>45654.921492997688</v>
      </c>
      <c r="B689" t="s">
        <v>886</v>
      </c>
      <c r="C689" t="s">
        <v>887</v>
      </c>
      <c r="E689">
        <v>0</v>
      </c>
      <c r="F689">
        <v>0</v>
      </c>
      <c r="G689" t="s">
        <v>2</v>
      </c>
      <c r="H689" cm="1">
        <f t="array" ref="H689">-isDup(B689,B690,0.7)</f>
        <v>0</v>
      </c>
    </row>
    <row r="690" spans="1:8" x14ac:dyDescent="0.2">
      <c r="A690" s="3">
        <v>45655.921492997688</v>
      </c>
      <c r="B690" t="s">
        <v>888</v>
      </c>
      <c r="C690" t="s">
        <v>24</v>
      </c>
      <c r="D690" t="s">
        <v>25</v>
      </c>
      <c r="E690">
        <v>0</v>
      </c>
      <c r="F690">
        <v>0</v>
      </c>
      <c r="G690" t="s">
        <v>2</v>
      </c>
      <c r="H690" cm="1">
        <f t="array" ref="H690">-isDup(B690,B691,0.7)</f>
        <v>0</v>
      </c>
    </row>
    <row r="691" spans="1:8" x14ac:dyDescent="0.2">
      <c r="A691" s="3">
        <v>45656.921492997688</v>
      </c>
      <c r="B691" t="s">
        <v>29</v>
      </c>
      <c r="C691" t="s">
        <v>24</v>
      </c>
      <c r="D691" t="s">
        <v>25</v>
      </c>
      <c r="E691">
        <v>0</v>
      </c>
      <c r="F691">
        <v>0</v>
      </c>
      <c r="G691" t="s">
        <v>2</v>
      </c>
      <c r="H691" cm="1">
        <f t="array" ref="H691">-isDup(B691,B692,0.7)</f>
        <v>0</v>
      </c>
    </row>
    <row r="692" spans="1:8" x14ac:dyDescent="0.2">
      <c r="A692" s="3">
        <v>45657.921492997688</v>
      </c>
      <c r="B692" t="s">
        <v>889</v>
      </c>
      <c r="C692" t="s">
        <v>24</v>
      </c>
      <c r="D692" t="s">
        <v>25</v>
      </c>
      <c r="E692">
        <v>0</v>
      </c>
      <c r="F692">
        <v>1</v>
      </c>
      <c r="G692" t="s">
        <v>2</v>
      </c>
      <c r="H692" cm="1">
        <f t="array" ref="H692">-isDup(B692,B693,0.7)</f>
        <v>0</v>
      </c>
    </row>
    <row r="693" spans="1:8" x14ac:dyDescent="0.2">
      <c r="A693" s="3">
        <v>45658.921492997688</v>
      </c>
      <c r="B693" t="s">
        <v>890</v>
      </c>
      <c r="C693" t="s">
        <v>891</v>
      </c>
      <c r="D693" t="s">
        <v>892</v>
      </c>
      <c r="E693">
        <v>0</v>
      </c>
      <c r="F693">
        <v>0</v>
      </c>
      <c r="G693" t="s">
        <v>2</v>
      </c>
      <c r="H693" cm="1">
        <f t="array" ref="H693">-isDup(B693,B694,0.7)</f>
        <v>0</v>
      </c>
    </row>
    <row r="694" spans="1:8" x14ac:dyDescent="0.2">
      <c r="A694" s="3">
        <v>45659.921492997688</v>
      </c>
      <c r="B694" t="s">
        <v>99</v>
      </c>
      <c r="C694" t="s">
        <v>24</v>
      </c>
      <c r="D694" t="s">
        <v>25</v>
      </c>
      <c r="E694">
        <v>1</v>
      </c>
      <c r="F694">
        <v>0</v>
      </c>
      <c r="G694" t="s">
        <v>2</v>
      </c>
      <c r="H694" cm="1">
        <f t="array" ref="H694">-isDup(B694,B695,0.7)</f>
        <v>0</v>
      </c>
    </row>
    <row r="695" spans="1:8" x14ac:dyDescent="0.2">
      <c r="A695" s="3">
        <v>45660.921492997688</v>
      </c>
      <c r="B695" t="s">
        <v>337</v>
      </c>
      <c r="C695" t="s">
        <v>143</v>
      </c>
      <c r="D695" t="s">
        <v>129</v>
      </c>
      <c r="E695">
        <v>0</v>
      </c>
      <c r="F695">
        <v>0</v>
      </c>
      <c r="G695" t="s">
        <v>2</v>
      </c>
      <c r="H695" cm="1">
        <f t="array" ref="H695">-isDup(B695,B696,0.7)</f>
        <v>-1</v>
      </c>
    </row>
    <row r="696" spans="1:8" x14ac:dyDescent="0.2">
      <c r="A696" s="3">
        <v>45661.921492997688</v>
      </c>
      <c r="B696" t="s">
        <v>337</v>
      </c>
      <c r="C696" t="s">
        <v>128</v>
      </c>
      <c r="D696" t="s">
        <v>129</v>
      </c>
      <c r="E696">
        <v>0</v>
      </c>
      <c r="F696">
        <v>0</v>
      </c>
      <c r="G696" t="s">
        <v>2</v>
      </c>
      <c r="H696" cm="1">
        <f t="array" ref="H696">-isDup(B696,B697,0.7)</f>
        <v>0</v>
      </c>
    </row>
    <row r="697" spans="1:8" x14ac:dyDescent="0.2">
      <c r="A697" s="3">
        <v>45662.921492997688</v>
      </c>
      <c r="B697" t="s">
        <v>893</v>
      </c>
      <c r="C697" t="s">
        <v>7</v>
      </c>
      <c r="E697">
        <v>0</v>
      </c>
      <c r="F697">
        <v>0</v>
      </c>
      <c r="G697" t="s">
        <v>2</v>
      </c>
      <c r="H697" cm="1">
        <f t="array" ref="H697">-isDup(B697,B698,0.7)</f>
        <v>0</v>
      </c>
    </row>
    <row r="698" spans="1:8" x14ac:dyDescent="0.2">
      <c r="A698" s="3">
        <v>45663.921492997688</v>
      </c>
      <c r="B698" t="s">
        <v>375</v>
      </c>
      <c r="C698" t="s">
        <v>128</v>
      </c>
      <c r="D698" t="s">
        <v>129</v>
      </c>
      <c r="E698">
        <v>0</v>
      </c>
      <c r="F698">
        <v>0</v>
      </c>
      <c r="G698" t="s">
        <v>2</v>
      </c>
      <c r="H698" cm="1">
        <f t="array" ref="H698">-isDup(B698,B699,0.7)</f>
        <v>0</v>
      </c>
    </row>
    <row r="699" spans="1:8" x14ac:dyDescent="0.2">
      <c r="A699" s="3">
        <v>45664.921492997688</v>
      </c>
      <c r="B699" t="s">
        <v>326</v>
      </c>
      <c r="C699" t="s">
        <v>128</v>
      </c>
      <c r="D699" t="s">
        <v>129</v>
      </c>
      <c r="E699">
        <v>0</v>
      </c>
      <c r="F699">
        <v>0</v>
      </c>
      <c r="G699" t="s">
        <v>2</v>
      </c>
      <c r="H699" cm="1">
        <f t="array" ref="H699">-isDup(B699,B700,0.7)</f>
        <v>-1</v>
      </c>
    </row>
    <row r="700" spans="1:8" x14ac:dyDescent="0.2">
      <c r="A700" s="3">
        <v>45665.921492997688</v>
      </c>
      <c r="B700" t="s">
        <v>326</v>
      </c>
      <c r="C700" t="s">
        <v>143</v>
      </c>
      <c r="D700" t="s">
        <v>129</v>
      </c>
      <c r="E700">
        <v>0</v>
      </c>
      <c r="F700">
        <v>0</v>
      </c>
      <c r="G700" t="s">
        <v>2</v>
      </c>
      <c r="H700" cm="1">
        <f t="array" ref="H700">-isDup(B700,B701,0.7)</f>
        <v>0</v>
      </c>
    </row>
    <row r="701" spans="1:8" x14ac:dyDescent="0.2">
      <c r="A701" s="3">
        <v>45666.921492997688</v>
      </c>
      <c r="B701" t="s">
        <v>141</v>
      </c>
      <c r="C701" t="s">
        <v>143</v>
      </c>
      <c r="D701" t="s">
        <v>129</v>
      </c>
      <c r="E701">
        <v>0</v>
      </c>
      <c r="F701">
        <v>0</v>
      </c>
      <c r="G701" t="s">
        <v>2</v>
      </c>
      <c r="H701" cm="1">
        <f t="array" ref="H701">-isDup(B701,B702,0.7)</f>
        <v>-1</v>
      </c>
    </row>
    <row r="702" spans="1:8" x14ac:dyDescent="0.2">
      <c r="A702" s="3">
        <v>45667.921492997688</v>
      </c>
      <c r="B702" t="s">
        <v>141</v>
      </c>
      <c r="C702" t="s">
        <v>128</v>
      </c>
      <c r="D702" t="s">
        <v>129</v>
      </c>
      <c r="E702">
        <v>0</v>
      </c>
      <c r="F702">
        <v>0</v>
      </c>
      <c r="G702" t="s">
        <v>2</v>
      </c>
      <c r="H702" cm="1">
        <f t="array" ref="H702">-isDup(B702,B703,0.7)</f>
        <v>0</v>
      </c>
    </row>
    <row r="703" spans="1:8" x14ac:dyDescent="0.2">
      <c r="A703" s="3">
        <v>45668.921492997688</v>
      </c>
      <c r="B703" t="s">
        <v>368</v>
      </c>
      <c r="C703" t="s">
        <v>128</v>
      </c>
      <c r="D703" t="s">
        <v>129</v>
      </c>
      <c r="E703">
        <v>0</v>
      </c>
      <c r="F703">
        <v>1</v>
      </c>
      <c r="G703" t="s">
        <v>2</v>
      </c>
      <c r="H703" cm="1">
        <f t="array" ref="H703">-isDup(B703,B704,0.7)</f>
        <v>-1</v>
      </c>
    </row>
    <row r="704" spans="1:8" x14ac:dyDescent="0.2">
      <c r="A704" s="3">
        <v>45669.921492997688</v>
      </c>
      <c r="B704" t="s">
        <v>368</v>
      </c>
      <c r="C704" t="s">
        <v>143</v>
      </c>
      <c r="D704" t="s">
        <v>129</v>
      </c>
      <c r="E704">
        <v>0</v>
      </c>
      <c r="F704">
        <v>0</v>
      </c>
      <c r="G704" t="s">
        <v>2</v>
      </c>
      <c r="H704" cm="1">
        <f t="array" ref="H704">-isDup(B704,B705,0.7)</f>
        <v>0</v>
      </c>
    </row>
    <row r="705" spans="1:8" x14ac:dyDescent="0.2">
      <c r="A705" s="3">
        <v>45670.921492997688</v>
      </c>
      <c r="B705" t="s">
        <v>35</v>
      </c>
      <c r="C705" t="s">
        <v>33</v>
      </c>
      <c r="D705" t="s">
        <v>34</v>
      </c>
      <c r="E705">
        <v>0</v>
      </c>
      <c r="F705">
        <v>0</v>
      </c>
      <c r="G705" t="s">
        <v>2</v>
      </c>
      <c r="H705" cm="1">
        <f t="array" ref="H705">-isDup(B705,B706,0.7)</f>
        <v>-1</v>
      </c>
    </row>
    <row r="706" spans="1:8" x14ac:dyDescent="0.2">
      <c r="A706" s="3">
        <v>45671.921492997688</v>
      </c>
      <c r="B706" t="s">
        <v>894</v>
      </c>
      <c r="C706" t="s">
        <v>33</v>
      </c>
      <c r="D706" t="s">
        <v>34</v>
      </c>
      <c r="E706">
        <v>0</v>
      </c>
      <c r="F706">
        <v>0</v>
      </c>
      <c r="G706" t="s">
        <v>2</v>
      </c>
      <c r="H706" cm="1">
        <f t="array" ref="H706">-isDup(B706,B707,0.7)</f>
        <v>0</v>
      </c>
    </row>
    <row r="707" spans="1:8" x14ac:dyDescent="0.2">
      <c r="A707" s="3">
        <v>45672.921492997688</v>
      </c>
      <c r="B707" t="s">
        <v>37</v>
      </c>
      <c r="C707" t="s">
        <v>33</v>
      </c>
      <c r="D707" t="s">
        <v>34</v>
      </c>
      <c r="E707">
        <v>0</v>
      </c>
      <c r="F707">
        <v>0</v>
      </c>
      <c r="G707" t="s">
        <v>2</v>
      </c>
      <c r="H707" cm="1">
        <f t="array" ref="H707">-isDup(B707,B708,0.7)</f>
        <v>0</v>
      </c>
    </row>
    <row r="708" spans="1:8" x14ac:dyDescent="0.2">
      <c r="A708" s="3">
        <v>45673.921492997688</v>
      </c>
      <c r="B708" t="s">
        <v>36</v>
      </c>
      <c r="C708" t="s">
        <v>33</v>
      </c>
      <c r="D708" t="s">
        <v>34</v>
      </c>
      <c r="E708">
        <v>0</v>
      </c>
      <c r="F708">
        <v>0</v>
      </c>
      <c r="G708" t="s">
        <v>2</v>
      </c>
      <c r="H708" cm="1">
        <f t="array" ref="H708">-isDup(B708,B709,0.7)</f>
        <v>0</v>
      </c>
    </row>
    <row r="709" spans="1:8" x14ac:dyDescent="0.2">
      <c r="A709" s="3">
        <v>45674.921492997688</v>
      </c>
      <c r="B709" t="s">
        <v>287</v>
      </c>
      <c r="C709" t="s">
        <v>33</v>
      </c>
      <c r="D709" t="s">
        <v>34</v>
      </c>
      <c r="E709">
        <v>0</v>
      </c>
      <c r="F709">
        <v>0</v>
      </c>
      <c r="G709" t="s">
        <v>2</v>
      </c>
      <c r="H709" cm="1">
        <f t="array" ref="H709">-isDup(B709,B710,0.7)</f>
        <v>0</v>
      </c>
    </row>
    <row r="710" spans="1:8" x14ac:dyDescent="0.2">
      <c r="A710" s="3">
        <v>45675.921492997688</v>
      </c>
      <c r="B710" t="s">
        <v>895</v>
      </c>
      <c r="C710" t="s">
        <v>7</v>
      </c>
      <c r="E710">
        <v>0</v>
      </c>
      <c r="F710">
        <v>0</v>
      </c>
      <c r="G710" t="s">
        <v>2</v>
      </c>
      <c r="H710" cm="1">
        <f t="array" ref="H710">-isDup(B710,B711,0.7)</f>
        <v>0</v>
      </c>
    </row>
    <row r="711" spans="1:8" x14ac:dyDescent="0.2">
      <c r="A711" s="3">
        <v>45676.921492997688</v>
      </c>
      <c r="B711" t="s">
        <v>896</v>
      </c>
      <c r="C711" t="s">
        <v>897</v>
      </c>
      <c r="E711">
        <v>0</v>
      </c>
      <c r="F711">
        <v>0</v>
      </c>
      <c r="G711" t="s">
        <v>2</v>
      </c>
      <c r="H711" cm="1">
        <f t="array" ref="H711">-isDup(B711,B712,0.7)</f>
        <v>0</v>
      </c>
    </row>
    <row r="712" spans="1:8" x14ac:dyDescent="0.2">
      <c r="A712" s="3">
        <v>45677.921492997688</v>
      </c>
      <c r="B712" t="s">
        <v>898</v>
      </c>
      <c r="C712" t="s">
        <v>840</v>
      </c>
      <c r="D712" t="s">
        <v>899</v>
      </c>
      <c r="E712">
        <v>0</v>
      </c>
      <c r="F712">
        <v>0</v>
      </c>
      <c r="G712" t="s">
        <v>2</v>
      </c>
      <c r="H712" cm="1">
        <f t="array" ref="H712">-isDup(B712,B713,0.7)</f>
        <v>0</v>
      </c>
    </row>
    <row r="713" spans="1:8" x14ac:dyDescent="0.2">
      <c r="A713" s="3">
        <v>45678.921492997688</v>
      </c>
      <c r="B713" t="s">
        <v>339</v>
      </c>
      <c r="C713" t="s">
        <v>143</v>
      </c>
      <c r="D713" t="s">
        <v>129</v>
      </c>
      <c r="E713">
        <v>0</v>
      </c>
      <c r="F713">
        <v>0</v>
      </c>
      <c r="G713" t="s">
        <v>2</v>
      </c>
      <c r="H713" cm="1">
        <f t="array" ref="H713">-isDup(B713,B714,0.7)</f>
        <v>-1</v>
      </c>
    </row>
    <row r="714" spans="1:8" x14ac:dyDescent="0.2">
      <c r="A714" s="3">
        <v>45679.921492997688</v>
      </c>
      <c r="B714" t="s">
        <v>339</v>
      </c>
      <c r="C714" t="s">
        <v>128</v>
      </c>
      <c r="D714" t="s">
        <v>129</v>
      </c>
      <c r="E714">
        <v>0</v>
      </c>
      <c r="F714">
        <v>0</v>
      </c>
      <c r="G714" t="s">
        <v>2</v>
      </c>
      <c r="H714" cm="1">
        <f t="array" ref="H714">-isDup(B714,B715,0.7)</f>
        <v>0</v>
      </c>
    </row>
    <row r="715" spans="1:8" x14ac:dyDescent="0.2">
      <c r="A715" s="3">
        <v>45680.921492997688</v>
      </c>
      <c r="B715" t="s">
        <v>900</v>
      </c>
      <c r="C715" t="s">
        <v>577</v>
      </c>
      <c r="D715" t="s">
        <v>721</v>
      </c>
      <c r="E715">
        <v>0</v>
      </c>
      <c r="F715">
        <v>1</v>
      </c>
      <c r="G715" t="s">
        <v>2</v>
      </c>
      <c r="H715" cm="1">
        <f t="array" ref="H715">-isDup(B715,B716,0.7)</f>
        <v>0</v>
      </c>
    </row>
    <row r="716" spans="1:8" x14ac:dyDescent="0.2">
      <c r="A716" s="3">
        <v>45681.921492997688</v>
      </c>
      <c r="B716" t="s">
        <v>901</v>
      </c>
      <c r="C716" t="s">
        <v>128</v>
      </c>
      <c r="D716" t="s">
        <v>129</v>
      </c>
      <c r="E716">
        <v>0</v>
      </c>
      <c r="F716">
        <v>0</v>
      </c>
      <c r="G716" t="s">
        <v>2</v>
      </c>
      <c r="H716" cm="1">
        <f t="array" ref="H716">-isDup(B716,B717,0.7)</f>
        <v>0</v>
      </c>
    </row>
    <row r="717" spans="1:8" x14ac:dyDescent="0.2">
      <c r="A717" s="3">
        <v>45682.921492997688</v>
      </c>
      <c r="B717" t="s">
        <v>192</v>
      </c>
      <c r="C717" t="s">
        <v>128</v>
      </c>
      <c r="D717" t="s">
        <v>129</v>
      </c>
      <c r="E717">
        <v>0</v>
      </c>
      <c r="F717">
        <v>0</v>
      </c>
      <c r="G717" t="s">
        <v>2</v>
      </c>
      <c r="H717" cm="1">
        <f t="array" ref="H717">-isDup(B717,B718,0.7)</f>
        <v>-1</v>
      </c>
    </row>
    <row r="718" spans="1:8" x14ac:dyDescent="0.2">
      <c r="A718" s="3">
        <v>45683.921492997688</v>
      </c>
      <c r="B718" t="s">
        <v>192</v>
      </c>
      <c r="C718" t="s">
        <v>143</v>
      </c>
      <c r="D718" t="s">
        <v>129</v>
      </c>
      <c r="E718">
        <v>0</v>
      </c>
      <c r="F718">
        <v>0</v>
      </c>
      <c r="G718" t="s">
        <v>2</v>
      </c>
      <c r="H718" cm="1">
        <f t="array" ref="H718">-isDup(B718,B719,0.7)</f>
        <v>0</v>
      </c>
    </row>
    <row r="719" spans="1:8" x14ac:dyDescent="0.2">
      <c r="A719" s="3">
        <v>45684.921492997688</v>
      </c>
      <c r="B719" t="s">
        <v>902</v>
      </c>
      <c r="C719" t="s">
        <v>128</v>
      </c>
      <c r="D719" t="s">
        <v>129</v>
      </c>
      <c r="E719">
        <v>0</v>
      </c>
      <c r="F719">
        <v>0</v>
      </c>
      <c r="G719" t="s">
        <v>2</v>
      </c>
      <c r="H719" cm="1">
        <f t="array" ref="H719">-isDup(B719,B720,0.7)</f>
        <v>-1</v>
      </c>
    </row>
    <row r="720" spans="1:8" x14ac:dyDescent="0.2">
      <c r="A720" s="3">
        <v>45685.921492997688</v>
      </c>
      <c r="B720" t="s">
        <v>902</v>
      </c>
      <c r="C720" t="s">
        <v>143</v>
      </c>
      <c r="D720" t="s">
        <v>129</v>
      </c>
      <c r="E720">
        <v>0</v>
      </c>
      <c r="F720">
        <v>0</v>
      </c>
      <c r="G720" t="s">
        <v>2</v>
      </c>
      <c r="H720" cm="1">
        <f t="array" ref="H720">-isDup(B720,B721,0.7)</f>
        <v>0</v>
      </c>
    </row>
    <row r="721" spans="1:8" x14ac:dyDescent="0.2">
      <c r="A721" s="3">
        <v>45686.921492997688</v>
      </c>
      <c r="B721" t="s">
        <v>903</v>
      </c>
      <c r="C721" t="s">
        <v>7</v>
      </c>
      <c r="E721">
        <v>0</v>
      </c>
      <c r="F721">
        <v>0</v>
      </c>
      <c r="G721" t="s">
        <v>2</v>
      </c>
      <c r="H721" cm="1">
        <f t="array" ref="H721">-isDup(B721,B722,0.7)</f>
        <v>0</v>
      </c>
    </row>
    <row r="722" spans="1:8" x14ac:dyDescent="0.2">
      <c r="A722" s="3">
        <v>45687.921492997688</v>
      </c>
      <c r="B722" t="s">
        <v>904</v>
      </c>
      <c r="C722" t="s">
        <v>905</v>
      </c>
      <c r="D722" t="s">
        <v>906</v>
      </c>
      <c r="E722">
        <v>0</v>
      </c>
      <c r="F722">
        <v>0</v>
      </c>
      <c r="G722" t="s">
        <v>2</v>
      </c>
      <c r="H722" cm="1">
        <f t="array" ref="H722">-isDup(B722,B723,0.7)</f>
        <v>0</v>
      </c>
    </row>
    <row r="723" spans="1:8" x14ac:dyDescent="0.2">
      <c r="A723" s="3">
        <v>45688.921492997688</v>
      </c>
      <c r="B723" t="s">
        <v>907</v>
      </c>
      <c r="C723" t="s">
        <v>7</v>
      </c>
      <c r="E723">
        <v>0</v>
      </c>
      <c r="F723">
        <v>0</v>
      </c>
      <c r="G723" t="s">
        <v>2</v>
      </c>
      <c r="H723" cm="1">
        <f t="array" ref="H723">-isDup(B723,B724,0.7)</f>
        <v>0</v>
      </c>
    </row>
    <row r="724" spans="1:8" x14ac:dyDescent="0.2">
      <c r="A724" s="3">
        <v>45689.921492997688</v>
      </c>
      <c r="B724" t="s">
        <v>38</v>
      </c>
      <c r="C724" t="s">
        <v>143</v>
      </c>
      <c r="E724">
        <v>0</v>
      </c>
      <c r="F724">
        <v>0</v>
      </c>
      <c r="G724" t="s">
        <v>2</v>
      </c>
      <c r="H724" cm="1">
        <f t="array" ref="H724">-isDup(B724,B725,0.7)</f>
        <v>0</v>
      </c>
    </row>
    <row r="725" spans="1:8" x14ac:dyDescent="0.2">
      <c r="A725" s="3">
        <v>45690.921492997688</v>
      </c>
      <c r="B725" t="s">
        <v>908</v>
      </c>
      <c r="C725" t="s">
        <v>48</v>
      </c>
      <c r="E725">
        <v>0</v>
      </c>
      <c r="F725">
        <v>1</v>
      </c>
      <c r="G725" t="s">
        <v>2</v>
      </c>
      <c r="H725" cm="1">
        <f t="array" ref="H725">-isDup(B725,B726,0.7)</f>
        <v>0</v>
      </c>
    </row>
    <row r="726" spans="1:8" x14ac:dyDescent="0.2">
      <c r="A726" s="3">
        <v>45691.921492997688</v>
      </c>
      <c r="B726" t="s">
        <v>909</v>
      </c>
      <c r="C726" t="s">
        <v>910</v>
      </c>
      <c r="D726" t="s">
        <v>911</v>
      </c>
      <c r="E726">
        <v>0</v>
      </c>
      <c r="F726">
        <v>0</v>
      </c>
      <c r="G726" t="s">
        <v>2</v>
      </c>
      <c r="H726" cm="1">
        <f t="array" ref="H726">-isDup(B726,B727,0.7)</f>
        <v>0</v>
      </c>
    </row>
    <row r="727" spans="1:8" x14ac:dyDescent="0.2">
      <c r="A727" s="3">
        <v>45692.921492997688</v>
      </c>
      <c r="B727" t="s">
        <v>867</v>
      </c>
      <c r="C727" t="s">
        <v>149</v>
      </c>
      <c r="D727" t="s">
        <v>150</v>
      </c>
      <c r="E727">
        <v>0</v>
      </c>
      <c r="F727">
        <v>0</v>
      </c>
      <c r="G727" t="s">
        <v>2</v>
      </c>
      <c r="H727" cm="1">
        <f t="array" ref="H727">-isDup(B727,B728,0.7)</f>
        <v>0</v>
      </c>
    </row>
    <row r="728" spans="1:8" x14ac:dyDescent="0.2">
      <c r="A728" s="3">
        <v>45693.921492997688</v>
      </c>
      <c r="B728" t="s">
        <v>912</v>
      </c>
      <c r="C728" t="s">
        <v>7</v>
      </c>
      <c r="E728">
        <v>0</v>
      </c>
      <c r="F728">
        <v>0</v>
      </c>
      <c r="G728" t="s">
        <v>2</v>
      </c>
      <c r="H728" cm="1">
        <f t="array" ref="H728">-isDup(B728,B729,0.7)</f>
        <v>0</v>
      </c>
    </row>
    <row r="729" spans="1:8" x14ac:dyDescent="0.2">
      <c r="A729" s="3">
        <v>45694.921492997688</v>
      </c>
      <c r="B729" t="s">
        <v>913</v>
      </c>
      <c r="C729" t="s">
        <v>692</v>
      </c>
      <c r="D729" t="s">
        <v>693</v>
      </c>
      <c r="E729">
        <v>0</v>
      </c>
      <c r="F729">
        <v>0</v>
      </c>
      <c r="G729" t="s">
        <v>2</v>
      </c>
      <c r="H729" cm="1">
        <f t="array" ref="H729">-isDup(B729,B730,0.7)</f>
        <v>0</v>
      </c>
    </row>
    <row r="730" spans="1:8" x14ac:dyDescent="0.2">
      <c r="A730" s="3">
        <v>45695.921492997688</v>
      </c>
      <c r="B730" t="s">
        <v>914</v>
      </c>
      <c r="C730" t="s">
        <v>643</v>
      </c>
      <c r="E730">
        <v>0</v>
      </c>
      <c r="F730">
        <v>0</v>
      </c>
      <c r="G730" t="s">
        <v>2</v>
      </c>
      <c r="H730" cm="1">
        <f t="array" ref="H730">-isDup(B730,B731,0.7)</f>
        <v>0</v>
      </c>
    </row>
    <row r="731" spans="1:8" x14ac:dyDescent="0.2">
      <c r="A731" s="3">
        <v>45696.921492997688</v>
      </c>
      <c r="B731" t="s">
        <v>915</v>
      </c>
      <c r="C731" t="s">
        <v>7</v>
      </c>
      <c r="E731">
        <v>0</v>
      </c>
      <c r="F731">
        <v>0</v>
      </c>
      <c r="G731" t="s">
        <v>2</v>
      </c>
      <c r="H731" cm="1">
        <f t="array" ref="H731">-isDup(B731,B732,0.7)</f>
        <v>0</v>
      </c>
    </row>
    <row r="732" spans="1:8" x14ac:dyDescent="0.2">
      <c r="A732" s="3">
        <v>45697.921492997688</v>
      </c>
      <c r="B732" t="s">
        <v>916</v>
      </c>
      <c r="C732" t="s">
        <v>98</v>
      </c>
      <c r="D732" t="s">
        <v>13</v>
      </c>
      <c r="E732">
        <v>0</v>
      </c>
      <c r="F732">
        <v>0</v>
      </c>
      <c r="G732" t="s">
        <v>2</v>
      </c>
      <c r="H732" cm="1">
        <f t="array" ref="H732">-isDup(B732,B733,0.7)</f>
        <v>0</v>
      </c>
    </row>
    <row r="733" spans="1:8" x14ac:dyDescent="0.2">
      <c r="A733" s="3">
        <v>45698.921492997688</v>
      </c>
      <c r="B733" t="s">
        <v>917</v>
      </c>
      <c r="C733" t="s">
        <v>7</v>
      </c>
      <c r="E733">
        <v>0</v>
      </c>
      <c r="F733">
        <v>0</v>
      </c>
      <c r="G733" t="s">
        <v>2</v>
      </c>
      <c r="H733" cm="1">
        <f t="array" ref="H733">-isDup(B733,B734,0.7)</f>
        <v>0</v>
      </c>
    </row>
    <row r="734" spans="1:8" x14ac:dyDescent="0.2">
      <c r="A734" s="3">
        <v>45699.921492997688</v>
      </c>
      <c r="B734" t="s">
        <v>918</v>
      </c>
      <c r="C734" t="s">
        <v>919</v>
      </c>
      <c r="D734" t="s">
        <v>210</v>
      </c>
      <c r="E734">
        <v>19</v>
      </c>
      <c r="F734">
        <v>62</v>
      </c>
      <c r="G734" t="s">
        <v>2</v>
      </c>
      <c r="H734" cm="1">
        <f t="array" ref="H734">-isDup(B734,B735,0.7)</f>
        <v>0</v>
      </c>
    </row>
    <row r="735" spans="1:8" x14ac:dyDescent="0.2">
      <c r="A735" s="3">
        <v>45700.921492997688</v>
      </c>
      <c r="B735" t="s">
        <v>333</v>
      </c>
      <c r="C735" t="s">
        <v>128</v>
      </c>
      <c r="D735" t="s">
        <v>129</v>
      </c>
      <c r="E735">
        <v>0</v>
      </c>
      <c r="F735">
        <v>0</v>
      </c>
      <c r="G735" t="s">
        <v>2</v>
      </c>
      <c r="H735" cm="1">
        <f t="array" ref="H735">-isDup(B735,B736,0.7)</f>
        <v>0</v>
      </c>
    </row>
    <row r="736" spans="1:8" x14ac:dyDescent="0.2">
      <c r="A736" s="3">
        <v>45701.921492997688</v>
      </c>
      <c r="B736" t="s">
        <v>169</v>
      </c>
      <c r="C736" t="s">
        <v>143</v>
      </c>
      <c r="D736" t="s">
        <v>129</v>
      </c>
      <c r="E736">
        <v>0</v>
      </c>
      <c r="F736">
        <v>0</v>
      </c>
      <c r="G736" t="s">
        <v>2</v>
      </c>
      <c r="H736" cm="1">
        <f t="array" ref="H736">-isDup(B736,B737,0.7)</f>
        <v>-1</v>
      </c>
    </row>
    <row r="737" spans="1:8" x14ac:dyDescent="0.2">
      <c r="A737" s="3">
        <v>45702.921492997688</v>
      </c>
      <c r="B737" t="s">
        <v>169</v>
      </c>
      <c r="C737" t="s">
        <v>128</v>
      </c>
      <c r="D737" t="s">
        <v>129</v>
      </c>
      <c r="E737">
        <v>0</v>
      </c>
      <c r="F737">
        <v>0</v>
      </c>
      <c r="G737" t="s">
        <v>2</v>
      </c>
      <c r="H737" cm="1">
        <f t="array" ref="H737">-isDup(B737,B738,0.7)</f>
        <v>0</v>
      </c>
    </row>
    <row r="738" spans="1:8" x14ac:dyDescent="0.2">
      <c r="A738" s="3">
        <v>45703.921492997688</v>
      </c>
      <c r="B738" t="s">
        <v>920</v>
      </c>
      <c r="C738" t="s">
        <v>7</v>
      </c>
      <c r="E738">
        <v>0</v>
      </c>
      <c r="F738">
        <v>0</v>
      </c>
      <c r="G738" t="s">
        <v>2</v>
      </c>
      <c r="H738" cm="1">
        <f t="array" ref="H738">-isDup(B738,B739,0.7)</f>
        <v>0</v>
      </c>
    </row>
    <row r="739" spans="1:8" x14ac:dyDescent="0.2">
      <c r="A739" s="3">
        <v>45704.921492997688</v>
      </c>
      <c r="B739" t="s">
        <v>921</v>
      </c>
      <c r="C739" t="s">
        <v>7</v>
      </c>
      <c r="E739">
        <v>0</v>
      </c>
      <c r="F739">
        <v>0</v>
      </c>
      <c r="G739" t="s">
        <v>2</v>
      </c>
      <c r="H739" cm="1">
        <f t="array" ref="H739">-isDup(B739,B740,0.7)</f>
        <v>0</v>
      </c>
    </row>
    <row r="740" spans="1:8" x14ac:dyDescent="0.2">
      <c r="A740" s="3">
        <v>45705.921492997688</v>
      </c>
      <c r="B740" t="s">
        <v>922</v>
      </c>
      <c r="C740" t="s">
        <v>7</v>
      </c>
      <c r="E740">
        <v>0</v>
      </c>
      <c r="F740">
        <v>0</v>
      </c>
      <c r="G740" t="s">
        <v>2</v>
      </c>
      <c r="H740" cm="1">
        <f t="array" ref="H740">-isDup(B740,B741,0.7)</f>
        <v>0</v>
      </c>
    </row>
    <row r="741" spans="1:8" x14ac:dyDescent="0.2">
      <c r="A741" s="3">
        <v>45706.921492997688</v>
      </c>
      <c r="B741" t="s">
        <v>923</v>
      </c>
      <c r="C741" t="s">
        <v>924</v>
      </c>
      <c r="E741">
        <v>0</v>
      </c>
      <c r="F741">
        <v>4</v>
      </c>
      <c r="G741" t="s">
        <v>2</v>
      </c>
      <c r="H741" cm="1">
        <f t="array" ref="H741">-isDup(B741,B742,0.7)</f>
        <v>0</v>
      </c>
    </row>
    <row r="742" spans="1:8" x14ac:dyDescent="0.2">
      <c r="A742" s="3">
        <v>45707.921492997688</v>
      </c>
      <c r="B742" t="s">
        <v>925</v>
      </c>
      <c r="C742" t="s">
        <v>7</v>
      </c>
      <c r="E742">
        <v>0</v>
      </c>
      <c r="F742">
        <v>0</v>
      </c>
      <c r="G742" t="s">
        <v>2</v>
      </c>
      <c r="H742" cm="1">
        <f t="array" ref="H742">-isDup(B742,B743,0.7)</f>
        <v>0</v>
      </c>
    </row>
    <row r="743" spans="1:8" x14ac:dyDescent="0.2">
      <c r="A743" s="3">
        <v>45708.921492997688</v>
      </c>
      <c r="B743" t="s">
        <v>926</v>
      </c>
      <c r="C743" t="s">
        <v>7</v>
      </c>
      <c r="E743">
        <v>0</v>
      </c>
      <c r="F743">
        <v>0</v>
      </c>
      <c r="G743" t="s">
        <v>2</v>
      </c>
      <c r="H743" cm="1">
        <f t="array" ref="H743">-isDup(B743,B744,0.7)</f>
        <v>0</v>
      </c>
    </row>
    <row r="744" spans="1:8" x14ac:dyDescent="0.2">
      <c r="A744" s="3">
        <v>45709.921492997688</v>
      </c>
      <c r="B744" t="s">
        <v>3</v>
      </c>
      <c r="C744" t="s">
        <v>4</v>
      </c>
      <c r="D744" t="s">
        <v>5</v>
      </c>
      <c r="E744">
        <v>0</v>
      </c>
      <c r="F744">
        <v>0</v>
      </c>
      <c r="G744" t="s">
        <v>2</v>
      </c>
      <c r="H744" cm="1">
        <f t="array" ref="H744">-isDup(B744,B745,0.7)</f>
        <v>0</v>
      </c>
    </row>
    <row r="745" spans="1:8" x14ac:dyDescent="0.2">
      <c r="A745" s="3">
        <v>45710.921492997688</v>
      </c>
      <c r="B745" t="s">
        <v>927</v>
      </c>
      <c r="C745" t="s">
        <v>7</v>
      </c>
      <c r="E745">
        <v>0</v>
      </c>
      <c r="F745">
        <v>0</v>
      </c>
      <c r="G745" t="s">
        <v>2</v>
      </c>
      <c r="H745" cm="1">
        <f t="array" ref="H745">-isDup(B745,B746,0.7)</f>
        <v>-1</v>
      </c>
    </row>
    <row r="746" spans="1:8" x14ac:dyDescent="0.2">
      <c r="A746" s="3">
        <v>45711.921492997688</v>
      </c>
      <c r="B746" t="s">
        <v>928</v>
      </c>
      <c r="C746" t="s">
        <v>7</v>
      </c>
      <c r="E746">
        <v>0</v>
      </c>
      <c r="F746">
        <v>0</v>
      </c>
      <c r="G746" t="s">
        <v>2</v>
      </c>
      <c r="H746" cm="1">
        <f t="array" ref="H746">-isDup(B746,B747,0.7)</f>
        <v>0</v>
      </c>
    </row>
    <row r="747" spans="1:8" x14ac:dyDescent="0.2">
      <c r="A747" s="3">
        <v>45712.921492997688</v>
      </c>
      <c r="B747" t="s">
        <v>929</v>
      </c>
      <c r="C747" t="s">
        <v>510</v>
      </c>
      <c r="E747">
        <v>0</v>
      </c>
      <c r="F747">
        <v>0</v>
      </c>
      <c r="G747" t="s">
        <v>2</v>
      </c>
      <c r="H747" cm="1">
        <f t="array" ref="H747">-isDup(B747,B748,0.7)</f>
        <v>0</v>
      </c>
    </row>
    <row r="748" spans="1:8" x14ac:dyDescent="0.2">
      <c r="A748" s="3">
        <v>45713.921492997688</v>
      </c>
      <c r="B748" t="s">
        <v>930</v>
      </c>
      <c r="C748" t="s">
        <v>7</v>
      </c>
      <c r="E748">
        <v>0</v>
      </c>
      <c r="F748">
        <v>0</v>
      </c>
      <c r="G748" t="s">
        <v>2</v>
      </c>
      <c r="H748" cm="1">
        <f t="array" ref="H748">-isDup(B748,B749,0.7)</f>
        <v>0</v>
      </c>
    </row>
    <row r="749" spans="1:8" x14ac:dyDescent="0.2">
      <c r="A749" s="3">
        <v>45714.921492997688</v>
      </c>
      <c r="B749" t="s">
        <v>21</v>
      </c>
      <c r="C749" t="s">
        <v>22</v>
      </c>
      <c r="E749">
        <v>0</v>
      </c>
      <c r="F749">
        <v>0</v>
      </c>
      <c r="G749" t="s">
        <v>2</v>
      </c>
      <c r="H749" cm="1">
        <f t="array" ref="H749">-isDup(B749,B750,0.7)</f>
        <v>-1</v>
      </c>
    </row>
    <row r="750" spans="1:8" x14ac:dyDescent="0.2">
      <c r="A750" s="3">
        <v>45715.921492997688</v>
      </c>
      <c r="B750" t="s">
        <v>21</v>
      </c>
      <c r="C750" t="s">
        <v>22</v>
      </c>
      <c r="E750">
        <v>0</v>
      </c>
      <c r="F750">
        <v>0</v>
      </c>
      <c r="G750" t="s">
        <v>2</v>
      </c>
      <c r="H750" cm="1">
        <f t="array" ref="H750">-isDup(B750,B751,0.7)</f>
        <v>0</v>
      </c>
    </row>
    <row r="751" spans="1:8" x14ac:dyDescent="0.2">
      <c r="A751" s="3">
        <v>45716.921492997688</v>
      </c>
      <c r="B751" t="s">
        <v>931</v>
      </c>
      <c r="C751" t="s">
        <v>932</v>
      </c>
      <c r="D751" t="s">
        <v>933</v>
      </c>
      <c r="E751">
        <v>1</v>
      </c>
      <c r="F751">
        <v>6</v>
      </c>
      <c r="G751" t="s">
        <v>2</v>
      </c>
      <c r="H751" cm="1">
        <f t="array" ref="H751">-isDup(B751,B752,0.7)</f>
        <v>0</v>
      </c>
    </row>
    <row r="752" spans="1:8" x14ac:dyDescent="0.2">
      <c r="A752" s="3">
        <v>45717.921492997688</v>
      </c>
      <c r="B752" t="s">
        <v>35</v>
      </c>
      <c r="C752" t="s">
        <v>33</v>
      </c>
      <c r="D752" t="s">
        <v>34</v>
      </c>
      <c r="E752">
        <v>0</v>
      </c>
      <c r="F752">
        <v>0</v>
      </c>
      <c r="G752" t="s">
        <v>2</v>
      </c>
      <c r="H752" cm="1">
        <f t="array" ref="H752">-isDup(B752,B753,0.7)</f>
        <v>-1</v>
      </c>
    </row>
    <row r="753" spans="1:8" x14ac:dyDescent="0.2">
      <c r="A753" s="3">
        <v>45718.921492997688</v>
      </c>
      <c r="B753" t="s">
        <v>934</v>
      </c>
      <c r="C753" t="s">
        <v>33</v>
      </c>
      <c r="D753" t="s">
        <v>34</v>
      </c>
      <c r="E753">
        <v>0</v>
      </c>
      <c r="F753">
        <v>0</v>
      </c>
      <c r="G753" t="s">
        <v>2</v>
      </c>
      <c r="H753" cm="1">
        <f t="array" ref="H753">-isDup(B753,B754,0.7)</f>
        <v>0</v>
      </c>
    </row>
    <row r="754" spans="1:8" x14ac:dyDescent="0.2">
      <c r="A754" s="3">
        <v>45719.921492997688</v>
      </c>
      <c r="B754" t="s">
        <v>37</v>
      </c>
      <c r="C754" t="s">
        <v>33</v>
      </c>
      <c r="D754" t="s">
        <v>34</v>
      </c>
      <c r="E754">
        <v>0</v>
      </c>
      <c r="F754">
        <v>0</v>
      </c>
      <c r="G754" t="s">
        <v>2</v>
      </c>
      <c r="H754" cm="1">
        <f t="array" ref="H754">-isDup(B754,B755,0.7)</f>
        <v>0</v>
      </c>
    </row>
    <row r="755" spans="1:8" x14ac:dyDescent="0.2">
      <c r="A755" s="3">
        <v>45720.921492997688</v>
      </c>
      <c r="B755" t="s">
        <v>36</v>
      </c>
      <c r="C755" t="s">
        <v>33</v>
      </c>
      <c r="D755" t="s">
        <v>34</v>
      </c>
      <c r="E755">
        <v>0</v>
      </c>
      <c r="F755">
        <v>0</v>
      </c>
      <c r="G755" t="s">
        <v>2</v>
      </c>
      <c r="H755" cm="1">
        <f t="array" ref="H755">-isDup(B755,B756,0.7)</f>
        <v>0</v>
      </c>
    </row>
    <row r="756" spans="1:8" x14ac:dyDescent="0.2">
      <c r="A756" s="3">
        <v>45721.921492997688</v>
      </c>
      <c r="B756" t="s">
        <v>287</v>
      </c>
      <c r="C756" t="s">
        <v>33</v>
      </c>
      <c r="D756" t="s">
        <v>34</v>
      </c>
      <c r="E756">
        <v>0</v>
      </c>
      <c r="F756">
        <v>0</v>
      </c>
      <c r="G756" t="s">
        <v>2</v>
      </c>
      <c r="H756" cm="1">
        <f t="array" ref="H756">-isDup(B756,B757,0.7)</f>
        <v>0</v>
      </c>
    </row>
    <row r="757" spans="1:8" x14ac:dyDescent="0.2">
      <c r="A757" s="3">
        <v>45722.921492997688</v>
      </c>
      <c r="B757" t="s">
        <v>935</v>
      </c>
      <c r="C757" t="s">
        <v>936</v>
      </c>
      <c r="E757">
        <v>0</v>
      </c>
      <c r="F757">
        <v>0</v>
      </c>
      <c r="G757" t="s">
        <v>2</v>
      </c>
      <c r="H757" cm="1">
        <f t="array" ref="H757">-isDup(B757,B758,0.7)</f>
        <v>0</v>
      </c>
    </row>
    <row r="758" spans="1:8" x14ac:dyDescent="0.2">
      <c r="A758" s="3">
        <v>45723.921492997688</v>
      </c>
      <c r="B758" t="s">
        <v>937</v>
      </c>
      <c r="C758" t="s">
        <v>938</v>
      </c>
      <c r="D758" t="s">
        <v>939</v>
      </c>
      <c r="E758">
        <v>0</v>
      </c>
      <c r="F758">
        <v>2</v>
      </c>
      <c r="G758" t="s">
        <v>2</v>
      </c>
      <c r="H758" cm="1">
        <f t="array" ref="H758">-isDup(B758,B759,0.7)</f>
        <v>0</v>
      </c>
    </row>
    <row r="759" spans="1:8" x14ac:dyDescent="0.2">
      <c r="A759" s="3">
        <v>45724.921492997688</v>
      </c>
      <c r="B759" t="s">
        <v>940</v>
      </c>
      <c r="C759" t="s">
        <v>941</v>
      </c>
      <c r="D759" t="s">
        <v>942</v>
      </c>
      <c r="E759">
        <v>0</v>
      </c>
      <c r="F759">
        <v>1</v>
      </c>
      <c r="G759" t="s">
        <v>2</v>
      </c>
      <c r="H759" cm="1">
        <f t="array" ref="H759">-isDup(B759,B760,0.7)</f>
        <v>0</v>
      </c>
    </row>
    <row r="760" spans="1:8" x14ac:dyDescent="0.2">
      <c r="A760" s="3">
        <v>45725.921492997688</v>
      </c>
      <c r="B760" t="s">
        <v>937</v>
      </c>
      <c r="C760" t="s">
        <v>938</v>
      </c>
      <c r="D760" t="s">
        <v>939</v>
      </c>
      <c r="E760">
        <v>0</v>
      </c>
      <c r="F760">
        <v>1</v>
      </c>
      <c r="G760" t="s">
        <v>2</v>
      </c>
      <c r="H760" cm="1">
        <f t="array" ref="H760">-isDup(B760,B761,0.7)</f>
        <v>0</v>
      </c>
    </row>
    <row r="761" spans="1:8" x14ac:dyDescent="0.2">
      <c r="A761" s="3">
        <v>45726.921492997688</v>
      </c>
      <c r="B761" t="s">
        <v>943</v>
      </c>
      <c r="C761" t="s">
        <v>7</v>
      </c>
      <c r="E761">
        <v>0</v>
      </c>
      <c r="F761">
        <v>0</v>
      </c>
      <c r="G761" t="s">
        <v>2</v>
      </c>
      <c r="H761" cm="1">
        <f t="array" ref="H761">-isDup(B761,B762,0.7)</f>
        <v>0</v>
      </c>
    </row>
    <row r="762" spans="1:8" x14ac:dyDescent="0.2">
      <c r="A762" s="3">
        <v>45727.921492997688</v>
      </c>
      <c r="B762" t="s">
        <v>944</v>
      </c>
      <c r="C762" t="s">
        <v>945</v>
      </c>
      <c r="D762" t="s">
        <v>946</v>
      </c>
      <c r="E762">
        <v>0</v>
      </c>
      <c r="F762">
        <v>0</v>
      </c>
      <c r="G762" t="s">
        <v>2</v>
      </c>
      <c r="H762" cm="1">
        <f t="array" ref="H762">-isDup(B762,B763,0.7)</f>
        <v>0</v>
      </c>
    </row>
    <row r="763" spans="1:8" x14ac:dyDescent="0.2">
      <c r="A763" s="3">
        <v>45728.921492997688</v>
      </c>
      <c r="B763" t="s">
        <v>947</v>
      </c>
      <c r="C763" t="s">
        <v>7</v>
      </c>
      <c r="E763">
        <v>0</v>
      </c>
      <c r="F763">
        <v>0</v>
      </c>
      <c r="G763" t="s">
        <v>2</v>
      </c>
      <c r="H763" cm="1">
        <f t="array" ref="H763">-isDup(B763,B764,0.7)</f>
        <v>0</v>
      </c>
    </row>
    <row r="764" spans="1:8" x14ac:dyDescent="0.2">
      <c r="A764" s="3">
        <v>45729.921492997688</v>
      </c>
      <c r="B764" t="s">
        <v>948</v>
      </c>
      <c r="C764" t="s">
        <v>7</v>
      </c>
      <c r="E764">
        <v>1</v>
      </c>
      <c r="F764">
        <v>0</v>
      </c>
      <c r="G764" t="s">
        <v>2</v>
      </c>
      <c r="H764" cm="1">
        <f t="array" ref="H764">-isDup(B764,B765,0.7)</f>
        <v>0</v>
      </c>
    </row>
    <row r="765" spans="1:8" x14ac:dyDescent="0.2">
      <c r="A765" s="3">
        <v>45730.921492997688</v>
      </c>
      <c r="B765" t="s">
        <v>949</v>
      </c>
      <c r="C765" t="s">
        <v>7</v>
      </c>
      <c r="E765">
        <v>0</v>
      </c>
      <c r="F765">
        <v>0</v>
      </c>
      <c r="G765" t="s">
        <v>2</v>
      </c>
      <c r="H765" cm="1">
        <f t="array" ref="H765">-isDup(B765,B766,0.7)</f>
        <v>0</v>
      </c>
    </row>
    <row r="766" spans="1:8" x14ac:dyDescent="0.2">
      <c r="A766" s="3">
        <v>45731.921492997688</v>
      </c>
      <c r="B766" t="s">
        <v>160</v>
      </c>
      <c r="C766" t="s">
        <v>128</v>
      </c>
      <c r="D766" t="s">
        <v>129</v>
      </c>
      <c r="E766">
        <v>0</v>
      </c>
      <c r="F766">
        <v>0</v>
      </c>
      <c r="G766" t="s">
        <v>2</v>
      </c>
      <c r="H766" cm="1">
        <f t="array" ref="H766">-isDup(B766,B767,0.7)</f>
        <v>0</v>
      </c>
    </row>
    <row r="767" spans="1:8" x14ac:dyDescent="0.2">
      <c r="A767" s="3">
        <v>45732.921492997688</v>
      </c>
      <c r="B767" t="s">
        <v>950</v>
      </c>
      <c r="C767" t="s">
        <v>7</v>
      </c>
      <c r="E767">
        <v>0</v>
      </c>
      <c r="F767">
        <v>0</v>
      </c>
      <c r="G767" t="s">
        <v>2</v>
      </c>
      <c r="H767" cm="1">
        <f t="array" ref="H767">-isDup(B767,B768,0.7)</f>
        <v>0</v>
      </c>
    </row>
    <row r="768" spans="1:8" x14ac:dyDescent="0.2">
      <c r="A768" s="3">
        <v>45733.921492997688</v>
      </c>
      <c r="B768" t="s">
        <v>951</v>
      </c>
      <c r="C768" t="s">
        <v>48</v>
      </c>
      <c r="E768">
        <v>0</v>
      </c>
      <c r="F768">
        <v>0</v>
      </c>
      <c r="G768" t="s">
        <v>2</v>
      </c>
      <c r="H768" cm="1">
        <f t="array" ref="H768">-isDup(B768,B769,0.7)</f>
        <v>0</v>
      </c>
    </row>
    <row r="769" spans="1:8" x14ac:dyDescent="0.2">
      <c r="A769" s="3">
        <v>45734.921492997688</v>
      </c>
      <c r="B769" t="s">
        <v>3</v>
      </c>
      <c r="C769" t="s">
        <v>4</v>
      </c>
      <c r="D769" t="s">
        <v>5</v>
      </c>
      <c r="E769">
        <v>0</v>
      </c>
      <c r="F769">
        <v>0</v>
      </c>
      <c r="G769" t="s">
        <v>2</v>
      </c>
      <c r="H769" cm="1">
        <f t="array" ref="H769">-isDup(B769,B770,0.7)</f>
        <v>0</v>
      </c>
    </row>
    <row r="770" spans="1:8" x14ac:dyDescent="0.2">
      <c r="A770" s="3">
        <v>45735.921492997688</v>
      </c>
      <c r="B770" t="s">
        <v>952</v>
      </c>
      <c r="C770" t="s">
        <v>221</v>
      </c>
      <c r="E770">
        <v>0</v>
      </c>
      <c r="F770">
        <v>3</v>
      </c>
      <c r="G770" t="s">
        <v>2</v>
      </c>
      <c r="H770" cm="1">
        <f t="array" ref="H770">-isDup(B770,B771,0.7)</f>
        <v>0</v>
      </c>
    </row>
    <row r="771" spans="1:8" x14ac:dyDescent="0.2">
      <c r="A771" s="3">
        <v>45736.921492997688</v>
      </c>
      <c r="B771" t="s">
        <v>953</v>
      </c>
      <c r="C771" t="s">
        <v>669</v>
      </c>
      <c r="D771" t="s">
        <v>954</v>
      </c>
      <c r="E771">
        <v>0</v>
      </c>
      <c r="F771">
        <v>1</v>
      </c>
      <c r="G771" t="s">
        <v>2</v>
      </c>
      <c r="H771" cm="1">
        <f t="array" ref="H771">-isDup(B771,B772,0.7)</f>
        <v>0</v>
      </c>
    </row>
    <row r="772" spans="1:8" x14ac:dyDescent="0.2">
      <c r="A772" s="3">
        <v>45737.921492997688</v>
      </c>
      <c r="B772" t="s">
        <v>955</v>
      </c>
      <c r="C772" t="s">
        <v>956</v>
      </c>
      <c r="D772" t="s">
        <v>957</v>
      </c>
      <c r="E772">
        <v>0</v>
      </c>
      <c r="F772">
        <v>0</v>
      </c>
      <c r="G772" t="s">
        <v>2</v>
      </c>
      <c r="H772" cm="1">
        <f t="array" ref="H772">-isDup(B772,B773,0.7)</f>
        <v>0</v>
      </c>
    </row>
    <row r="773" spans="1:8" x14ac:dyDescent="0.2">
      <c r="A773" s="3">
        <v>45738.921492997688</v>
      </c>
      <c r="B773" t="s">
        <v>958</v>
      </c>
      <c r="C773" t="s">
        <v>7</v>
      </c>
      <c r="E773">
        <v>0</v>
      </c>
      <c r="F773">
        <v>0</v>
      </c>
      <c r="G773" t="s">
        <v>2</v>
      </c>
      <c r="H773" cm="1">
        <f t="array" ref="H773">-isDup(B773,B774,0.7)</f>
        <v>-1</v>
      </c>
    </row>
    <row r="774" spans="1:8" x14ac:dyDescent="0.2">
      <c r="A774" s="3">
        <v>45739.921492997688</v>
      </c>
      <c r="B774" t="s">
        <v>959</v>
      </c>
      <c r="C774" t="s">
        <v>7</v>
      </c>
      <c r="E774">
        <v>0</v>
      </c>
      <c r="F774">
        <v>0</v>
      </c>
      <c r="G774" t="s">
        <v>2</v>
      </c>
      <c r="H774" cm="1">
        <f t="array" ref="H774">-isDup(B774,B775,0.7)</f>
        <v>0</v>
      </c>
    </row>
    <row r="775" spans="1:8" x14ac:dyDescent="0.2">
      <c r="A775" s="3">
        <v>45740.921492997688</v>
      </c>
      <c r="B775" t="s">
        <v>960</v>
      </c>
      <c r="C775" t="s">
        <v>961</v>
      </c>
      <c r="D775" t="s">
        <v>210</v>
      </c>
      <c r="E775">
        <v>0</v>
      </c>
      <c r="F775">
        <v>0</v>
      </c>
      <c r="G775" t="s">
        <v>2</v>
      </c>
      <c r="H775" cm="1">
        <f t="array" ref="H775">-isDup(B775,B776,0.7)</f>
        <v>0</v>
      </c>
    </row>
    <row r="776" spans="1:8" x14ac:dyDescent="0.2">
      <c r="A776" s="3">
        <v>45741.921492997688</v>
      </c>
      <c r="B776" t="s">
        <v>962</v>
      </c>
      <c r="C776" t="s">
        <v>100</v>
      </c>
      <c r="D776" t="s">
        <v>34</v>
      </c>
      <c r="E776">
        <v>0</v>
      </c>
      <c r="F776">
        <v>0</v>
      </c>
      <c r="G776" t="s">
        <v>2</v>
      </c>
      <c r="H776" cm="1">
        <f t="array" ref="H776">-isDup(B776,B777,0.7)</f>
        <v>0</v>
      </c>
    </row>
    <row r="777" spans="1:8" x14ac:dyDescent="0.2">
      <c r="A777" s="3">
        <v>45742.921492997688</v>
      </c>
      <c r="B777" t="s">
        <v>963</v>
      </c>
      <c r="C777" t="s">
        <v>964</v>
      </c>
      <c r="E777">
        <v>0</v>
      </c>
      <c r="F777">
        <v>0</v>
      </c>
      <c r="G777" t="s">
        <v>2</v>
      </c>
      <c r="H777" cm="1">
        <f t="array" ref="H777">-isDup(B777,B778,0.7)</f>
        <v>0</v>
      </c>
    </row>
    <row r="778" spans="1:8" x14ac:dyDescent="0.2">
      <c r="A778" s="3">
        <v>45743.921492997688</v>
      </c>
      <c r="B778" t="s">
        <v>965</v>
      </c>
      <c r="C778" t="s">
        <v>557</v>
      </c>
      <c r="D778" t="s">
        <v>558</v>
      </c>
      <c r="E778">
        <v>0</v>
      </c>
      <c r="F778">
        <v>1</v>
      </c>
      <c r="G778" t="s">
        <v>2</v>
      </c>
      <c r="H778" cm="1">
        <f t="array" ref="H778">-isDup(B778,B779,0.7)</f>
        <v>0</v>
      </c>
    </row>
    <row r="779" spans="1:8" x14ac:dyDescent="0.2">
      <c r="A779" s="3">
        <v>45744.921492997688</v>
      </c>
      <c r="B779" t="s">
        <v>398</v>
      </c>
      <c r="C779" t="s">
        <v>143</v>
      </c>
      <c r="D779" t="s">
        <v>129</v>
      </c>
      <c r="E779">
        <v>0</v>
      </c>
      <c r="F779">
        <v>0</v>
      </c>
      <c r="G779" t="s">
        <v>2</v>
      </c>
      <c r="H779" cm="1">
        <f t="array" ref="H779">-isDup(B779,B780,0.7)</f>
        <v>0</v>
      </c>
    </row>
    <row r="780" spans="1:8" x14ac:dyDescent="0.2">
      <c r="A780" s="3">
        <v>45745.921492997688</v>
      </c>
      <c r="B780" t="s">
        <v>966</v>
      </c>
      <c r="C780" t="s">
        <v>12</v>
      </c>
      <c r="D780" t="s">
        <v>13</v>
      </c>
      <c r="E780">
        <v>0</v>
      </c>
      <c r="F780">
        <v>0</v>
      </c>
      <c r="G780" t="s">
        <v>2</v>
      </c>
      <c r="H780" cm="1">
        <f t="array" ref="H780">-isDup(B780,B781,0.7)</f>
        <v>0</v>
      </c>
    </row>
    <row r="781" spans="1:8" x14ac:dyDescent="0.2">
      <c r="A781" s="3">
        <v>45746.921492997688</v>
      </c>
      <c r="B781" t="s">
        <v>967</v>
      </c>
      <c r="C781" t="s">
        <v>968</v>
      </c>
      <c r="D781" t="s">
        <v>34</v>
      </c>
      <c r="E781">
        <v>0</v>
      </c>
      <c r="F781">
        <v>0</v>
      </c>
      <c r="G781" t="s">
        <v>2</v>
      </c>
      <c r="H781" cm="1">
        <f t="array" ref="H781">-isDup(B781,B782,0.7)</f>
        <v>0</v>
      </c>
    </row>
    <row r="782" spans="1:8" x14ac:dyDescent="0.2">
      <c r="A782" s="3">
        <v>45747.921492997688</v>
      </c>
      <c r="B782" t="s">
        <v>969</v>
      </c>
      <c r="C782" t="s">
        <v>7</v>
      </c>
      <c r="E782">
        <v>0</v>
      </c>
      <c r="F782">
        <v>0</v>
      </c>
      <c r="G782" t="s">
        <v>2</v>
      </c>
      <c r="H782" cm="1">
        <f t="array" ref="H782">-isDup(B782,B783,0.7)</f>
        <v>0</v>
      </c>
    </row>
    <row r="783" spans="1:8" x14ac:dyDescent="0.2">
      <c r="A783" s="3">
        <v>45748.921492997688</v>
      </c>
      <c r="B783" t="s">
        <v>325</v>
      </c>
      <c r="C783" t="s">
        <v>143</v>
      </c>
      <c r="D783" t="s">
        <v>129</v>
      </c>
      <c r="E783">
        <v>0</v>
      </c>
      <c r="F783">
        <v>0</v>
      </c>
      <c r="G783" t="s">
        <v>2</v>
      </c>
      <c r="H783" cm="1">
        <f t="array" ref="H783">-isDup(B783,B784,0.7)</f>
        <v>0</v>
      </c>
    </row>
    <row r="784" spans="1:8" x14ac:dyDescent="0.2">
      <c r="A784" s="3">
        <v>45749.921492997688</v>
      </c>
      <c r="B784" t="s">
        <v>387</v>
      </c>
      <c r="C784" t="s">
        <v>143</v>
      </c>
      <c r="D784" t="s">
        <v>129</v>
      </c>
      <c r="E784">
        <v>0</v>
      </c>
      <c r="F784">
        <v>0</v>
      </c>
      <c r="G784" t="s">
        <v>2</v>
      </c>
      <c r="H784" cm="1">
        <f t="array" ref="H784">-isDup(B784,B785,0.7)</f>
        <v>0</v>
      </c>
    </row>
    <row r="785" spans="1:8" x14ac:dyDescent="0.2">
      <c r="A785" s="3">
        <v>45750.921492997688</v>
      </c>
      <c r="B785" t="s">
        <v>970</v>
      </c>
      <c r="C785" t="s">
        <v>7</v>
      </c>
      <c r="E785">
        <v>0</v>
      </c>
      <c r="F785">
        <v>0</v>
      </c>
      <c r="G785" t="s">
        <v>2</v>
      </c>
      <c r="H785" cm="1">
        <f t="array" ref="H785">-isDup(B785,B786,0.7)</f>
        <v>0</v>
      </c>
    </row>
    <row r="786" spans="1:8" x14ac:dyDescent="0.2">
      <c r="A786" s="3">
        <v>45751.921492997688</v>
      </c>
      <c r="B786" t="s">
        <v>971</v>
      </c>
      <c r="C786" t="s">
        <v>972</v>
      </c>
      <c r="E786">
        <v>1</v>
      </c>
      <c r="F786">
        <v>6</v>
      </c>
      <c r="G786" t="s">
        <v>2</v>
      </c>
      <c r="H786" cm="1">
        <f t="array" ref="H786">-isDup(B786,B787,0.7)</f>
        <v>0</v>
      </c>
    </row>
    <row r="787" spans="1:8" x14ac:dyDescent="0.2">
      <c r="A787" s="3">
        <v>45752.921492997688</v>
      </c>
      <c r="B787" t="s">
        <v>973</v>
      </c>
      <c r="C787" t="s">
        <v>143</v>
      </c>
      <c r="D787" t="s">
        <v>129</v>
      </c>
      <c r="E787">
        <v>0</v>
      </c>
      <c r="F787">
        <v>0</v>
      </c>
      <c r="G787" t="s">
        <v>2</v>
      </c>
      <c r="H787" cm="1">
        <f t="array" ref="H787">-isDup(B787,B788,0.7)</f>
        <v>0</v>
      </c>
    </row>
    <row r="788" spans="1:8" x14ac:dyDescent="0.2">
      <c r="A788" s="3">
        <v>45753.921492997688</v>
      </c>
      <c r="B788" t="s">
        <v>541</v>
      </c>
      <c r="C788" t="s">
        <v>461</v>
      </c>
      <c r="D788" t="s">
        <v>462</v>
      </c>
      <c r="E788">
        <v>0</v>
      </c>
      <c r="F788">
        <v>0</v>
      </c>
      <c r="G788" t="s">
        <v>2</v>
      </c>
      <c r="H788" cm="1">
        <f t="array" ref="H788">-isDup(B788,B789,0.7)</f>
        <v>0</v>
      </c>
    </row>
    <row r="789" spans="1:8" x14ac:dyDescent="0.2">
      <c r="A789" s="3">
        <v>45754.921492997688</v>
      </c>
      <c r="B789" t="s">
        <v>36</v>
      </c>
      <c r="C789" t="s">
        <v>33</v>
      </c>
      <c r="D789" t="s">
        <v>34</v>
      </c>
      <c r="E789">
        <v>0</v>
      </c>
      <c r="F789">
        <v>0</v>
      </c>
      <c r="G789" t="s">
        <v>2</v>
      </c>
      <c r="H789" cm="1">
        <f t="array" ref="H789">-isDup(B789,B790,0.7)</f>
        <v>0</v>
      </c>
    </row>
    <row r="790" spans="1:8" x14ac:dyDescent="0.2">
      <c r="A790" s="3">
        <v>45755.921492997688</v>
      </c>
      <c r="B790" t="s">
        <v>35</v>
      </c>
      <c r="C790" t="s">
        <v>33</v>
      </c>
      <c r="D790" t="s">
        <v>34</v>
      </c>
      <c r="E790">
        <v>0</v>
      </c>
      <c r="F790">
        <v>0</v>
      </c>
      <c r="G790" t="s">
        <v>2</v>
      </c>
      <c r="H790" cm="1">
        <f t="array" ref="H790">-isDup(B790,B791,0.7)</f>
        <v>-1</v>
      </c>
    </row>
    <row r="791" spans="1:8" x14ac:dyDescent="0.2">
      <c r="A791" s="3">
        <v>45756.921492997688</v>
      </c>
      <c r="B791" t="s">
        <v>974</v>
      </c>
      <c r="C791" t="s">
        <v>33</v>
      </c>
      <c r="D791" t="s">
        <v>34</v>
      </c>
      <c r="E791">
        <v>0</v>
      </c>
      <c r="F791">
        <v>0</v>
      </c>
      <c r="G791" t="s">
        <v>2</v>
      </c>
      <c r="H791" cm="1">
        <f t="array" ref="H791">-isDup(B791,B792,0.7)</f>
        <v>0</v>
      </c>
    </row>
    <row r="792" spans="1:8" x14ac:dyDescent="0.2">
      <c r="A792" s="3">
        <v>45757.921492997688</v>
      </c>
      <c r="B792" t="s">
        <v>37</v>
      </c>
      <c r="C792" t="s">
        <v>33</v>
      </c>
      <c r="D792" t="s">
        <v>34</v>
      </c>
      <c r="E792">
        <v>0</v>
      </c>
      <c r="F792">
        <v>0</v>
      </c>
      <c r="G792" t="s">
        <v>2</v>
      </c>
      <c r="H792" cm="1">
        <f t="array" ref="H792">-isDup(B792,B793,0.7)</f>
        <v>0</v>
      </c>
    </row>
    <row r="793" spans="1:8" x14ac:dyDescent="0.2">
      <c r="A793" s="3">
        <v>45758.921492997688</v>
      </c>
      <c r="B793" t="s">
        <v>287</v>
      </c>
      <c r="C793" t="s">
        <v>33</v>
      </c>
      <c r="D793" t="s">
        <v>34</v>
      </c>
      <c r="E793">
        <v>0</v>
      </c>
      <c r="F793">
        <v>0</v>
      </c>
      <c r="G793" t="s">
        <v>2</v>
      </c>
      <c r="H793" cm="1">
        <f t="array" ref="H793">-isDup(B793,B794,0.7)</f>
        <v>0</v>
      </c>
    </row>
    <row r="794" spans="1:8" x14ac:dyDescent="0.2">
      <c r="A794" s="3">
        <v>45759.921492997688</v>
      </c>
      <c r="B794" t="s">
        <v>370</v>
      </c>
      <c r="C794" t="s">
        <v>143</v>
      </c>
      <c r="D794" t="s">
        <v>129</v>
      </c>
      <c r="E794">
        <v>0</v>
      </c>
      <c r="F794">
        <v>0</v>
      </c>
      <c r="G794" t="s">
        <v>2</v>
      </c>
      <c r="H794" cm="1">
        <f t="array" ref="H794">-isDup(B794,B795,0.7)</f>
        <v>0</v>
      </c>
    </row>
    <row r="795" spans="1:8" x14ac:dyDescent="0.2">
      <c r="A795" s="3">
        <v>45760.921492997688</v>
      </c>
      <c r="B795" t="s">
        <v>975</v>
      </c>
      <c r="C795" t="s">
        <v>7</v>
      </c>
      <c r="E795">
        <v>0</v>
      </c>
      <c r="F795">
        <v>0</v>
      </c>
      <c r="G795" t="s">
        <v>2</v>
      </c>
      <c r="H795" cm="1">
        <f t="array" ref="H795">-isDup(B795,B796,0.7)</f>
        <v>0</v>
      </c>
    </row>
    <row r="796" spans="1:8" x14ac:dyDescent="0.2">
      <c r="A796" s="3">
        <v>45761.921492997688</v>
      </c>
      <c r="B796" t="s">
        <v>976</v>
      </c>
      <c r="C796" t="s">
        <v>977</v>
      </c>
      <c r="D796" t="s">
        <v>978</v>
      </c>
      <c r="E796">
        <v>1</v>
      </c>
      <c r="F796">
        <v>1</v>
      </c>
      <c r="G796" t="s">
        <v>2</v>
      </c>
      <c r="H796" cm="1">
        <f t="array" ref="H796">-isDup(B796,B797,0.7)</f>
        <v>0</v>
      </c>
    </row>
    <row r="797" spans="1:8" x14ac:dyDescent="0.2">
      <c r="A797" s="3">
        <v>45762.921492997688</v>
      </c>
      <c r="B797" t="s">
        <v>979</v>
      </c>
      <c r="C797" t="s">
        <v>7</v>
      </c>
      <c r="E797">
        <v>0</v>
      </c>
      <c r="F797">
        <v>0</v>
      </c>
      <c r="G797" t="s">
        <v>2</v>
      </c>
      <c r="H797" cm="1">
        <f t="array" ref="H797">-isDup(B797,B798,0.7)</f>
        <v>0</v>
      </c>
    </row>
    <row r="798" spans="1:8" x14ac:dyDescent="0.2">
      <c r="A798" s="3">
        <v>45763.921492997688</v>
      </c>
      <c r="B798" t="s">
        <v>450</v>
      </c>
      <c r="C798" t="s">
        <v>143</v>
      </c>
      <c r="D798" t="s">
        <v>129</v>
      </c>
      <c r="E798">
        <v>0</v>
      </c>
      <c r="F798">
        <v>0</v>
      </c>
      <c r="G798" t="s">
        <v>2</v>
      </c>
      <c r="H798" cm="1">
        <f t="array" ref="H798">-isDup(B798,B799,0.7)</f>
        <v>0</v>
      </c>
    </row>
    <row r="799" spans="1:8" x14ac:dyDescent="0.2">
      <c r="A799" s="3">
        <v>45764.921492997688</v>
      </c>
      <c r="B799" t="s">
        <v>980</v>
      </c>
      <c r="C799" t="s">
        <v>981</v>
      </c>
      <c r="E799">
        <v>0</v>
      </c>
      <c r="F799">
        <v>0</v>
      </c>
      <c r="G799" t="s">
        <v>2</v>
      </c>
      <c r="H799" cm="1">
        <f t="array" ref="H799">-isDup(B799,B800,0.7)</f>
        <v>0</v>
      </c>
    </row>
    <row r="800" spans="1:8" x14ac:dyDescent="0.2">
      <c r="A800" s="3">
        <v>45765.921492997688</v>
      </c>
      <c r="B800" t="s">
        <v>982</v>
      </c>
      <c r="C800" t="s">
        <v>7</v>
      </c>
      <c r="E800">
        <v>1</v>
      </c>
      <c r="F800">
        <v>0</v>
      </c>
      <c r="G800" t="s">
        <v>2</v>
      </c>
      <c r="H800" cm="1">
        <f t="array" ref="H800">-isDup(B800,B801,0.7)</f>
        <v>0</v>
      </c>
    </row>
    <row r="801" spans="1:8" x14ac:dyDescent="0.2">
      <c r="A801" s="3">
        <v>45766.921492997688</v>
      </c>
      <c r="B801" t="s">
        <v>983</v>
      </c>
      <c r="C801" t="s">
        <v>984</v>
      </c>
      <c r="E801">
        <v>0</v>
      </c>
      <c r="F801">
        <v>2</v>
      </c>
      <c r="G801" t="s">
        <v>2</v>
      </c>
      <c r="H801" cm="1">
        <f t="array" ref="H801">-isDup(B801,B802,0.7)</f>
        <v>0</v>
      </c>
    </row>
    <row r="802" spans="1:8" x14ac:dyDescent="0.2">
      <c r="A802" s="3">
        <v>45767.921492997688</v>
      </c>
      <c r="B802" t="s">
        <v>985</v>
      </c>
      <c r="C802" t="s">
        <v>986</v>
      </c>
      <c r="D802" t="s">
        <v>55</v>
      </c>
      <c r="E802">
        <v>0</v>
      </c>
      <c r="F802">
        <v>0</v>
      </c>
      <c r="G802" t="s">
        <v>2</v>
      </c>
      <c r="H802" cm="1">
        <f t="array" ref="H802">-isDup(B802,B803,0.7)</f>
        <v>0</v>
      </c>
    </row>
    <row r="803" spans="1:8" x14ac:dyDescent="0.2">
      <c r="A803" s="3">
        <v>45768.921492997688</v>
      </c>
      <c r="B803" t="s">
        <v>987</v>
      </c>
      <c r="C803" t="s">
        <v>7</v>
      </c>
      <c r="E803">
        <v>0</v>
      </c>
      <c r="F803">
        <v>0</v>
      </c>
      <c r="G803" t="s">
        <v>2</v>
      </c>
      <c r="H803" cm="1">
        <f t="array" ref="H803">-isDup(B803,B804,0.7)</f>
        <v>0</v>
      </c>
    </row>
    <row r="804" spans="1:8" x14ac:dyDescent="0.2">
      <c r="A804" s="3">
        <v>45769.921492997688</v>
      </c>
      <c r="B804" t="s">
        <v>869</v>
      </c>
      <c r="C804" t="s">
        <v>262</v>
      </c>
      <c r="D804" t="s">
        <v>263</v>
      </c>
      <c r="E804">
        <v>0</v>
      </c>
      <c r="F804">
        <v>0</v>
      </c>
      <c r="G804" t="s">
        <v>2</v>
      </c>
      <c r="H804" cm="1">
        <f t="array" ref="H804">-isDup(B804,B805,0.7)</f>
        <v>0</v>
      </c>
    </row>
    <row r="805" spans="1:8" x14ac:dyDescent="0.2">
      <c r="A805" s="3">
        <v>45770.921492997688</v>
      </c>
      <c r="B805" t="s">
        <v>988</v>
      </c>
      <c r="C805" t="s">
        <v>989</v>
      </c>
      <c r="D805" t="s">
        <v>990</v>
      </c>
      <c r="E805">
        <v>0</v>
      </c>
      <c r="F805">
        <v>0</v>
      </c>
      <c r="G805" t="s">
        <v>2</v>
      </c>
      <c r="H805" cm="1">
        <f t="array" ref="H805">-isDup(B805,B806,0.7)</f>
        <v>0</v>
      </c>
    </row>
    <row r="806" spans="1:8" x14ac:dyDescent="0.2">
      <c r="A806" s="3">
        <v>45771.921492997688</v>
      </c>
      <c r="B806" t="s">
        <v>460</v>
      </c>
      <c r="C806" t="s">
        <v>262</v>
      </c>
      <c r="D806" t="s">
        <v>263</v>
      </c>
      <c r="E806">
        <v>0</v>
      </c>
      <c r="F806">
        <v>0</v>
      </c>
      <c r="G806" t="s">
        <v>2</v>
      </c>
      <c r="H806" cm="1">
        <f t="array" ref="H806">-isDup(B806,B807,0.7)</f>
        <v>0</v>
      </c>
    </row>
    <row r="807" spans="1:8" x14ac:dyDescent="0.2">
      <c r="A807" s="3">
        <v>45772.921492997688</v>
      </c>
      <c r="B807" t="s">
        <v>541</v>
      </c>
      <c r="C807" t="s">
        <v>262</v>
      </c>
      <c r="D807" t="s">
        <v>263</v>
      </c>
      <c r="E807">
        <v>0</v>
      </c>
      <c r="F807">
        <v>0</v>
      </c>
      <c r="G807" t="s">
        <v>2</v>
      </c>
      <c r="H807" cm="1">
        <f t="array" ref="H807">-isDup(B807,B808,0.7)</f>
        <v>0</v>
      </c>
    </row>
    <row r="808" spans="1:8" x14ac:dyDescent="0.2">
      <c r="A808" s="3">
        <v>45773.921492997688</v>
      </c>
      <c r="B808" t="s">
        <v>991</v>
      </c>
      <c r="C808" t="s">
        <v>262</v>
      </c>
      <c r="D808" t="s">
        <v>263</v>
      </c>
      <c r="E808">
        <v>0</v>
      </c>
      <c r="F808">
        <v>1</v>
      </c>
      <c r="G808" t="s">
        <v>2</v>
      </c>
      <c r="H808" cm="1">
        <f t="array" ref="H808">-isDup(B808,B809,0.7)</f>
        <v>0</v>
      </c>
    </row>
    <row r="809" spans="1:8" x14ac:dyDescent="0.2">
      <c r="A809" s="3">
        <v>45774.921492997688</v>
      </c>
      <c r="B809" t="s">
        <v>992</v>
      </c>
      <c r="C809" t="s">
        <v>262</v>
      </c>
      <c r="D809" t="s">
        <v>263</v>
      </c>
      <c r="E809">
        <v>0</v>
      </c>
      <c r="F809">
        <v>0</v>
      </c>
      <c r="G809" t="s">
        <v>2</v>
      </c>
      <c r="H809" cm="1">
        <f t="array" ref="H809">-isDup(B809,B810,0.7)</f>
        <v>0</v>
      </c>
    </row>
    <row r="810" spans="1:8" x14ac:dyDescent="0.2">
      <c r="A810" s="3">
        <v>45775.921492997688</v>
      </c>
      <c r="B810" t="s">
        <v>993</v>
      </c>
      <c r="C810" t="s">
        <v>262</v>
      </c>
      <c r="D810" t="s">
        <v>263</v>
      </c>
      <c r="E810">
        <v>0</v>
      </c>
      <c r="F810">
        <v>0</v>
      </c>
      <c r="G810" t="s">
        <v>2</v>
      </c>
      <c r="H810" cm="1">
        <f t="array" ref="H810">-isDup(B810,B811,0.7)</f>
        <v>0</v>
      </c>
    </row>
    <row r="811" spans="1:8" x14ac:dyDescent="0.2">
      <c r="A811" s="3">
        <v>45776.921492997688</v>
      </c>
      <c r="B811" t="s">
        <v>994</v>
      </c>
      <c r="C811" t="s">
        <v>995</v>
      </c>
      <c r="E811">
        <v>0</v>
      </c>
      <c r="F811">
        <v>0</v>
      </c>
      <c r="G811" t="s">
        <v>2</v>
      </c>
      <c r="H811" cm="1">
        <f t="array" ref="H811">-isDup(B811,B812,0.7)</f>
        <v>0</v>
      </c>
    </row>
    <row r="812" spans="1:8" x14ac:dyDescent="0.2">
      <c r="A812" s="3">
        <v>45777.921492997688</v>
      </c>
      <c r="B812" t="s">
        <v>40</v>
      </c>
      <c r="C812" t="s">
        <v>262</v>
      </c>
      <c r="D812" t="s">
        <v>263</v>
      </c>
      <c r="E812">
        <v>0</v>
      </c>
      <c r="F812">
        <v>0</v>
      </c>
      <c r="G812" t="s">
        <v>2</v>
      </c>
      <c r="H812" cm="1">
        <f t="array" ref="H812">-isDup(B812,B813,0.7)</f>
        <v>0</v>
      </c>
    </row>
    <row r="813" spans="1:8" x14ac:dyDescent="0.2">
      <c r="A813" s="3">
        <v>45778.921492997688</v>
      </c>
      <c r="B813" t="s">
        <v>876</v>
      </c>
      <c r="C813" t="s">
        <v>262</v>
      </c>
      <c r="D813" t="s">
        <v>263</v>
      </c>
      <c r="E813">
        <v>0</v>
      </c>
      <c r="F813">
        <v>0</v>
      </c>
      <c r="G813" t="s">
        <v>2</v>
      </c>
      <c r="H813" cm="1">
        <f t="array" ref="H813">-isDup(B813,B814,0.7)</f>
        <v>0</v>
      </c>
    </row>
    <row r="814" spans="1:8" x14ac:dyDescent="0.2">
      <c r="A814" s="3">
        <v>45779.921492997688</v>
      </c>
      <c r="B814" t="s">
        <v>996</v>
      </c>
      <c r="C814" t="s">
        <v>262</v>
      </c>
      <c r="D814" t="s">
        <v>263</v>
      </c>
      <c r="E814">
        <v>0</v>
      </c>
      <c r="F814">
        <v>0</v>
      </c>
      <c r="G814" t="s">
        <v>2</v>
      </c>
      <c r="H814" cm="1">
        <f t="array" ref="H814">-isDup(B814,B815,0.7)</f>
        <v>0</v>
      </c>
    </row>
    <row r="815" spans="1:8" x14ac:dyDescent="0.2">
      <c r="A815" s="3">
        <v>45780.921492997688</v>
      </c>
      <c r="B815" t="s">
        <v>997</v>
      </c>
      <c r="C815" t="s">
        <v>262</v>
      </c>
      <c r="D815" t="s">
        <v>263</v>
      </c>
      <c r="E815">
        <v>0</v>
      </c>
      <c r="F815">
        <v>0</v>
      </c>
      <c r="G815" t="s">
        <v>2</v>
      </c>
      <c r="H815" cm="1">
        <f t="array" ref="H815">-isDup(B815,B816,0.7)</f>
        <v>0</v>
      </c>
    </row>
    <row r="816" spans="1:8" x14ac:dyDescent="0.2">
      <c r="A816" s="3">
        <v>45781.921492997688</v>
      </c>
      <c r="B816" t="s">
        <v>544</v>
      </c>
      <c r="C816" t="s">
        <v>262</v>
      </c>
      <c r="D816" t="s">
        <v>263</v>
      </c>
      <c r="E816">
        <v>2</v>
      </c>
      <c r="F816">
        <v>5</v>
      </c>
      <c r="G816" t="s">
        <v>2</v>
      </c>
      <c r="H816" cm="1">
        <f t="array" ref="H816">-isDup(B816,B817,0.7)</f>
        <v>0</v>
      </c>
    </row>
    <row r="817" spans="1:8" x14ac:dyDescent="0.2">
      <c r="A817" s="3">
        <v>45782.921492997688</v>
      </c>
      <c r="B817" t="s">
        <v>998</v>
      </c>
      <c r="C817" t="s">
        <v>262</v>
      </c>
      <c r="D817" t="s">
        <v>263</v>
      </c>
      <c r="E817">
        <v>0</v>
      </c>
      <c r="F817">
        <v>0</v>
      </c>
      <c r="G817" t="s">
        <v>2</v>
      </c>
      <c r="H817" cm="1">
        <f t="array" ref="H817">-isDup(B817,B818,0.7)</f>
        <v>0</v>
      </c>
    </row>
    <row r="818" spans="1:8" x14ac:dyDescent="0.2">
      <c r="A818" s="3">
        <v>45783.921492997688</v>
      </c>
      <c r="B818" t="s">
        <v>999</v>
      </c>
      <c r="C818" t="s">
        <v>262</v>
      </c>
      <c r="D818" t="s">
        <v>263</v>
      </c>
      <c r="E818">
        <v>0</v>
      </c>
      <c r="F818">
        <v>0</v>
      </c>
      <c r="G818" t="s">
        <v>2</v>
      </c>
      <c r="H818" cm="1">
        <f t="array" ref="H818">-isDup(B818,B819,0.7)</f>
        <v>0</v>
      </c>
    </row>
    <row r="819" spans="1:8" x14ac:dyDescent="0.2">
      <c r="A819" s="3">
        <v>45784.921492997688</v>
      </c>
      <c r="B819" t="s">
        <v>99</v>
      </c>
      <c r="C819" t="s">
        <v>262</v>
      </c>
      <c r="D819" t="s">
        <v>263</v>
      </c>
      <c r="E819">
        <v>0</v>
      </c>
      <c r="F819">
        <v>0</v>
      </c>
      <c r="G819" t="s">
        <v>2</v>
      </c>
      <c r="H819" cm="1">
        <f t="array" ref="H819">-isDup(B819,B820,0.7)</f>
        <v>0</v>
      </c>
    </row>
    <row r="820" spans="1:8" x14ac:dyDescent="0.2">
      <c r="A820" s="3">
        <v>45785.921492997688</v>
      </c>
      <c r="B820" t="s">
        <v>1000</v>
      </c>
      <c r="C820" t="s">
        <v>100</v>
      </c>
      <c r="E820">
        <v>0</v>
      </c>
      <c r="F820">
        <v>0</v>
      </c>
      <c r="G820" t="s">
        <v>2</v>
      </c>
      <c r="H820" cm="1">
        <f t="array" ref="H820">-isDup(B820,B821,0.7)</f>
        <v>0</v>
      </c>
    </row>
    <row r="821" spans="1:8" x14ac:dyDescent="0.2">
      <c r="A821" s="3">
        <v>45786.921492997688</v>
      </c>
      <c r="B821" t="s">
        <v>1001</v>
      </c>
      <c r="C821" t="s">
        <v>884</v>
      </c>
      <c r="D821" t="s">
        <v>1002</v>
      </c>
      <c r="E821">
        <v>10</v>
      </c>
      <c r="F821">
        <v>9</v>
      </c>
      <c r="G821" t="s">
        <v>2</v>
      </c>
      <c r="H821" cm="1">
        <f t="array" ref="H821">-isDup(B821,B822,0.7)</f>
        <v>0</v>
      </c>
    </row>
    <row r="822" spans="1:8" x14ac:dyDescent="0.2">
      <c r="A822" s="3">
        <v>45787.921492997688</v>
      </c>
      <c r="B822" t="s">
        <v>1003</v>
      </c>
      <c r="C822" t="s">
        <v>98</v>
      </c>
      <c r="D822" t="s">
        <v>13</v>
      </c>
      <c r="E822">
        <v>0</v>
      </c>
      <c r="F822">
        <v>0</v>
      </c>
      <c r="G822" t="s">
        <v>2</v>
      </c>
      <c r="H822" cm="1">
        <f t="array" ref="H822">-isDup(B822,B823,0.7)</f>
        <v>0</v>
      </c>
    </row>
    <row r="823" spans="1:8" x14ac:dyDescent="0.2">
      <c r="A823" s="3">
        <v>45788.921492997688</v>
      </c>
      <c r="B823" t="s">
        <v>1004</v>
      </c>
      <c r="C823" t="s">
        <v>98</v>
      </c>
      <c r="D823" t="s">
        <v>13</v>
      </c>
      <c r="E823">
        <v>0</v>
      </c>
      <c r="F823">
        <v>0</v>
      </c>
      <c r="G823" t="s">
        <v>2</v>
      </c>
      <c r="H823" cm="1">
        <f t="array" ref="H823">-isDup(B823,B824,0.7)</f>
        <v>0</v>
      </c>
    </row>
    <row r="824" spans="1:8" x14ac:dyDescent="0.2">
      <c r="A824" s="3">
        <v>45789.921492997688</v>
      </c>
      <c r="B824" t="s">
        <v>1005</v>
      </c>
      <c r="C824" t="s">
        <v>7</v>
      </c>
      <c r="E824">
        <v>1</v>
      </c>
      <c r="F824">
        <v>0</v>
      </c>
      <c r="G824" t="s">
        <v>2</v>
      </c>
      <c r="H824" cm="1">
        <f t="array" ref="H824">-isDup(B824,B825,0.7)</f>
        <v>0</v>
      </c>
    </row>
    <row r="825" spans="1:8" x14ac:dyDescent="0.2">
      <c r="A825" s="3">
        <v>45790.921492997688</v>
      </c>
      <c r="B825" t="s">
        <v>1006</v>
      </c>
      <c r="C825" t="s">
        <v>143</v>
      </c>
      <c r="D825" t="s">
        <v>129</v>
      </c>
      <c r="E825">
        <v>0</v>
      </c>
      <c r="F825">
        <v>0</v>
      </c>
      <c r="G825" t="s">
        <v>2</v>
      </c>
      <c r="H825" cm="1">
        <f t="array" ref="H825">-isDup(B825,B826,0.7)</f>
        <v>0</v>
      </c>
    </row>
    <row r="826" spans="1:8" x14ac:dyDescent="0.2">
      <c r="A826" s="3">
        <v>45791.921492997688</v>
      </c>
      <c r="B826" t="s">
        <v>1007</v>
      </c>
      <c r="C826" t="s">
        <v>1008</v>
      </c>
      <c r="E826">
        <v>0</v>
      </c>
      <c r="F826">
        <v>0</v>
      </c>
      <c r="G826" t="s">
        <v>2</v>
      </c>
      <c r="H826" cm="1">
        <f t="array" ref="H826">-isDup(B826,B827,0.7)</f>
        <v>0</v>
      </c>
    </row>
    <row r="827" spans="1:8" x14ac:dyDescent="0.2">
      <c r="A827" s="3">
        <v>45792.921492997688</v>
      </c>
      <c r="B827" t="s">
        <v>1009</v>
      </c>
      <c r="C827" t="s">
        <v>487</v>
      </c>
      <c r="D827" t="s">
        <v>488</v>
      </c>
      <c r="E827">
        <v>0</v>
      </c>
      <c r="F827">
        <v>0</v>
      </c>
      <c r="G827" t="s">
        <v>2</v>
      </c>
      <c r="H827" cm="1">
        <f t="array" ref="H827">-isDup(B827,B828,0.7)</f>
        <v>0</v>
      </c>
    </row>
    <row r="828" spans="1:8" x14ac:dyDescent="0.2">
      <c r="A828" s="3">
        <v>45793.921492997688</v>
      </c>
      <c r="B828" t="s">
        <v>1010</v>
      </c>
      <c r="C828" t="s">
        <v>7</v>
      </c>
      <c r="E828">
        <v>0</v>
      </c>
      <c r="F828">
        <v>0</v>
      </c>
      <c r="G828" t="s">
        <v>2</v>
      </c>
      <c r="H828" cm="1">
        <f t="array" ref="H828">-isDup(B828,B829,0.7)</f>
        <v>0</v>
      </c>
    </row>
    <row r="829" spans="1:8" x14ac:dyDescent="0.2">
      <c r="A829" s="3">
        <v>45794.921492997688</v>
      </c>
      <c r="B829" t="s">
        <v>1011</v>
      </c>
      <c r="C829" t="s">
        <v>7</v>
      </c>
      <c r="E829">
        <v>0</v>
      </c>
      <c r="F829">
        <v>0</v>
      </c>
      <c r="G829" t="s">
        <v>2</v>
      </c>
      <c r="H829" cm="1">
        <f t="array" ref="H829">-isDup(B829,B830,0.7)</f>
        <v>0</v>
      </c>
    </row>
    <row r="830" spans="1:8" x14ac:dyDescent="0.2">
      <c r="A830" s="3">
        <v>45795.921492997688</v>
      </c>
      <c r="B830" t="s">
        <v>1012</v>
      </c>
      <c r="C830" t="s">
        <v>1013</v>
      </c>
      <c r="D830" t="s">
        <v>132</v>
      </c>
      <c r="E830">
        <v>0</v>
      </c>
      <c r="F830">
        <v>1</v>
      </c>
      <c r="G830" t="s">
        <v>2</v>
      </c>
      <c r="H830" cm="1">
        <f t="array" ref="H830">-isDup(B830,B831,0.7)</f>
        <v>0</v>
      </c>
    </row>
    <row r="831" spans="1:8" x14ac:dyDescent="0.2">
      <c r="A831" s="3">
        <v>45796.921492997688</v>
      </c>
      <c r="B831" t="s">
        <v>1014</v>
      </c>
      <c r="C831" t="s">
        <v>452</v>
      </c>
      <c r="D831" t="s">
        <v>453</v>
      </c>
      <c r="E831">
        <v>0</v>
      </c>
      <c r="F831">
        <v>0</v>
      </c>
      <c r="G831" t="s">
        <v>2</v>
      </c>
      <c r="H831" cm="1">
        <f t="array" ref="H831">-isDup(B831,B832,0.7)</f>
        <v>-1</v>
      </c>
    </row>
    <row r="832" spans="1:8" x14ac:dyDescent="0.2">
      <c r="A832" s="3">
        <v>45797.921492997688</v>
      </c>
      <c r="B832" t="s">
        <v>1014</v>
      </c>
      <c r="C832" t="s">
        <v>481</v>
      </c>
      <c r="D832" t="s">
        <v>482</v>
      </c>
      <c r="E832">
        <v>0</v>
      </c>
      <c r="F832">
        <v>0</v>
      </c>
      <c r="G832" t="s">
        <v>2</v>
      </c>
      <c r="H832" cm="1">
        <f t="array" ref="H832">-isDup(B832,B833,0.7)</f>
        <v>0</v>
      </c>
    </row>
    <row r="833" spans="1:8" x14ac:dyDescent="0.2">
      <c r="A833" s="3">
        <v>45798.921492997688</v>
      </c>
      <c r="B833" t="s">
        <v>1015</v>
      </c>
      <c r="C833" t="s">
        <v>7</v>
      </c>
      <c r="E833">
        <v>0</v>
      </c>
      <c r="F833">
        <v>0</v>
      </c>
      <c r="G833" t="s">
        <v>2</v>
      </c>
      <c r="H833" cm="1">
        <f t="array" ref="H833">-isDup(B833,B834,0.7)</f>
        <v>0</v>
      </c>
    </row>
    <row r="834" spans="1:8" x14ac:dyDescent="0.2">
      <c r="A834" s="3">
        <v>45799.921492997688</v>
      </c>
      <c r="B834" t="s">
        <v>1016</v>
      </c>
      <c r="C834" t="s">
        <v>1017</v>
      </c>
      <c r="D834" t="s">
        <v>55</v>
      </c>
      <c r="E834">
        <v>0</v>
      </c>
      <c r="F834">
        <v>0</v>
      </c>
      <c r="G834" t="s">
        <v>2</v>
      </c>
      <c r="H834" cm="1">
        <f t="array" ref="H834">-isDup(B834,B835,0.7)</f>
        <v>0</v>
      </c>
    </row>
    <row r="835" spans="1:8" x14ac:dyDescent="0.2">
      <c r="A835" s="3">
        <v>45800.921492997688</v>
      </c>
      <c r="B835" t="s">
        <v>1018</v>
      </c>
      <c r="C835" t="s">
        <v>134</v>
      </c>
      <c r="D835" t="s">
        <v>55</v>
      </c>
      <c r="E835">
        <v>4</v>
      </c>
      <c r="F835">
        <v>2</v>
      </c>
      <c r="G835" t="s">
        <v>2</v>
      </c>
      <c r="H835" cm="1">
        <f t="array" ref="H835">-isDup(B835,B836,0.7)</f>
        <v>0</v>
      </c>
    </row>
    <row r="836" spans="1:8" x14ac:dyDescent="0.2">
      <c r="A836" s="3">
        <v>45801.921492997688</v>
      </c>
      <c r="B836" t="s">
        <v>3</v>
      </c>
      <c r="C836" t="s">
        <v>4</v>
      </c>
      <c r="D836" t="s">
        <v>5</v>
      </c>
      <c r="E836">
        <v>0</v>
      </c>
      <c r="F836">
        <v>0</v>
      </c>
      <c r="G836" t="s">
        <v>2</v>
      </c>
      <c r="H836" cm="1">
        <f t="array" ref="H836">-isDup(B836,B837,0.7)</f>
        <v>0</v>
      </c>
    </row>
    <row r="837" spans="1:8" x14ac:dyDescent="0.2">
      <c r="A837" s="3">
        <v>45802.921492997688</v>
      </c>
      <c r="B837" t="s">
        <v>1019</v>
      </c>
      <c r="C837" t="s">
        <v>1020</v>
      </c>
      <c r="E837">
        <v>0</v>
      </c>
      <c r="F837">
        <v>0</v>
      </c>
      <c r="G837" t="s">
        <v>2</v>
      </c>
      <c r="H837" cm="1">
        <f t="array" ref="H837">-isDup(B837,B838,0.7)</f>
        <v>0</v>
      </c>
    </row>
    <row r="838" spans="1:8" x14ac:dyDescent="0.2">
      <c r="A838" s="3">
        <v>45803.921492997688</v>
      </c>
      <c r="B838" t="s">
        <v>1021</v>
      </c>
      <c r="C838" t="s">
        <v>1022</v>
      </c>
      <c r="D838" t="s">
        <v>1023</v>
      </c>
      <c r="E838">
        <v>0</v>
      </c>
      <c r="F838">
        <v>0</v>
      </c>
      <c r="G838" t="s">
        <v>2</v>
      </c>
      <c r="H838" cm="1">
        <f t="array" ref="H838">-isDup(B838,B839,0.7)</f>
        <v>0</v>
      </c>
    </row>
    <row r="839" spans="1:8" x14ac:dyDescent="0.2">
      <c r="A839" s="3">
        <v>45804.921492997688</v>
      </c>
      <c r="B839" t="s">
        <v>1024</v>
      </c>
      <c r="C839" t="s">
        <v>7</v>
      </c>
      <c r="E839">
        <v>0</v>
      </c>
      <c r="F839">
        <v>0</v>
      </c>
      <c r="G839" t="s">
        <v>2</v>
      </c>
      <c r="H839" cm="1">
        <f t="array" ref="H839">-isDup(B839,B840,0.7)</f>
        <v>0</v>
      </c>
    </row>
    <row r="840" spans="1:8" x14ac:dyDescent="0.2">
      <c r="A840" s="3">
        <v>45805.921492997688</v>
      </c>
      <c r="B840" t="s">
        <v>141</v>
      </c>
      <c r="C840" t="s">
        <v>143</v>
      </c>
      <c r="D840" t="s">
        <v>129</v>
      </c>
      <c r="E840">
        <v>0</v>
      </c>
      <c r="F840">
        <v>0</v>
      </c>
      <c r="G840" t="s">
        <v>2</v>
      </c>
      <c r="H840" cm="1">
        <f t="array" ref="H840">-isDup(B840,B841,0.7)</f>
        <v>0</v>
      </c>
    </row>
    <row r="841" spans="1:8" x14ac:dyDescent="0.2">
      <c r="A841" s="3">
        <v>45806.921492997688</v>
      </c>
      <c r="B841" t="s">
        <v>1025</v>
      </c>
      <c r="C841" t="s">
        <v>1026</v>
      </c>
      <c r="E841">
        <v>0</v>
      </c>
      <c r="F841">
        <v>0</v>
      </c>
      <c r="G841" t="s">
        <v>2</v>
      </c>
      <c r="H841" cm="1">
        <f t="array" ref="H841">-isDup(B841,B842,0.7)</f>
        <v>0</v>
      </c>
    </row>
    <row r="842" spans="1:8" x14ac:dyDescent="0.2">
      <c r="A842" s="3">
        <v>45807.921492997688</v>
      </c>
      <c r="B842" t="s">
        <v>1027</v>
      </c>
      <c r="C842" t="s">
        <v>7</v>
      </c>
      <c r="E842">
        <v>0</v>
      </c>
      <c r="F842">
        <v>0</v>
      </c>
      <c r="G842" t="s">
        <v>2</v>
      </c>
      <c r="H842" cm="1">
        <f t="array" ref="H842">-isDup(B842,B843,0.7)</f>
        <v>0</v>
      </c>
    </row>
    <row r="843" spans="1:8" x14ac:dyDescent="0.2">
      <c r="A843" s="3">
        <v>45808.921492997688</v>
      </c>
      <c r="B843" t="s">
        <v>94</v>
      </c>
      <c r="C843" t="s">
        <v>22</v>
      </c>
      <c r="E843">
        <v>0</v>
      </c>
      <c r="F843">
        <v>0</v>
      </c>
      <c r="G843" t="s">
        <v>2</v>
      </c>
      <c r="H843" cm="1">
        <f t="array" ref="H843">-isDup(B843,B844,0.7)</f>
        <v>0</v>
      </c>
    </row>
    <row r="844" spans="1:8" x14ac:dyDescent="0.2">
      <c r="A844" s="3">
        <v>45809.921492997688</v>
      </c>
      <c r="B844" t="s">
        <v>1028</v>
      </c>
      <c r="C844" t="s">
        <v>7</v>
      </c>
      <c r="E844">
        <v>0</v>
      </c>
      <c r="F844">
        <v>0</v>
      </c>
      <c r="G844" t="s">
        <v>2</v>
      </c>
      <c r="H844" cm="1">
        <f t="array" ref="H844">-isDup(B844,B845,0.7)</f>
        <v>0</v>
      </c>
    </row>
    <row r="845" spans="1:8" x14ac:dyDescent="0.2">
      <c r="A845" s="3">
        <v>45810.921492997688</v>
      </c>
      <c r="B845" t="s">
        <v>1029</v>
      </c>
      <c r="C845" t="s">
        <v>319</v>
      </c>
      <c r="D845" t="s">
        <v>1030</v>
      </c>
      <c r="E845">
        <v>0</v>
      </c>
      <c r="F845">
        <v>0</v>
      </c>
      <c r="G845" t="s">
        <v>2</v>
      </c>
      <c r="H845" cm="1">
        <f t="array" ref="H845">-isDup(B845,B846,0.7)</f>
        <v>0</v>
      </c>
    </row>
    <row r="846" spans="1:8" x14ac:dyDescent="0.2">
      <c r="A846" s="3">
        <v>45811.921492997688</v>
      </c>
      <c r="B846" t="s">
        <v>1031</v>
      </c>
      <c r="C846" t="s">
        <v>1032</v>
      </c>
      <c r="E846">
        <v>0</v>
      </c>
      <c r="F846">
        <v>0</v>
      </c>
      <c r="G846" t="s">
        <v>2</v>
      </c>
      <c r="H846" cm="1">
        <f t="array" ref="H846">-isDup(B846,B847,0.7)</f>
        <v>0</v>
      </c>
    </row>
    <row r="847" spans="1:8" x14ac:dyDescent="0.2">
      <c r="A847" s="3">
        <v>45812.921492997688</v>
      </c>
      <c r="B847" t="s">
        <v>1033</v>
      </c>
      <c r="C847" t="s">
        <v>57</v>
      </c>
      <c r="D847" t="s">
        <v>69</v>
      </c>
      <c r="E847">
        <v>0</v>
      </c>
      <c r="F847">
        <v>0</v>
      </c>
      <c r="G847" t="s">
        <v>2</v>
      </c>
      <c r="H847" cm="1">
        <f t="array" ref="H847">-isDup(B847,B848,0.7)</f>
        <v>0</v>
      </c>
    </row>
    <row r="848" spans="1:8" x14ac:dyDescent="0.2">
      <c r="A848" s="3">
        <v>45813.921492997688</v>
      </c>
      <c r="B848" t="s">
        <v>1034</v>
      </c>
      <c r="C848" t="s">
        <v>1035</v>
      </c>
      <c r="D848" t="s">
        <v>103</v>
      </c>
      <c r="E848">
        <v>1</v>
      </c>
      <c r="F848">
        <v>4</v>
      </c>
      <c r="G848" t="s">
        <v>2</v>
      </c>
      <c r="H848" cm="1">
        <f t="array" ref="H848">-isDup(B848,B849,0.7)</f>
        <v>0</v>
      </c>
    </row>
    <row r="849" spans="1:8" x14ac:dyDescent="0.2">
      <c r="A849" s="3">
        <v>45814.921492997688</v>
      </c>
      <c r="B849" t="s">
        <v>1036</v>
      </c>
      <c r="C849" t="s">
        <v>178</v>
      </c>
      <c r="D849" t="s">
        <v>1037</v>
      </c>
      <c r="E849">
        <v>0</v>
      </c>
      <c r="F849">
        <v>1</v>
      </c>
      <c r="G849" t="s">
        <v>2</v>
      </c>
      <c r="H849" cm="1">
        <f t="array" ref="H849">-isDup(B849,B850,0.7)</f>
        <v>0</v>
      </c>
    </row>
    <row r="850" spans="1:8" x14ac:dyDescent="0.2">
      <c r="A850" s="3">
        <v>45815.921492997688</v>
      </c>
      <c r="B850" t="s">
        <v>1038</v>
      </c>
      <c r="C850" t="s">
        <v>1039</v>
      </c>
      <c r="D850" t="s">
        <v>1040</v>
      </c>
      <c r="E850">
        <v>0</v>
      </c>
      <c r="F850">
        <v>4</v>
      </c>
      <c r="G850" t="s">
        <v>2</v>
      </c>
      <c r="H850" cm="1">
        <f t="array" ref="H850">-isDup(B850,B851,0.7)</f>
        <v>0</v>
      </c>
    </row>
    <row r="851" spans="1:8" x14ac:dyDescent="0.2">
      <c r="A851" s="3">
        <v>45816.921492997688</v>
      </c>
      <c r="B851" t="s">
        <v>1041</v>
      </c>
      <c r="C851" t="s">
        <v>33</v>
      </c>
      <c r="D851" t="s">
        <v>34</v>
      </c>
      <c r="E851">
        <v>0</v>
      </c>
      <c r="F851">
        <v>0</v>
      </c>
      <c r="G851" t="s">
        <v>2</v>
      </c>
      <c r="H851" cm="1">
        <f t="array" ref="H851">-isDup(B851,B852,0.7)</f>
        <v>0</v>
      </c>
    </row>
    <row r="852" spans="1:8" x14ac:dyDescent="0.2">
      <c r="A852" s="3">
        <v>45817.921492997688</v>
      </c>
      <c r="B852" t="s">
        <v>36</v>
      </c>
      <c r="C852" t="s">
        <v>33</v>
      </c>
      <c r="D852" t="s">
        <v>34</v>
      </c>
      <c r="E852">
        <v>0</v>
      </c>
      <c r="F852">
        <v>0</v>
      </c>
      <c r="G852" t="s">
        <v>2</v>
      </c>
      <c r="H852" cm="1">
        <f t="array" ref="H852">-isDup(B852,B853,0.7)</f>
        <v>0</v>
      </c>
    </row>
    <row r="853" spans="1:8" x14ac:dyDescent="0.2">
      <c r="A853" s="3">
        <v>45818.921492997688</v>
      </c>
      <c r="B853" t="s">
        <v>37</v>
      </c>
      <c r="C853" t="s">
        <v>33</v>
      </c>
      <c r="D853" t="s">
        <v>34</v>
      </c>
      <c r="E853">
        <v>0</v>
      </c>
      <c r="F853">
        <v>0</v>
      </c>
      <c r="G853" t="s">
        <v>2</v>
      </c>
      <c r="H853" cm="1">
        <f t="array" ref="H853">-isDup(B853,B854,0.7)</f>
        <v>-1</v>
      </c>
    </row>
    <row r="854" spans="1:8" x14ac:dyDescent="0.2">
      <c r="A854" s="3">
        <v>45819.921492997688</v>
      </c>
      <c r="B854" t="s">
        <v>35</v>
      </c>
      <c r="C854" t="s">
        <v>33</v>
      </c>
      <c r="D854" t="s">
        <v>34</v>
      </c>
      <c r="E854">
        <v>0</v>
      </c>
      <c r="F854">
        <v>0</v>
      </c>
      <c r="G854" t="s">
        <v>2</v>
      </c>
      <c r="H854" cm="1">
        <f t="array" ref="H854">-isDup(B854,B855,0.7)</f>
        <v>0</v>
      </c>
    </row>
    <row r="855" spans="1:8" x14ac:dyDescent="0.2">
      <c r="A855" s="3">
        <v>45820.921492997688</v>
      </c>
      <c r="B855" t="s">
        <v>287</v>
      </c>
      <c r="C855" t="s">
        <v>33</v>
      </c>
      <c r="D855" t="s">
        <v>34</v>
      </c>
      <c r="E855">
        <v>0</v>
      </c>
      <c r="F855">
        <v>0</v>
      </c>
      <c r="G855" t="s">
        <v>2</v>
      </c>
      <c r="H855" cm="1">
        <f t="array" ref="H855">-isDup(B855,B856,0.7)</f>
        <v>0</v>
      </c>
    </row>
    <row r="856" spans="1:8" x14ac:dyDescent="0.2">
      <c r="A856" s="3">
        <v>45821.921492997688</v>
      </c>
      <c r="B856" t="s">
        <v>1042</v>
      </c>
      <c r="C856" t="s">
        <v>1043</v>
      </c>
      <c r="E856">
        <v>0</v>
      </c>
      <c r="F856">
        <v>0</v>
      </c>
      <c r="G856" t="s">
        <v>2</v>
      </c>
      <c r="H856" cm="1">
        <f t="array" ref="H856">-isDup(B856,B857,0.7)</f>
        <v>0</v>
      </c>
    </row>
    <row r="857" spans="1:8" x14ac:dyDescent="0.2">
      <c r="A857" s="3">
        <v>45822.921492997688</v>
      </c>
      <c r="B857" t="s">
        <v>1044</v>
      </c>
      <c r="C857" t="s">
        <v>439</v>
      </c>
      <c r="D857" t="s">
        <v>440</v>
      </c>
      <c r="E857">
        <v>0</v>
      </c>
      <c r="F857">
        <v>0</v>
      </c>
      <c r="G857" t="s">
        <v>2</v>
      </c>
      <c r="H857" cm="1">
        <f t="array" ref="H857">-isDup(B857,B858,0.7)</f>
        <v>0</v>
      </c>
    </row>
    <row r="858" spans="1:8" x14ac:dyDescent="0.2">
      <c r="A858" s="3">
        <v>45823.921492997688</v>
      </c>
      <c r="B858" t="s">
        <v>1045</v>
      </c>
      <c r="C858" t="s">
        <v>7</v>
      </c>
      <c r="E858">
        <v>0</v>
      </c>
      <c r="F858">
        <v>0</v>
      </c>
      <c r="G858" t="s">
        <v>2</v>
      </c>
      <c r="H858" cm="1">
        <f t="array" ref="H858">-isDup(B858,B859,0.7)</f>
        <v>0</v>
      </c>
    </row>
    <row r="859" spans="1:8" x14ac:dyDescent="0.2">
      <c r="A859" s="3">
        <v>45824.921492997688</v>
      </c>
      <c r="B859" t="s">
        <v>1046</v>
      </c>
      <c r="C859" t="s">
        <v>643</v>
      </c>
      <c r="E859">
        <v>0</v>
      </c>
      <c r="F859">
        <v>0</v>
      </c>
      <c r="G859" t="s">
        <v>2</v>
      </c>
      <c r="H859" cm="1">
        <f t="array" ref="H859">-isDup(B859,B860,0.7)</f>
        <v>0</v>
      </c>
    </row>
    <row r="860" spans="1:8" x14ac:dyDescent="0.2">
      <c r="A860" s="3">
        <v>45825.921492997688</v>
      </c>
      <c r="B860" t="s">
        <v>1047</v>
      </c>
      <c r="C860" t="s">
        <v>1048</v>
      </c>
      <c r="E860">
        <v>0</v>
      </c>
      <c r="F860">
        <v>0</v>
      </c>
      <c r="G860" t="s">
        <v>2</v>
      </c>
      <c r="H860" cm="1">
        <f t="array" ref="H860">-isDup(B860,B861,0.7)</f>
        <v>0</v>
      </c>
    </row>
    <row r="861" spans="1:8" x14ac:dyDescent="0.2">
      <c r="A861" s="3">
        <v>45826.921492997688</v>
      </c>
      <c r="B861" t="s">
        <v>1049</v>
      </c>
      <c r="C861" t="s">
        <v>1050</v>
      </c>
      <c r="E861">
        <v>0</v>
      </c>
      <c r="F861">
        <v>0</v>
      </c>
      <c r="G861" t="s">
        <v>2</v>
      </c>
      <c r="H861" cm="1">
        <f t="array" ref="H861">-isDup(B861,B862,0.7)</f>
        <v>0</v>
      </c>
    </row>
    <row r="862" spans="1:8" x14ac:dyDescent="0.2">
      <c r="A862" s="3">
        <v>45827.921492997688</v>
      </c>
      <c r="B862" t="s">
        <v>1051</v>
      </c>
      <c r="C862" t="s">
        <v>611</v>
      </c>
      <c r="D862" t="s">
        <v>491</v>
      </c>
      <c r="E862">
        <v>0</v>
      </c>
      <c r="F862">
        <v>6</v>
      </c>
      <c r="G862" t="s">
        <v>2</v>
      </c>
      <c r="H862" cm="1">
        <f t="array" ref="H862">-isDup(B862,B863,0.7)</f>
        <v>0</v>
      </c>
    </row>
    <row r="863" spans="1:8" x14ac:dyDescent="0.2">
      <c r="A863" s="3">
        <v>45828.921492997688</v>
      </c>
      <c r="B863" t="s">
        <v>1052</v>
      </c>
      <c r="C863" t="s">
        <v>7</v>
      </c>
      <c r="E863">
        <v>0</v>
      </c>
      <c r="F863">
        <v>0</v>
      </c>
      <c r="G863" t="s">
        <v>2</v>
      </c>
      <c r="H863" cm="1">
        <f t="array" ref="H863">-isDup(B863,B864,0.7)</f>
        <v>0</v>
      </c>
    </row>
    <row r="864" spans="1:8" x14ac:dyDescent="0.2">
      <c r="A864" s="3">
        <v>45829.921492997688</v>
      </c>
      <c r="B864" t="s">
        <v>1053</v>
      </c>
      <c r="C864" t="s">
        <v>7</v>
      </c>
      <c r="E864">
        <v>0</v>
      </c>
      <c r="F864">
        <v>0</v>
      </c>
      <c r="G864" t="s">
        <v>2</v>
      </c>
      <c r="H864" cm="1">
        <f t="array" ref="H864">-isDup(B864,B865,0.7)</f>
        <v>0</v>
      </c>
    </row>
    <row r="865" spans="1:8" x14ac:dyDescent="0.2">
      <c r="A865" s="3">
        <v>45830.921492997688</v>
      </c>
      <c r="B865" t="s">
        <v>576</v>
      </c>
      <c r="C865" t="s">
        <v>490</v>
      </c>
      <c r="D865" t="s">
        <v>491</v>
      </c>
      <c r="E865">
        <v>0</v>
      </c>
      <c r="F865">
        <v>1</v>
      </c>
      <c r="G865" t="s">
        <v>2</v>
      </c>
      <c r="H865" cm="1">
        <f t="array" ref="H865">-isDup(B865,B866,0.7)</f>
        <v>0</v>
      </c>
    </row>
    <row r="866" spans="1:8" x14ac:dyDescent="0.2">
      <c r="A866" s="3">
        <v>45831.921492997688</v>
      </c>
      <c r="B866" t="s">
        <v>1054</v>
      </c>
      <c r="C866" t="s">
        <v>557</v>
      </c>
      <c r="D866" t="s">
        <v>558</v>
      </c>
      <c r="E866">
        <v>0</v>
      </c>
      <c r="F866">
        <v>0</v>
      </c>
      <c r="G866" t="s">
        <v>2</v>
      </c>
      <c r="H866" cm="1">
        <f t="array" ref="H866">-isDup(B866,B867,0.7)</f>
        <v>0</v>
      </c>
    </row>
    <row r="867" spans="1:8" x14ac:dyDescent="0.2">
      <c r="A867" s="3">
        <v>45832.921492997688</v>
      </c>
      <c r="B867" t="s">
        <v>1055</v>
      </c>
      <c r="C867" t="s">
        <v>7</v>
      </c>
      <c r="E867">
        <v>0</v>
      </c>
      <c r="F867">
        <v>0</v>
      </c>
      <c r="G867" t="s">
        <v>2</v>
      </c>
      <c r="H867" cm="1">
        <f t="array" ref="H867">-isDup(B867,B868,0.7)</f>
        <v>-1</v>
      </c>
    </row>
    <row r="868" spans="1:8" x14ac:dyDescent="0.2">
      <c r="A868" s="3">
        <v>45833.921492997688</v>
      </c>
      <c r="B868" t="s">
        <v>1056</v>
      </c>
      <c r="C868" t="s">
        <v>7</v>
      </c>
      <c r="E868">
        <v>0</v>
      </c>
      <c r="F868">
        <v>0</v>
      </c>
      <c r="G868" t="s">
        <v>2</v>
      </c>
      <c r="H868" cm="1">
        <f t="array" ref="H868">-isDup(B868,B869,0.7)</f>
        <v>0</v>
      </c>
    </row>
    <row r="869" spans="1:8" x14ac:dyDescent="0.2">
      <c r="A869" s="3">
        <v>45834.921492997688</v>
      </c>
      <c r="B869" t="s">
        <v>1057</v>
      </c>
      <c r="C869" t="s">
        <v>879</v>
      </c>
      <c r="D869" t="s">
        <v>1058</v>
      </c>
      <c r="E869">
        <v>0</v>
      </c>
      <c r="F869">
        <v>0</v>
      </c>
      <c r="G869" t="s">
        <v>2</v>
      </c>
      <c r="H869" cm="1">
        <f t="array" ref="H869">-isDup(B869,B870,0.7)</f>
        <v>0</v>
      </c>
    </row>
    <row r="870" spans="1:8" x14ac:dyDescent="0.2">
      <c r="A870" s="3">
        <v>45835.921492997688</v>
      </c>
      <c r="B870" t="s">
        <v>229</v>
      </c>
      <c r="C870" t="s">
        <v>33</v>
      </c>
      <c r="D870" t="s">
        <v>34</v>
      </c>
      <c r="E870">
        <v>0</v>
      </c>
      <c r="F870">
        <v>0</v>
      </c>
      <c r="G870" t="s">
        <v>2</v>
      </c>
      <c r="H870" cm="1">
        <f t="array" ref="H870">-isDup(B870,B871,0.7)</f>
        <v>0</v>
      </c>
    </row>
    <row r="871" spans="1:8" x14ac:dyDescent="0.2">
      <c r="A871" s="3">
        <v>45836.921492997688</v>
      </c>
      <c r="B871" t="s">
        <v>231</v>
      </c>
      <c r="C871" t="s">
        <v>33</v>
      </c>
      <c r="D871" t="s">
        <v>34</v>
      </c>
      <c r="E871">
        <v>0</v>
      </c>
      <c r="F871">
        <v>0</v>
      </c>
      <c r="G871" t="s">
        <v>2</v>
      </c>
      <c r="H871" cm="1">
        <f t="array" ref="H871">-isDup(B871,B872,0.7)</f>
        <v>0</v>
      </c>
    </row>
    <row r="872" spans="1:8" x14ac:dyDescent="0.2">
      <c r="A872" s="3">
        <v>45837.921492997688</v>
      </c>
      <c r="B872" t="s">
        <v>224</v>
      </c>
      <c r="C872" t="s">
        <v>33</v>
      </c>
      <c r="D872" t="s">
        <v>34</v>
      </c>
      <c r="E872">
        <v>0</v>
      </c>
      <c r="F872">
        <v>0</v>
      </c>
      <c r="G872" t="s">
        <v>2</v>
      </c>
      <c r="H872" cm="1">
        <f t="array" ref="H872">-isDup(B872,B873,0.7)</f>
        <v>0</v>
      </c>
    </row>
    <row r="873" spans="1:8" x14ac:dyDescent="0.2">
      <c r="A873" s="3">
        <v>45838.921492997688</v>
      </c>
      <c r="B873" t="s">
        <v>225</v>
      </c>
      <c r="C873" t="s">
        <v>33</v>
      </c>
      <c r="D873" t="s">
        <v>34</v>
      </c>
      <c r="E873">
        <v>0</v>
      </c>
      <c r="F873">
        <v>0</v>
      </c>
      <c r="G873" t="s">
        <v>2</v>
      </c>
      <c r="H873" cm="1">
        <f t="array" ref="H873">-isDup(B873,B874,0.7)</f>
        <v>0</v>
      </c>
    </row>
    <row r="874" spans="1:8" x14ac:dyDescent="0.2">
      <c r="A874" s="3">
        <v>45839.921492997688</v>
      </c>
      <c r="B874" t="s">
        <v>228</v>
      </c>
      <c r="C874" t="s">
        <v>33</v>
      </c>
      <c r="D874" t="s">
        <v>34</v>
      </c>
      <c r="E874">
        <v>0</v>
      </c>
      <c r="F874">
        <v>0</v>
      </c>
      <c r="G874" t="s">
        <v>2</v>
      </c>
      <c r="H874" cm="1">
        <f t="array" ref="H874">-isDup(B874,B875,0.7)</f>
        <v>0</v>
      </c>
    </row>
    <row r="875" spans="1:8" x14ac:dyDescent="0.2">
      <c r="A875" s="3">
        <v>45840.921492997688</v>
      </c>
      <c r="B875" t="s">
        <v>227</v>
      </c>
      <c r="C875" t="s">
        <v>33</v>
      </c>
      <c r="D875" t="s">
        <v>34</v>
      </c>
      <c r="E875">
        <v>0</v>
      </c>
      <c r="F875">
        <v>0</v>
      </c>
      <c r="G875" t="s">
        <v>2</v>
      </c>
      <c r="H875" cm="1">
        <f t="array" ref="H875">-isDup(B875,B876,0.7)</f>
        <v>0</v>
      </c>
    </row>
    <row r="876" spans="1:8" x14ac:dyDescent="0.2">
      <c r="A876" s="3">
        <v>45841.921492997688</v>
      </c>
      <c r="B876" t="s">
        <v>226</v>
      </c>
      <c r="C876" t="s">
        <v>33</v>
      </c>
      <c r="D876" t="s">
        <v>34</v>
      </c>
      <c r="E876">
        <v>0</v>
      </c>
      <c r="F876">
        <v>0</v>
      </c>
      <c r="G876" t="s">
        <v>2</v>
      </c>
      <c r="H876" cm="1">
        <f t="array" ref="H876">-isDup(B876,B877,0.7)</f>
        <v>0</v>
      </c>
    </row>
    <row r="877" spans="1:8" x14ac:dyDescent="0.2">
      <c r="A877" s="3">
        <v>45842.921492997688</v>
      </c>
      <c r="B877" t="s">
        <v>230</v>
      </c>
      <c r="C877" t="s">
        <v>33</v>
      </c>
      <c r="D877" t="s">
        <v>34</v>
      </c>
      <c r="E877">
        <v>0</v>
      </c>
      <c r="F877">
        <v>0</v>
      </c>
      <c r="G877" t="s">
        <v>2</v>
      </c>
      <c r="H877" cm="1">
        <f t="array" ref="H877">-isDup(B877,B878,0.7)</f>
        <v>0</v>
      </c>
    </row>
    <row r="878" spans="1:8" x14ac:dyDescent="0.2">
      <c r="A878" s="3">
        <v>45843.921492997688</v>
      </c>
      <c r="B878" t="s">
        <v>935</v>
      </c>
      <c r="C878" t="s">
        <v>237</v>
      </c>
      <c r="E878">
        <v>0</v>
      </c>
      <c r="F878">
        <v>0</v>
      </c>
      <c r="G878" t="s">
        <v>2</v>
      </c>
      <c r="H878" cm="1">
        <f t="array" ref="H878">-isDup(B878,B879,0.7)</f>
        <v>-1</v>
      </c>
    </row>
    <row r="879" spans="1:8" x14ac:dyDescent="0.2">
      <c r="A879" s="3">
        <v>45844.921492997688</v>
      </c>
      <c r="B879" t="s">
        <v>1059</v>
      </c>
      <c r="C879" t="s">
        <v>1060</v>
      </c>
      <c r="E879">
        <v>0</v>
      </c>
      <c r="F879">
        <v>0</v>
      </c>
      <c r="G879" t="s">
        <v>2</v>
      </c>
      <c r="H879" cm="1">
        <f t="array" ref="H879">-isDup(B879,B880,0.7)</f>
        <v>0</v>
      </c>
    </row>
    <row r="880" spans="1:8" x14ac:dyDescent="0.2">
      <c r="A880" s="3">
        <v>45845.921492997688</v>
      </c>
      <c r="B880" t="s">
        <v>1061</v>
      </c>
      <c r="C880" t="s">
        <v>7</v>
      </c>
      <c r="E880">
        <v>0</v>
      </c>
      <c r="F880">
        <v>0</v>
      </c>
      <c r="G880" t="s">
        <v>2</v>
      </c>
      <c r="H880" cm="1">
        <f t="array" ref="H880">-isDup(B880,B881,0.7)</f>
        <v>0</v>
      </c>
    </row>
    <row r="881" spans="1:8" x14ac:dyDescent="0.2">
      <c r="A881" s="3">
        <v>45846.921492997688</v>
      </c>
      <c r="B881" t="s">
        <v>935</v>
      </c>
      <c r="C881" t="s">
        <v>237</v>
      </c>
      <c r="E881">
        <v>0</v>
      </c>
      <c r="F881">
        <v>0</v>
      </c>
      <c r="G881" t="s">
        <v>2</v>
      </c>
      <c r="H881" cm="1">
        <f t="array" ref="H881">-isDup(B881,B882,0.7)</f>
        <v>-1</v>
      </c>
    </row>
    <row r="882" spans="1:8" x14ac:dyDescent="0.2">
      <c r="A882" s="3">
        <v>45847.921492997688</v>
      </c>
      <c r="B882" t="s">
        <v>1062</v>
      </c>
      <c r="C882" t="s">
        <v>1063</v>
      </c>
      <c r="D882" t="s">
        <v>210</v>
      </c>
      <c r="E882">
        <v>0</v>
      </c>
      <c r="F882">
        <v>1</v>
      </c>
      <c r="G882" t="s">
        <v>2</v>
      </c>
      <c r="H882" cm="1">
        <f t="array" ref="H882">-isDup(B882,B883,0.7)</f>
        <v>0</v>
      </c>
    </row>
    <row r="883" spans="1:8" x14ac:dyDescent="0.2">
      <c r="A883" s="3">
        <v>45848.921492997688</v>
      </c>
      <c r="B883" t="s">
        <v>1064</v>
      </c>
      <c r="C883" t="s">
        <v>221</v>
      </c>
      <c r="D883" t="s">
        <v>55</v>
      </c>
      <c r="E883">
        <v>0</v>
      </c>
      <c r="F883">
        <v>1</v>
      </c>
      <c r="G883" t="s">
        <v>2</v>
      </c>
      <c r="H883" cm="1">
        <f t="array" ref="H883">-isDup(B883,B884,0.7)</f>
        <v>0</v>
      </c>
    </row>
    <row r="884" spans="1:8" x14ac:dyDescent="0.2">
      <c r="A884" s="3">
        <v>45849.921492997688</v>
      </c>
      <c r="B884" t="s">
        <v>1065</v>
      </c>
      <c r="C884" t="s">
        <v>7</v>
      </c>
      <c r="E884">
        <v>0</v>
      </c>
      <c r="F884">
        <v>0</v>
      </c>
      <c r="G884" t="s">
        <v>2</v>
      </c>
      <c r="H884" cm="1">
        <f t="array" ref="H884">-isDup(B884,B885,0.7)</f>
        <v>0</v>
      </c>
    </row>
    <row r="885" spans="1:8" x14ac:dyDescent="0.2">
      <c r="A885" s="3">
        <v>45850.921492997688</v>
      </c>
      <c r="B885" t="s">
        <v>138</v>
      </c>
      <c r="C885" t="s">
        <v>22</v>
      </c>
      <c r="E885">
        <v>0</v>
      </c>
      <c r="F885">
        <v>0</v>
      </c>
      <c r="G885" t="s">
        <v>2</v>
      </c>
      <c r="H885" cm="1">
        <f t="array" ref="H885">-isDup(B885,B886,0.7)</f>
        <v>0</v>
      </c>
    </row>
    <row r="886" spans="1:8" x14ac:dyDescent="0.2">
      <c r="A886" s="3">
        <v>45851.921492997688</v>
      </c>
      <c r="B886" t="s">
        <v>144</v>
      </c>
      <c r="C886" t="s">
        <v>22</v>
      </c>
      <c r="E886">
        <v>0</v>
      </c>
      <c r="F886">
        <v>0</v>
      </c>
      <c r="G886" t="s">
        <v>2</v>
      </c>
      <c r="H886" cm="1">
        <f t="array" ref="H886">-isDup(B886,B887,0.7)</f>
        <v>0</v>
      </c>
    </row>
    <row r="887" spans="1:8" x14ac:dyDescent="0.2">
      <c r="A887" s="3">
        <v>45852.921492997688</v>
      </c>
      <c r="B887" t="s">
        <v>3</v>
      </c>
      <c r="C887" t="s">
        <v>4</v>
      </c>
      <c r="D887" t="s">
        <v>5</v>
      </c>
      <c r="E887">
        <v>0</v>
      </c>
      <c r="F887">
        <v>0</v>
      </c>
      <c r="G887" t="s">
        <v>2</v>
      </c>
      <c r="H887" cm="1">
        <f t="array" ref="H887">-isDup(B887,B888,0.7)</f>
        <v>0</v>
      </c>
    </row>
    <row r="888" spans="1:8" x14ac:dyDescent="0.2">
      <c r="A888" s="3">
        <v>45853.921492997688</v>
      </c>
      <c r="B888" t="s">
        <v>152</v>
      </c>
      <c r="C888" t="s">
        <v>22</v>
      </c>
      <c r="E888">
        <v>0</v>
      </c>
      <c r="F888">
        <v>0</v>
      </c>
      <c r="G888" t="s">
        <v>2</v>
      </c>
      <c r="H888" cm="1">
        <f t="array" ref="H888">-isDup(B888,B889,0.7)</f>
        <v>0</v>
      </c>
    </row>
    <row r="889" spans="1:8" x14ac:dyDescent="0.2">
      <c r="A889" s="3">
        <v>45854.921492997688</v>
      </c>
      <c r="B889" t="s">
        <v>151</v>
      </c>
      <c r="C889" t="s">
        <v>22</v>
      </c>
      <c r="E889">
        <v>0</v>
      </c>
      <c r="F889">
        <v>0</v>
      </c>
      <c r="G889" t="s">
        <v>2</v>
      </c>
      <c r="H889" cm="1">
        <f t="array" ref="H889">-isDup(B889,B890,0.7)</f>
        <v>0</v>
      </c>
    </row>
    <row r="890" spans="1:8" x14ac:dyDescent="0.2">
      <c r="A890" s="3">
        <v>45855.921492997688</v>
      </c>
      <c r="B890" t="s">
        <v>576</v>
      </c>
      <c r="C890" t="s">
        <v>507</v>
      </c>
      <c r="D890" t="s">
        <v>508</v>
      </c>
      <c r="E890">
        <v>0</v>
      </c>
      <c r="F890">
        <v>0</v>
      </c>
      <c r="G890" t="s">
        <v>2</v>
      </c>
      <c r="H890" cm="1">
        <f t="array" ref="H890">-isDup(B890,B891,0.7)</f>
        <v>0</v>
      </c>
    </row>
    <row r="891" spans="1:8" x14ac:dyDescent="0.2">
      <c r="A891" s="3">
        <v>45856.921492997688</v>
      </c>
      <c r="B891" t="s">
        <v>153</v>
      </c>
      <c r="C891" t="s">
        <v>22</v>
      </c>
      <c r="E891">
        <v>0</v>
      </c>
      <c r="F891">
        <v>0</v>
      </c>
      <c r="G891" t="s">
        <v>2</v>
      </c>
      <c r="H891" cm="1">
        <f t="array" ref="H891">-isDup(B891,B892,0.7)</f>
        <v>-1</v>
      </c>
    </row>
    <row r="892" spans="1:8" x14ac:dyDescent="0.2">
      <c r="A892" s="3">
        <v>45857.921492997688</v>
      </c>
      <c r="B892" t="s">
        <v>154</v>
      </c>
      <c r="C892" t="s">
        <v>22</v>
      </c>
      <c r="E892">
        <v>0</v>
      </c>
      <c r="F892">
        <v>0</v>
      </c>
      <c r="G892" t="s">
        <v>2</v>
      </c>
      <c r="H892" cm="1">
        <f t="array" ref="H892">-isDup(B892,B893,0.7)</f>
        <v>0</v>
      </c>
    </row>
    <row r="893" spans="1:8" x14ac:dyDescent="0.2">
      <c r="A893" s="3">
        <v>45858.921492997688</v>
      </c>
      <c r="B893" t="s">
        <v>46</v>
      </c>
      <c r="C893" t="s">
        <v>22</v>
      </c>
      <c r="E893">
        <v>0</v>
      </c>
      <c r="F893">
        <v>0</v>
      </c>
      <c r="G893" t="s">
        <v>2</v>
      </c>
      <c r="H893" cm="1">
        <f t="array" ref="H893">-isDup(B893,B894,0.7)</f>
        <v>0</v>
      </c>
    </row>
    <row r="894" spans="1:8" x14ac:dyDescent="0.2">
      <c r="A894" s="3">
        <v>45859.921492997688</v>
      </c>
      <c r="B894" t="s">
        <v>1066</v>
      </c>
      <c r="C894" t="s">
        <v>171</v>
      </c>
      <c r="E894">
        <v>0</v>
      </c>
      <c r="F894">
        <v>0</v>
      </c>
      <c r="G894" t="s">
        <v>2</v>
      </c>
      <c r="H894" cm="1">
        <f t="array" ref="H894">-isDup(B894,B895,0.7)</f>
        <v>0</v>
      </c>
    </row>
    <row r="895" spans="1:8" x14ac:dyDescent="0.2">
      <c r="A895" s="3">
        <v>45860.921492997688</v>
      </c>
      <c r="B895" t="s">
        <v>1067</v>
      </c>
      <c r="C895" t="s">
        <v>143</v>
      </c>
      <c r="D895" t="s">
        <v>129</v>
      </c>
      <c r="E895">
        <v>0</v>
      </c>
      <c r="F895">
        <v>0</v>
      </c>
      <c r="G895" t="s">
        <v>2</v>
      </c>
      <c r="H895" cm="1">
        <f t="array" ref="H895">-isDup(B895,B896,0.7)</f>
        <v>0</v>
      </c>
    </row>
    <row r="896" spans="1:8" x14ac:dyDescent="0.2">
      <c r="A896" s="3">
        <v>45861.921492997688</v>
      </c>
      <c r="B896" t="s">
        <v>1068</v>
      </c>
      <c r="C896" t="s">
        <v>1069</v>
      </c>
      <c r="D896" t="s">
        <v>1070</v>
      </c>
      <c r="E896">
        <v>1</v>
      </c>
      <c r="F896">
        <v>0</v>
      </c>
      <c r="G896" t="s">
        <v>2</v>
      </c>
      <c r="H896" cm="1">
        <f t="array" ref="H896">-isDup(B896,B897,0.7)</f>
        <v>0</v>
      </c>
    </row>
    <row r="897" spans="1:8" x14ac:dyDescent="0.2">
      <c r="A897" s="3">
        <v>45862.921492997688</v>
      </c>
      <c r="B897" t="s">
        <v>159</v>
      </c>
      <c r="C897" t="s">
        <v>22</v>
      </c>
      <c r="E897">
        <v>0</v>
      </c>
      <c r="F897">
        <v>0</v>
      </c>
      <c r="G897" t="s">
        <v>2</v>
      </c>
      <c r="H897" cm="1">
        <f t="array" ref="H897">-isDup(B897,B898,0.7)</f>
        <v>0</v>
      </c>
    </row>
    <row r="898" spans="1:8" x14ac:dyDescent="0.2">
      <c r="A898" s="3">
        <v>45863.921492997688</v>
      </c>
      <c r="B898" t="s">
        <v>1071</v>
      </c>
      <c r="C898" t="s">
        <v>1072</v>
      </c>
      <c r="E898">
        <v>0</v>
      </c>
      <c r="F898">
        <v>0</v>
      </c>
      <c r="G898" t="s">
        <v>2</v>
      </c>
      <c r="H898" cm="1">
        <f t="array" ref="H898">-isDup(B898,B899,0.7)</f>
        <v>0</v>
      </c>
    </row>
    <row r="899" spans="1:8" x14ac:dyDescent="0.2">
      <c r="A899" s="3">
        <v>45864.921492997688</v>
      </c>
      <c r="B899" t="s">
        <v>1073</v>
      </c>
      <c r="C899" t="s">
        <v>1074</v>
      </c>
      <c r="E899">
        <v>0</v>
      </c>
      <c r="F899">
        <v>1</v>
      </c>
      <c r="G899" t="s">
        <v>2</v>
      </c>
      <c r="H899" cm="1">
        <f t="array" ref="H899">-isDup(B899,B900,0.7)</f>
        <v>0</v>
      </c>
    </row>
    <row r="900" spans="1:8" x14ac:dyDescent="0.2">
      <c r="A900" s="3">
        <v>45865.921492997688</v>
      </c>
      <c r="B900" t="s">
        <v>165</v>
      </c>
      <c r="C900" t="s">
        <v>22</v>
      </c>
      <c r="E900">
        <v>0</v>
      </c>
      <c r="F900">
        <v>0</v>
      </c>
      <c r="G900" t="s">
        <v>2</v>
      </c>
      <c r="H900" cm="1">
        <f t="array" ref="H900">-isDup(B900,B901,0.7)</f>
        <v>0</v>
      </c>
    </row>
    <row r="901" spans="1:8" x14ac:dyDescent="0.2">
      <c r="A901" s="3">
        <v>45866.921492997688</v>
      </c>
      <c r="B901" t="s">
        <v>1075</v>
      </c>
      <c r="C901" t="s">
        <v>1076</v>
      </c>
      <c r="E901">
        <v>0</v>
      </c>
      <c r="F901">
        <v>1</v>
      </c>
      <c r="G901" t="s">
        <v>2</v>
      </c>
      <c r="H901" cm="1">
        <f t="array" ref="H901">-isDup(B901,B902,0.7)</f>
        <v>0</v>
      </c>
    </row>
    <row r="902" spans="1:8" x14ac:dyDescent="0.2">
      <c r="A902" s="3">
        <v>45867.921492997688</v>
      </c>
      <c r="B902" t="s">
        <v>1077</v>
      </c>
      <c r="C902" t="s">
        <v>1078</v>
      </c>
      <c r="D902" t="s">
        <v>1079</v>
      </c>
      <c r="E902">
        <v>0</v>
      </c>
      <c r="F902">
        <v>0</v>
      </c>
      <c r="G902" t="s">
        <v>2</v>
      </c>
      <c r="H902" cm="1">
        <f t="array" ref="H902">-isDup(B902,B903,0.7)</f>
        <v>0</v>
      </c>
    </row>
    <row r="903" spans="1:8" x14ac:dyDescent="0.2">
      <c r="A903" s="3">
        <v>45868.921492997688</v>
      </c>
      <c r="B903" t="s">
        <v>1080</v>
      </c>
      <c r="C903" t="s">
        <v>7</v>
      </c>
      <c r="E903">
        <v>0</v>
      </c>
      <c r="F903">
        <v>0</v>
      </c>
      <c r="G903" t="s">
        <v>2</v>
      </c>
      <c r="H903" cm="1">
        <f t="array" ref="H903">-isDup(B903,B904,0.7)</f>
        <v>0</v>
      </c>
    </row>
    <row r="904" spans="1:8" x14ac:dyDescent="0.2">
      <c r="A904" s="3">
        <v>45869.921492997688</v>
      </c>
      <c r="B904" t="s">
        <v>1081</v>
      </c>
      <c r="C904" t="s">
        <v>134</v>
      </c>
      <c r="E904">
        <v>0</v>
      </c>
      <c r="F904">
        <v>0</v>
      </c>
      <c r="G904" t="s">
        <v>2</v>
      </c>
      <c r="H904" cm="1">
        <f t="array" ref="H904">-isDup(B904,B905,0.7)</f>
        <v>0</v>
      </c>
    </row>
    <row r="905" spans="1:8" x14ac:dyDescent="0.2">
      <c r="A905" s="3">
        <v>45870.921492997688</v>
      </c>
      <c r="B905" t="s">
        <v>1082</v>
      </c>
      <c r="C905" t="s">
        <v>956</v>
      </c>
      <c r="D905" t="s">
        <v>1083</v>
      </c>
      <c r="E905">
        <v>0</v>
      </c>
      <c r="F905">
        <v>4</v>
      </c>
      <c r="G905" t="s">
        <v>2</v>
      </c>
      <c r="H905" cm="1">
        <f t="array" ref="H905">-isDup(B905,B906,0.7)</f>
        <v>0</v>
      </c>
    </row>
    <row r="906" spans="1:8" x14ac:dyDescent="0.2">
      <c r="A906" s="3">
        <v>45871.921492997688</v>
      </c>
      <c r="B906" t="s">
        <v>1084</v>
      </c>
      <c r="C906" t="s">
        <v>1085</v>
      </c>
      <c r="D906" t="s">
        <v>1086</v>
      </c>
      <c r="E906">
        <v>0</v>
      </c>
      <c r="F906">
        <v>1</v>
      </c>
      <c r="G906" t="s">
        <v>2</v>
      </c>
      <c r="H906" cm="1">
        <f t="array" ref="H906">-isDup(B906,B907,0.7)</f>
        <v>0</v>
      </c>
    </row>
    <row r="907" spans="1:8" x14ac:dyDescent="0.2">
      <c r="A907" s="3">
        <v>45872.921492997688</v>
      </c>
      <c r="B907" t="s">
        <v>1087</v>
      </c>
      <c r="C907" t="s">
        <v>7</v>
      </c>
      <c r="E907">
        <v>0</v>
      </c>
      <c r="F907">
        <v>0</v>
      </c>
      <c r="G907" t="s">
        <v>2</v>
      </c>
      <c r="H907" cm="1">
        <f t="array" ref="H907">-isDup(B907,B908,0.7)</f>
        <v>0</v>
      </c>
    </row>
    <row r="908" spans="1:8" x14ac:dyDescent="0.2">
      <c r="A908" s="3">
        <v>45873.921492997688</v>
      </c>
      <c r="B908" t="s">
        <v>1088</v>
      </c>
      <c r="C908" t="s">
        <v>1089</v>
      </c>
      <c r="D908" t="s">
        <v>1090</v>
      </c>
      <c r="E908">
        <v>0</v>
      </c>
      <c r="F908">
        <v>0</v>
      </c>
      <c r="G908" t="s">
        <v>2</v>
      </c>
      <c r="H908" cm="1">
        <f t="array" ref="H908">-isDup(B908,B909,0.7)</f>
        <v>0</v>
      </c>
    </row>
    <row r="909" spans="1:8" x14ac:dyDescent="0.2">
      <c r="A909" s="3">
        <v>45874.921492997688</v>
      </c>
      <c r="B909" t="s">
        <v>1091</v>
      </c>
      <c r="C909" t="s">
        <v>22</v>
      </c>
      <c r="D909" t="s">
        <v>1092</v>
      </c>
      <c r="E909">
        <v>0</v>
      </c>
      <c r="F909">
        <v>0</v>
      </c>
      <c r="G909" t="s">
        <v>2</v>
      </c>
      <c r="H909" cm="1">
        <f t="array" ref="H909">-isDup(B909,B910,0.7)</f>
        <v>0</v>
      </c>
    </row>
    <row r="910" spans="1:8" x14ac:dyDescent="0.2">
      <c r="A910" s="3">
        <v>45875.921492997688</v>
      </c>
      <c r="B910" t="s">
        <v>1093</v>
      </c>
      <c r="C910" t="s">
        <v>7</v>
      </c>
      <c r="E910">
        <v>0</v>
      </c>
      <c r="F910">
        <v>0</v>
      </c>
      <c r="G910" t="s">
        <v>2</v>
      </c>
      <c r="H910" cm="1">
        <f t="array" ref="H910">-isDup(B910,B911,0.7)</f>
        <v>0</v>
      </c>
    </row>
    <row r="911" spans="1:8" x14ac:dyDescent="0.2">
      <c r="A911" s="3">
        <v>45876.921492997688</v>
      </c>
      <c r="B911" t="s">
        <v>1094</v>
      </c>
      <c r="C911" t="s">
        <v>12</v>
      </c>
      <c r="D911" t="s">
        <v>13</v>
      </c>
      <c r="E911">
        <v>0</v>
      </c>
      <c r="F911">
        <v>0</v>
      </c>
      <c r="G911" t="s">
        <v>2</v>
      </c>
      <c r="H911" cm="1">
        <f t="array" ref="H911">-isDup(B911,B912,0.7)</f>
        <v>0</v>
      </c>
    </row>
    <row r="912" spans="1:8" x14ac:dyDescent="0.2">
      <c r="A912" s="3">
        <v>45877.921492997688</v>
      </c>
      <c r="B912" t="s">
        <v>1095</v>
      </c>
      <c r="C912" t="s">
        <v>7</v>
      </c>
      <c r="E912">
        <v>0</v>
      </c>
      <c r="F912">
        <v>0</v>
      </c>
      <c r="G912" t="s">
        <v>2</v>
      </c>
      <c r="H912" cm="1">
        <f t="array" ref="H912">-isDup(B912,B913,0.7)</f>
        <v>0</v>
      </c>
    </row>
    <row r="913" spans="1:8" x14ac:dyDescent="0.2">
      <c r="A913" s="3">
        <v>45878.921492997688</v>
      </c>
      <c r="B913" t="s">
        <v>1096</v>
      </c>
      <c r="C913" t="s">
        <v>198</v>
      </c>
      <c r="E913">
        <v>0</v>
      </c>
      <c r="F913">
        <v>0</v>
      </c>
      <c r="G913" t="s">
        <v>2</v>
      </c>
      <c r="H913" cm="1">
        <f t="array" ref="H913">-isDup(B913,B914,0.7)</f>
        <v>0</v>
      </c>
    </row>
    <row r="914" spans="1:8" x14ac:dyDescent="0.2">
      <c r="A914" s="3">
        <v>45879.921492997688</v>
      </c>
      <c r="B914" t="s">
        <v>1097</v>
      </c>
      <c r="C914" t="s">
        <v>33</v>
      </c>
      <c r="D914" t="s">
        <v>34</v>
      </c>
      <c r="E914">
        <v>0</v>
      </c>
      <c r="F914">
        <v>0</v>
      </c>
      <c r="G914" t="s">
        <v>2</v>
      </c>
      <c r="H914" cm="1">
        <f t="array" ref="H914">-isDup(B914,B915,0.7)</f>
        <v>0</v>
      </c>
    </row>
    <row r="915" spans="1:8" x14ac:dyDescent="0.2">
      <c r="A915" s="3">
        <v>45880.921492997688</v>
      </c>
      <c r="B915" t="s">
        <v>1098</v>
      </c>
      <c r="C915" t="s">
        <v>7</v>
      </c>
      <c r="E915">
        <v>0</v>
      </c>
      <c r="F915">
        <v>0</v>
      </c>
      <c r="G915" t="s">
        <v>2</v>
      </c>
      <c r="H915" cm="1">
        <f t="array" ref="H915">-isDup(B915,B916,0.7)</f>
        <v>0</v>
      </c>
    </row>
    <row r="916" spans="1:8" x14ac:dyDescent="0.2">
      <c r="A916" s="3">
        <v>45881.921492997688</v>
      </c>
      <c r="B916" t="s">
        <v>35</v>
      </c>
      <c r="C916" t="s">
        <v>33</v>
      </c>
      <c r="D916" t="s">
        <v>34</v>
      </c>
      <c r="E916">
        <v>0</v>
      </c>
      <c r="F916">
        <v>0</v>
      </c>
      <c r="G916" t="s">
        <v>2</v>
      </c>
      <c r="H916" cm="1">
        <f t="array" ref="H916">-isDup(B916,B917,0.7)</f>
        <v>-1</v>
      </c>
    </row>
    <row r="917" spans="1:8" x14ac:dyDescent="0.2">
      <c r="A917" s="3">
        <v>45882.921492997688</v>
      </c>
      <c r="B917" t="s">
        <v>1099</v>
      </c>
      <c r="C917" t="s">
        <v>33</v>
      </c>
      <c r="D917" t="s">
        <v>34</v>
      </c>
      <c r="E917">
        <v>0</v>
      </c>
      <c r="F917">
        <v>0</v>
      </c>
      <c r="G917" t="s">
        <v>2</v>
      </c>
      <c r="H917" cm="1">
        <f t="array" ref="H917">-isDup(B917,B918,0.7)</f>
        <v>0</v>
      </c>
    </row>
    <row r="918" spans="1:8" x14ac:dyDescent="0.2">
      <c r="A918" s="3">
        <v>45883.921492997688</v>
      </c>
      <c r="B918" t="s">
        <v>37</v>
      </c>
      <c r="C918" t="s">
        <v>33</v>
      </c>
      <c r="D918" t="s">
        <v>34</v>
      </c>
      <c r="E918">
        <v>0</v>
      </c>
      <c r="F918">
        <v>0</v>
      </c>
      <c r="G918" t="s">
        <v>2</v>
      </c>
      <c r="H918" cm="1">
        <f t="array" ref="H918">-isDup(B918,B919,0.7)</f>
        <v>0</v>
      </c>
    </row>
    <row r="919" spans="1:8" x14ac:dyDescent="0.2">
      <c r="A919" s="3">
        <v>45884.921492997688</v>
      </c>
      <c r="B919" t="s">
        <v>36</v>
      </c>
      <c r="C919" t="s">
        <v>33</v>
      </c>
      <c r="D919" t="s">
        <v>34</v>
      </c>
      <c r="E919">
        <v>0</v>
      </c>
      <c r="F919">
        <v>0</v>
      </c>
      <c r="G919" t="s">
        <v>2</v>
      </c>
      <c r="H919" cm="1">
        <f t="array" ref="H919">-isDup(B919,B920,0.7)</f>
        <v>0</v>
      </c>
    </row>
    <row r="920" spans="1:8" x14ac:dyDescent="0.2">
      <c r="A920" s="3">
        <v>45885.921492997688</v>
      </c>
      <c r="B920" t="s">
        <v>287</v>
      </c>
      <c r="C920" t="s">
        <v>33</v>
      </c>
      <c r="D920" t="s">
        <v>34</v>
      </c>
      <c r="E920">
        <v>0</v>
      </c>
      <c r="F920">
        <v>0</v>
      </c>
      <c r="G920" t="s">
        <v>2</v>
      </c>
      <c r="H920" cm="1">
        <f t="array" ref="H920">-isDup(B920,B921,0.7)</f>
        <v>0</v>
      </c>
    </row>
    <row r="921" spans="1:8" x14ac:dyDescent="0.2">
      <c r="A921" s="3">
        <v>45886.921492997688</v>
      </c>
      <c r="B921" t="s">
        <v>1100</v>
      </c>
      <c r="C921" t="s">
        <v>1101</v>
      </c>
      <c r="E921">
        <v>0</v>
      </c>
      <c r="F921">
        <v>0</v>
      </c>
      <c r="G921" t="s">
        <v>2</v>
      </c>
      <c r="H921" cm="1">
        <f t="array" ref="H921">-isDup(B921,B922,0.7)</f>
        <v>0</v>
      </c>
    </row>
    <row r="922" spans="1:8" x14ac:dyDescent="0.2">
      <c r="A922" s="3">
        <v>45887.921492997688</v>
      </c>
      <c r="B922" t="s">
        <v>1102</v>
      </c>
      <c r="C922" t="s">
        <v>1103</v>
      </c>
      <c r="D922" t="s">
        <v>1104</v>
      </c>
      <c r="E922">
        <v>0</v>
      </c>
      <c r="F922">
        <v>1</v>
      </c>
      <c r="G922" t="s">
        <v>2</v>
      </c>
      <c r="H922" cm="1">
        <f t="array" ref="H922">-isDup(B922,B923,0.7)</f>
        <v>0</v>
      </c>
    </row>
    <row r="923" spans="1:8" x14ac:dyDescent="0.2">
      <c r="A923" s="3">
        <v>45888.921492997688</v>
      </c>
      <c r="B923" t="s">
        <v>1096</v>
      </c>
      <c r="C923" t="s">
        <v>198</v>
      </c>
      <c r="E923">
        <v>0</v>
      </c>
      <c r="F923">
        <v>0</v>
      </c>
      <c r="G923" t="s">
        <v>2</v>
      </c>
      <c r="H923" cm="1">
        <f t="array" ref="H923">-isDup(B923,B924,0.7)</f>
        <v>0</v>
      </c>
    </row>
    <row r="924" spans="1:8" x14ac:dyDescent="0.2">
      <c r="A924" s="3">
        <v>45889.921492997688</v>
      </c>
      <c r="B924" t="s">
        <v>1105</v>
      </c>
      <c r="C924" t="s">
        <v>1106</v>
      </c>
      <c r="D924" t="s">
        <v>1107</v>
      </c>
      <c r="E924">
        <v>30</v>
      </c>
      <c r="F924">
        <v>33</v>
      </c>
      <c r="G924" t="s">
        <v>2</v>
      </c>
      <c r="H924" cm="1">
        <f t="array" ref="H924">-isDup(B924,B925,0.7)</f>
        <v>0</v>
      </c>
    </row>
    <row r="925" spans="1:8" x14ac:dyDescent="0.2">
      <c r="A925" s="3">
        <v>45890.921492997688</v>
      </c>
      <c r="B925" t="s">
        <v>1108</v>
      </c>
      <c r="C925" t="s">
        <v>7</v>
      </c>
      <c r="E925">
        <v>0</v>
      </c>
      <c r="F925">
        <v>0</v>
      </c>
      <c r="G925" t="s">
        <v>2</v>
      </c>
      <c r="H925" cm="1">
        <f t="array" ref="H925">-isDup(B925,B926,0.7)</f>
        <v>0</v>
      </c>
    </row>
    <row r="926" spans="1:8" x14ac:dyDescent="0.2">
      <c r="A926" s="3">
        <v>45891.921492997688</v>
      </c>
      <c r="B926" t="s">
        <v>1109</v>
      </c>
      <c r="C926" t="s">
        <v>1110</v>
      </c>
      <c r="E926">
        <v>0</v>
      </c>
      <c r="F926">
        <v>1</v>
      </c>
      <c r="G926" t="s">
        <v>2</v>
      </c>
      <c r="H926" cm="1">
        <f t="array" ref="H926">-isDup(B926,B927,0.7)</f>
        <v>0</v>
      </c>
    </row>
    <row r="927" spans="1:8" x14ac:dyDescent="0.2">
      <c r="A927" s="3">
        <v>45892.921492997688</v>
      </c>
      <c r="B927" t="s">
        <v>556</v>
      </c>
      <c r="C927" t="s">
        <v>557</v>
      </c>
      <c r="D927" t="s">
        <v>558</v>
      </c>
      <c r="E927">
        <v>0</v>
      </c>
      <c r="F927">
        <v>0</v>
      </c>
      <c r="G927" t="s">
        <v>2</v>
      </c>
      <c r="H927" cm="1">
        <f t="array" ref="H927">-isDup(B927,B928,0.7)</f>
        <v>0</v>
      </c>
    </row>
    <row r="928" spans="1:8" x14ac:dyDescent="0.2">
      <c r="A928" s="3">
        <v>45893.921492997688</v>
      </c>
      <c r="B928" t="s">
        <v>1111</v>
      </c>
      <c r="C928" t="s">
        <v>12</v>
      </c>
      <c r="D928" t="s">
        <v>13</v>
      </c>
      <c r="E928">
        <v>0</v>
      </c>
      <c r="F928">
        <v>0</v>
      </c>
      <c r="G928" t="s">
        <v>2</v>
      </c>
      <c r="H928" cm="1">
        <f t="array" ref="H928">-isDup(B928,B929,0.7)</f>
        <v>0</v>
      </c>
    </row>
    <row r="929" spans="1:8" x14ac:dyDescent="0.2">
      <c r="A929" s="3">
        <v>45894.921492997688</v>
      </c>
      <c r="B929" t="s">
        <v>1112</v>
      </c>
      <c r="C929" t="s">
        <v>7</v>
      </c>
      <c r="E929">
        <v>0</v>
      </c>
      <c r="F929">
        <v>0</v>
      </c>
      <c r="G929" t="s">
        <v>2</v>
      </c>
      <c r="H929" cm="1">
        <f t="array" ref="H929">-isDup(B929,B930,0.7)</f>
        <v>0</v>
      </c>
    </row>
    <row r="930" spans="1:8" x14ac:dyDescent="0.2">
      <c r="A930" s="3">
        <v>45895.921492997688</v>
      </c>
      <c r="B930" t="s">
        <v>1113</v>
      </c>
      <c r="C930" t="s">
        <v>1114</v>
      </c>
      <c r="E930">
        <v>0</v>
      </c>
      <c r="F930">
        <v>1</v>
      </c>
      <c r="G930" t="s">
        <v>2</v>
      </c>
      <c r="H930" cm="1">
        <f t="array" ref="H930">-isDup(B930,B931,0.7)</f>
        <v>0</v>
      </c>
    </row>
    <row r="931" spans="1:8" x14ac:dyDescent="0.2">
      <c r="A931" s="3">
        <v>45896.921492997688</v>
      </c>
      <c r="B931" t="s">
        <v>1115</v>
      </c>
      <c r="C931" t="s">
        <v>1116</v>
      </c>
      <c r="D931" t="s">
        <v>1117</v>
      </c>
      <c r="E931">
        <v>2</v>
      </c>
      <c r="F931">
        <v>1</v>
      </c>
      <c r="G931" t="s">
        <v>2</v>
      </c>
      <c r="H931" cm="1">
        <f t="array" ref="H931">-isDup(B931,B932,0.7)</f>
        <v>0</v>
      </c>
    </row>
    <row r="932" spans="1:8" x14ac:dyDescent="0.2">
      <c r="A932" s="3">
        <v>45897.921492997688</v>
      </c>
      <c r="B932" t="s">
        <v>1118</v>
      </c>
      <c r="C932" t="s">
        <v>7</v>
      </c>
      <c r="E932">
        <v>0</v>
      </c>
      <c r="F932">
        <v>0</v>
      </c>
      <c r="G932" t="s">
        <v>2</v>
      </c>
      <c r="H932" cm="1">
        <f t="array" ref="H932">-isDup(B932,B933,0.7)</f>
        <v>0</v>
      </c>
    </row>
    <row r="933" spans="1:8" x14ac:dyDescent="0.2">
      <c r="A933" s="3">
        <v>45898.921492997688</v>
      </c>
      <c r="B933" t="s">
        <v>1119</v>
      </c>
      <c r="C933" t="s">
        <v>1120</v>
      </c>
      <c r="E933">
        <v>0</v>
      </c>
      <c r="F933">
        <v>0</v>
      </c>
      <c r="G933" t="s">
        <v>2</v>
      </c>
      <c r="H933" cm="1">
        <f t="array" ref="H933">-isDup(B933,B934,0.7)</f>
        <v>0</v>
      </c>
    </row>
    <row r="934" spans="1:8" x14ac:dyDescent="0.2">
      <c r="A934" s="3">
        <v>45899.921492997688</v>
      </c>
      <c r="B934" t="s">
        <v>1121</v>
      </c>
      <c r="C934" t="s">
        <v>7</v>
      </c>
      <c r="E934">
        <v>0</v>
      </c>
      <c r="F934">
        <v>0</v>
      </c>
      <c r="G934" t="s">
        <v>2</v>
      </c>
      <c r="H934" cm="1">
        <f t="array" ref="H934">-isDup(B934,B935,0.7)</f>
        <v>0</v>
      </c>
    </row>
    <row r="935" spans="1:8" x14ac:dyDescent="0.2">
      <c r="A935" s="3">
        <v>45900.921492997688</v>
      </c>
      <c r="B935" t="s">
        <v>3</v>
      </c>
      <c r="C935" t="s">
        <v>4</v>
      </c>
      <c r="D935" t="s">
        <v>5</v>
      </c>
      <c r="E935">
        <v>0</v>
      </c>
      <c r="F935">
        <v>0</v>
      </c>
      <c r="G935" t="s">
        <v>2</v>
      </c>
      <c r="H935" cm="1">
        <f t="array" ref="H935">-isDup(B935,B936,0.7)</f>
        <v>0</v>
      </c>
    </row>
    <row r="936" spans="1:8" x14ac:dyDescent="0.2">
      <c r="A936" s="3">
        <v>45901.921492997688</v>
      </c>
      <c r="B936" t="s">
        <v>1122</v>
      </c>
      <c r="C936" t="s">
        <v>823</v>
      </c>
      <c r="E936">
        <v>0</v>
      </c>
      <c r="F936">
        <v>0</v>
      </c>
      <c r="G936" t="s">
        <v>2</v>
      </c>
      <c r="H936" cm="1">
        <f t="array" ref="H936">-isDup(B936,B937,0.7)</f>
        <v>0</v>
      </c>
    </row>
    <row r="937" spans="1:8" x14ac:dyDescent="0.2">
      <c r="A937" s="3">
        <v>45902.921492997688</v>
      </c>
      <c r="B937" t="s">
        <v>1123</v>
      </c>
      <c r="C937" t="s">
        <v>1124</v>
      </c>
      <c r="E937">
        <v>0</v>
      </c>
      <c r="F937">
        <v>0</v>
      </c>
      <c r="G937" t="s">
        <v>2</v>
      </c>
      <c r="H937" cm="1">
        <f t="array" ref="H937">-isDup(B937,B938,0.7)</f>
        <v>0</v>
      </c>
    </row>
    <row r="938" spans="1:8" x14ac:dyDescent="0.2">
      <c r="A938" s="3">
        <v>45903.921492997688</v>
      </c>
      <c r="B938" t="s">
        <v>996</v>
      </c>
      <c r="C938" t="s">
        <v>102</v>
      </c>
      <c r="D938" t="s">
        <v>103</v>
      </c>
      <c r="E938">
        <v>0</v>
      </c>
      <c r="F938">
        <v>0</v>
      </c>
      <c r="G938" t="s">
        <v>2</v>
      </c>
      <c r="H938" cm="1">
        <f t="array" ref="H938">-isDup(B938,B939,0.7)</f>
        <v>0</v>
      </c>
    </row>
    <row r="939" spans="1:8" x14ac:dyDescent="0.2">
      <c r="A939" s="3">
        <v>45904.921492997688</v>
      </c>
      <c r="B939" t="s">
        <v>1125</v>
      </c>
      <c r="C939" t="s">
        <v>1126</v>
      </c>
      <c r="D939" t="s">
        <v>1127</v>
      </c>
      <c r="E939">
        <v>0</v>
      </c>
      <c r="F939">
        <v>0</v>
      </c>
      <c r="G939" t="s">
        <v>2</v>
      </c>
      <c r="H939" cm="1">
        <f t="array" ref="H939">-isDup(B939,B940,0.7)</f>
        <v>0</v>
      </c>
    </row>
    <row r="940" spans="1:8" x14ac:dyDescent="0.2">
      <c r="A940" s="3">
        <v>45905.921492997688</v>
      </c>
      <c r="B940" t="s">
        <v>1128</v>
      </c>
      <c r="C940" t="s">
        <v>1103</v>
      </c>
      <c r="E940">
        <v>7</v>
      </c>
      <c r="F940">
        <v>45</v>
      </c>
      <c r="G940" t="s">
        <v>2</v>
      </c>
      <c r="H940" cm="1">
        <f t="array" ref="H940">-isDup(B940,B941,0.7)</f>
        <v>0</v>
      </c>
    </row>
    <row r="941" spans="1:8" x14ac:dyDescent="0.2">
      <c r="A941" s="3">
        <v>45906.921492997688</v>
      </c>
      <c r="B941" t="s">
        <v>1129</v>
      </c>
      <c r="C941" t="s">
        <v>1130</v>
      </c>
      <c r="D941" t="s">
        <v>1131</v>
      </c>
      <c r="E941">
        <v>0</v>
      </c>
      <c r="F941">
        <v>0</v>
      </c>
      <c r="G941" t="s">
        <v>2</v>
      </c>
      <c r="H941" cm="1">
        <f t="array" ref="H941">-isDup(B941,B942,0.7)</f>
        <v>0</v>
      </c>
    </row>
    <row r="942" spans="1:8" x14ac:dyDescent="0.2">
      <c r="A942" s="3">
        <v>45907.921492997688</v>
      </c>
      <c r="B942" t="s">
        <v>1132</v>
      </c>
      <c r="C942" t="s">
        <v>1133</v>
      </c>
      <c r="D942" t="s">
        <v>5</v>
      </c>
      <c r="E942">
        <v>0</v>
      </c>
      <c r="F942">
        <v>2</v>
      </c>
      <c r="G942" t="s">
        <v>2</v>
      </c>
      <c r="H942" cm="1">
        <f t="array" ref="H942">-isDup(B942,B943,0.7)</f>
        <v>0</v>
      </c>
    </row>
    <row r="943" spans="1:8" x14ac:dyDescent="0.2">
      <c r="A943" s="3">
        <v>45908.921492997688</v>
      </c>
      <c r="B943" t="s">
        <v>1134</v>
      </c>
      <c r="C943" t="s">
        <v>1135</v>
      </c>
      <c r="D943" t="s">
        <v>1136</v>
      </c>
      <c r="E943">
        <v>0</v>
      </c>
      <c r="F943">
        <v>1</v>
      </c>
      <c r="G943" t="s">
        <v>2</v>
      </c>
      <c r="H943" cm="1">
        <f t="array" ref="H943">-isDup(B943,B944,0.7)</f>
        <v>0</v>
      </c>
    </row>
    <row r="944" spans="1:8" x14ac:dyDescent="0.2">
      <c r="A944" s="3">
        <v>45909.921492997688</v>
      </c>
      <c r="B944" t="s">
        <v>218</v>
      </c>
      <c r="C944" t="s">
        <v>22</v>
      </c>
      <c r="E944">
        <v>0</v>
      </c>
      <c r="F944">
        <v>0</v>
      </c>
      <c r="G944" t="s">
        <v>2</v>
      </c>
      <c r="H944" cm="1">
        <f t="array" ref="H944">-isDup(B944,B945,0.7)</f>
        <v>0</v>
      </c>
    </row>
    <row r="945" spans="1:8" x14ac:dyDescent="0.2">
      <c r="A945" s="3">
        <v>45910.921492997688</v>
      </c>
      <c r="B945" t="s">
        <v>37</v>
      </c>
      <c r="C945" t="s">
        <v>33</v>
      </c>
      <c r="D945" t="s">
        <v>34</v>
      </c>
      <c r="E945">
        <v>0</v>
      </c>
      <c r="F945">
        <v>0</v>
      </c>
      <c r="G945" t="s">
        <v>2</v>
      </c>
      <c r="H945" cm="1">
        <f t="array" ref="H945">-isDup(B945,B946,0.7)</f>
        <v>0</v>
      </c>
    </row>
    <row r="946" spans="1:8" x14ac:dyDescent="0.2">
      <c r="A946" s="3">
        <v>45911.921492997688</v>
      </c>
      <c r="B946" t="s">
        <v>1137</v>
      </c>
      <c r="C946" t="s">
        <v>33</v>
      </c>
      <c r="D946" t="s">
        <v>34</v>
      </c>
      <c r="E946">
        <v>0</v>
      </c>
      <c r="F946">
        <v>0</v>
      </c>
      <c r="G946" t="s">
        <v>2</v>
      </c>
      <c r="H946" cm="1">
        <f t="array" ref="H946">-isDup(B946,B947,0.7)</f>
        <v>0</v>
      </c>
    </row>
    <row r="947" spans="1:8" x14ac:dyDescent="0.2">
      <c r="A947" s="3">
        <v>45912.921492997688</v>
      </c>
      <c r="B947" t="s">
        <v>35</v>
      </c>
      <c r="C947" t="s">
        <v>33</v>
      </c>
      <c r="D947" t="s">
        <v>34</v>
      </c>
      <c r="E947">
        <v>0</v>
      </c>
      <c r="F947">
        <v>0</v>
      </c>
      <c r="G947" t="s">
        <v>2</v>
      </c>
      <c r="H947" cm="1">
        <f t="array" ref="H947">-isDup(B947,B948,0.7)</f>
        <v>0</v>
      </c>
    </row>
    <row r="948" spans="1:8" x14ac:dyDescent="0.2">
      <c r="A948" s="3">
        <v>45913.921492997688</v>
      </c>
      <c r="B948" t="s">
        <v>36</v>
      </c>
      <c r="C948" t="s">
        <v>33</v>
      </c>
      <c r="D948" t="s">
        <v>34</v>
      </c>
      <c r="E948">
        <v>0</v>
      </c>
      <c r="F948">
        <v>0</v>
      </c>
      <c r="G948" t="s">
        <v>2</v>
      </c>
      <c r="H948" cm="1">
        <f t="array" ref="H948">-isDup(B948,B949,0.7)</f>
        <v>0</v>
      </c>
    </row>
    <row r="949" spans="1:8" x14ac:dyDescent="0.2">
      <c r="A949" s="3">
        <v>45914.921492997688</v>
      </c>
      <c r="B949" t="s">
        <v>287</v>
      </c>
      <c r="C949" t="s">
        <v>33</v>
      </c>
      <c r="D949" t="s">
        <v>34</v>
      </c>
      <c r="E949">
        <v>0</v>
      </c>
      <c r="F949">
        <v>0</v>
      </c>
      <c r="G949" t="s">
        <v>2</v>
      </c>
      <c r="H949" cm="1">
        <f t="array" ref="H949">-isDup(B949,B950,0.7)</f>
        <v>0</v>
      </c>
    </row>
    <row r="950" spans="1:8" x14ac:dyDescent="0.2">
      <c r="A950" s="3">
        <v>45915.921492997688</v>
      </c>
      <c r="B950" t="s">
        <v>1138</v>
      </c>
      <c r="C950" t="s">
        <v>1139</v>
      </c>
      <c r="D950" t="s">
        <v>1140</v>
      </c>
      <c r="E950">
        <v>4</v>
      </c>
      <c r="F950">
        <v>1</v>
      </c>
      <c r="G950" t="s">
        <v>2</v>
      </c>
      <c r="H950" cm="1">
        <f t="array" ref="H950">-isDup(B950,B951,0.7)</f>
        <v>0</v>
      </c>
    </row>
    <row r="951" spans="1:8" x14ac:dyDescent="0.2">
      <c r="A951" s="3">
        <v>45916.921492997688</v>
      </c>
      <c r="B951" t="s">
        <v>1141</v>
      </c>
      <c r="C951" t="s">
        <v>7</v>
      </c>
      <c r="E951">
        <v>0</v>
      </c>
      <c r="F951">
        <v>0</v>
      </c>
      <c r="G951" t="s">
        <v>2</v>
      </c>
      <c r="H951" cm="1">
        <f t="array" ref="H951">-isDup(B951,B952,0.7)</f>
        <v>0</v>
      </c>
    </row>
    <row r="952" spans="1:8" x14ac:dyDescent="0.2">
      <c r="A952" s="3">
        <v>45917.921492997688</v>
      </c>
      <c r="B952" t="s">
        <v>1142</v>
      </c>
      <c r="C952" t="s">
        <v>1143</v>
      </c>
      <c r="D952" t="s">
        <v>1144</v>
      </c>
      <c r="E952">
        <v>1</v>
      </c>
      <c r="F952">
        <v>1</v>
      </c>
      <c r="G952" t="s">
        <v>2</v>
      </c>
      <c r="H952" cm="1">
        <f t="array" ref="H952">-isDup(B952,B953,0.7)</f>
        <v>0</v>
      </c>
    </row>
    <row r="953" spans="1:8" x14ac:dyDescent="0.2">
      <c r="A953" s="3">
        <v>45918.921492997688</v>
      </c>
      <c r="B953" t="s">
        <v>1145</v>
      </c>
      <c r="C953" t="s">
        <v>1146</v>
      </c>
      <c r="E953">
        <v>0</v>
      </c>
      <c r="F953">
        <v>1</v>
      </c>
      <c r="G953" t="s">
        <v>2</v>
      </c>
      <c r="H953" cm="1">
        <f t="array" ref="H953">-isDup(B953,B954,0.7)</f>
        <v>0</v>
      </c>
    </row>
    <row r="954" spans="1:8" x14ac:dyDescent="0.2">
      <c r="A954" s="3">
        <v>45919.921492997688</v>
      </c>
      <c r="B954" t="s">
        <v>1147</v>
      </c>
      <c r="C954" t="s">
        <v>1148</v>
      </c>
      <c r="D954" t="s">
        <v>1149</v>
      </c>
      <c r="E954">
        <v>0</v>
      </c>
      <c r="F954">
        <v>0</v>
      </c>
      <c r="G954" t="s">
        <v>2</v>
      </c>
      <c r="H954" cm="1">
        <f t="array" ref="H954">-isDup(B954,B955,0.7)</f>
        <v>0</v>
      </c>
    </row>
    <row r="955" spans="1:8" x14ac:dyDescent="0.2">
      <c r="A955" s="3">
        <v>45920.921492997688</v>
      </c>
      <c r="B955" t="s">
        <v>1150</v>
      </c>
      <c r="C955" t="s">
        <v>253</v>
      </c>
      <c r="E955">
        <v>0</v>
      </c>
      <c r="F955">
        <v>0</v>
      </c>
      <c r="G955" t="s">
        <v>2</v>
      </c>
      <c r="H955" cm="1">
        <f t="array" ref="H955">-isDup(B955,B956,0.7)</f>
        <v>0</v>
      </c>
    </row>
    <row r="956" spans="1:8" x14ac:dyDescent="0.2">
      <c r="A956" s="3">
        <v>45921.921492997688</v>
      </c>
      <c r="B956" t="s">
        <v>1151</v>
      </c>
      <c r="C956" t="s">
        <v>1152</v>
      </c>
      <c r="D956" t="s">
        <v>1153</v>
      </c>
      <c r="E956">
        <v>0</v>
      </c>
      <c r="F956">
        <v>2</v>
      </c>
      <c r="G956" t="s">
        <v>2</v>
      </c>
      <c r="H956" cm="1">
        <f t="array" ref="H956">-isDup(B956,B957,0.7)</f>
        <v>0</v>
      </c>
    </row>
    <row r="957" spans="1:8" x14ac:dyDescent="0.2">
      <c r="A957" s="3">
        <v>45922.921492997688</v>
      </c>
      <c r="B957" t="s">
        <v>1154</v>
      </c>
      <c r="C957" t="s">
        <v>1155</v>
      </c>
      <c r="D957" t="s">
        <v>1156</v>
      </c>
      <c r="E957">
        <v>0</v>
      </c>
      <c r="F957">
        <v>1</v>
      </c>
      <c r="G957" t="s">
        <v>2</v>
      </c>
      <c r="H957" cm="1">
        <f t="array" ref="H957">-isDup(B957,B958,0.7)</f>
        <v>0</v>
      </c>
    </row>
    <row r="958" spans="1:8" x14ac:dyDescent="0.2">
      <c r="A958" s="3">
        <v>45923.921492997688</v>
      </c>
      <c r="B958" t="s">
        <v>1157</v>
      </c>
      <c r="C958" t="s">
        <v>1158</v>
      </c>
      <c r="D958" t="s">
        <v>158</v>
      </c>
      <c r="E958">
        <v>1</v>
      </c>
      <c r="F958">
        <v>2</v>
      </c>
      <c r="G958" t="s">
        <v>2</v>
      </c>
      <c r="H958" cm="1">
        <f t="array" ref="H958">-isDup(B958,B959,0.7)</f>
        <v>0</v>
      </c>
    </row>
    <row r="959" spans="1:8" x14ac:dyDescent="0.2">
      <c r="A959" s="3">
        <v>45924.921492997688</v>
      </c>
      <c r="B959" t="s">
        <v>1159</v>
      </c>
      <c r="C959" t="s">
        <v>78</v>
      </c>
      <c r="E959">
        <v>0</v>
      </c>
      <c r="F959">
        <v>1</v>
      </c>
      <c r="G959" t="s">
        <v>2</v>
      </c>
      <c r="H959" cm="1">
        <f t="array" ref="H959">-isDup(B959,B960,0.7)</f>
        <v>0</v>
      </c>
    </row>
    <row r="960" spans="1:8" x14ac:dyDescent="0.2">
      <c r="A960" s="3">
        <v>45925.921492997688</v>
      </c>
      <c r="B960" t="s">
        <v>160</v>
      </c>
      <c r="C960" t="s">
        <v>128</v>
      </c>
      <c r="D960" t="s">
        <v>129</v>
      </c>
      <c r="E960">
        <v>0</v>
      </c>
      <c r="F960">
        <v>0</v>
      </c>
      <c r="G960" t="s">
        <v>2</v>
      </c>
      <c r="H960" cm="1">
        <f t="array" ref="H960">-isDup(B960,B961,0.7)</f>
        <v>0</v>
      </c>
    </row>
    <row r="961" spans="1:8" x14ac:dyDescent="0.2">
      <c r="A961" s="3">
        <v>45926.921492997688</v>
      </c>
      <c r="B961" t="s">
        <v>1160</v>
      </c>
      <c r="C961" t="s">
        <v>1161</v>
      </c>
      <c r="E961">
        <v>0</v>
      </c>
      <c r="F961">
        <v>0</v>
      </c>
      <c r="G961" t="s">
        <v>2</v>
      </c>
      <c r="H961" cm="1">
        <f t="array" ref="H961">-isDup(B961,B962,0.7)</f>
        <v>0</v>
      </c>
    </row>
    <row r="962" spans="1:8" x14ac:dyDescent="0.2">
      <c r="A962" s="3">
        <v>45927.921492997688</v>
      </c>
      <c r="B962" t="s">
        <v>537</v>
      </c>
      <c r="C962" t="s">
        <v>1162</v>
      </c>
      <c r="E962">
        <v>0</v>
      </c>
      <c r="F962">
        <v>0</v>
      </c>
      <c r="G962" t="s">
        <v>2</v>
      </c>
      <c r="H962" cm="1">
        <f t="array" ref="H962">-isDup(B962,B963,0.7)</f>
        <v>0</v>
      </c>
    </row>
    <row r="963" spans="1:8" x14ac:dyDescent="0.2">
      <c r="A963" s="3">
        <v>45928.921492997688</v>
      </c>
      <c r="B963" t="s">
        <v>760</v>
      </c>
      <c r="C963" t="s">
        <v>1162</v>
      </c>
      <c r="E963">
        <v>0</v>
      </c>
      <c r="F963">
        <v>0</v>
      </c>
      <c r="G963" t="s">
        <v>2</v>
      </c>
      <c r="H963" cm="1">
        <f t="array" ref="H963">-isDup(B963,B964,0.7)</f>
        <v>0</v>
      </c>
    </row>
    <row r="964" spans="1:8" x14ac:dyDescent="0.2">
      <c r="A964" s="3">
        <v>45929.921492997688</v>
      </c>
      <c r="B964" t="s">
        <v>1163</v>
      </c>
      <c r="C964" t="s">
        <v>1164</v>
      </c>
      <c r="E964">
        <v>0</v>
      </c>
      <c r="F964">
        <v>0</v>
      </c>
      <c r="G964" t="s">
        <v>2</v>
      </c>
      <c r="H964" cm="1">
        <f t="array" ref="H964">-isDup(B964,B965,0.7)</f>
        <v>0</v>
      </c>
    </row>
    <row r="965" spans="1:8" x14ac:dyDescent="0.2">
      <c r="A965" s="3">
        <v>45930.921492997688</v>
      </c>
      <c r="B965" t="s">
        <v>867</v>
      </c>
      <c r="C965" t="s">
        <v>1162</v>
      </c>
      <c r="E965">
        <v>0</v>
      </c>
      <c r="F965">
        <v>0</v>
      </c>
      <c r="G965" t="s">
        <v>2</v>
      </c>
      <c r="H965" cm="1">
        <f t="array" ref="H965">-isDup(B965,B966,0.7)</f>
        <v>0</v>
      </c>
    </row>
    <row r="966" spans="1:8" x14ac:dyDescent="0.2">
      <c r="A966" s="3">
        <v>45931.921492997688</v>
      </c>
      <c r="B966" t="s">
        <v>868</v>
      </c>
      <c r="C966" t="s">
        <v>1162</v>
      </c>
      <c r="E966">
        <v>0</v>
      </c>
      <c r="F966">
        <v>0</v>
      </c>
      <c r="G966" t="s">
        <v>2</v>
      </c>
      <c r="H966" cm="1">
        <f t="array" ref="H966">-isDup(B966,B967,0.7)</f>
        <v>0</v>
      </c>
    </row>
    <row r="967" spans="1:8" x14ac:dyDescent="0.2">
      <c r="A967" s="3">
        <v>45932.921492997688</v>
      </c>
      <c r="B967" t="s">
        <v>869</v>
      </c>
      <c r="C967" t="s">
        <v>1162</v>
      </c>
      <c r="E967">
        <v>0</v>
      </c>
      <c r="F967">
        <v>0</v>
      </c>
      <c r="G967" t="s">
        <v>2</v>
      </c>
      <c r="H967" cm="1">
        <f t="array" ref="H967">-isDup(B967,B968,0.7)</f>
        <v>0</v>
      </c>
    </row>
    <row r="968" spans="1:8" x14ac:dyDescent="0.2">
      <c r="A968" s="3">
        <v>45933.921492997688</v>
      </c>
      <c r="B968" t="s">
        <v>1165</v>
      </c>
      <c r="C968" t="s">
        <v>1166</v>
      </c>
      <c r="D968" t="s">
        <v>1167</v>
      </c>
      <c r="E968">
        <v>0</v>
      </c>
      <c r="F968">
        <v>0</v>
      </c>
      <c r="G968" t="s">
        <v>2</v>
      </c>
      <c r="H968" cm="1">
        <f t="array" ref="H968">-isDup(B968,B969,0.7)</f>
        <v>0</v>
      </c>
    </row>
    <row r="969" spans="1:8" x14ac:dyDescent="0.2">
      <c r="A969" s="3">
        <v>45934.921492997688</v>
      </c>
      <c r="B969" t="s">
        <v>1168</v>
      </c>
      <c r="C969" t="s">
        <v>1169</v>
      </c>
      <c r="D969" t="s">
        <v>1170</v>
      </c>
      <c r="E969">
        <v>0</v>
      </c>
      <c r="F969">
        <v>0</v>
      </c>
      <c r="G969" t="s">
        <v>2</v>
      </c>
      <c r="H969" cm="1">
        <f t="array" ref="H969">-isDup(B969,B970,0.7)</f>
        <v>0</v>
      </c>
    </row>
    <row r="970" spans="1:8" x14ac:dyDescent="0.2">
      <c r="A970" s="3">
        <v>45935.921492997688</v>
      </c>
      <c r="B970" t="s">
        <v>1042</v>
      </c>
      <c r="C970" t="s">
        <v>614</v>
      </c>
      <c r="D970" t="s">
        <v>574</v>
      </c>
      <c r="E970">
        <v>7</v>
      </c>
      <c r="F970">
        <v>38</v>
      </c>
      <c r="G970" t="s">
        <v>2</v>
      </c>
      <c r="H970" cm="1">
        <f t="array" ref="H970">-isDup(B970,B971,0.7)</f>
        <v>0</v>
      </c>
    </row>
    <row r="971" spans="1:8" x14ac:dyDescent="0.2">
      <c r="A971" s="3">
        <v>45936.921492997688</v>
      </c>
      <c r="B971" t="s">
        <v>3</v>
      </c>
      <c r="C971" t="s">
        <v>4</v>
      </c>
      <c r="D971" t="s">
        <v>5</v>
      </c>
      <c r="E971">
        <v>0</v>
      </c>
      <c r="F971">
        <v>0</v>
      </c>
      <c r="G971" t="s">
        <v>2</v>
      </c>
      <c r="H971" cm="1">
        <f t="array" ref="H971">-isDup(B971,B972,0.7)</f>
        <v>0</v>
      </c>
    </row>
    <row r="972" spans="1:8" x14ac:dyDescent="0.2">
      <c r="A972" s="3">
        <v>45937.921492997688</v>
      </c>
      <c r="B972" t="s">
        <v>460</v>
      </c>
      <c r="C972" t="s">
        <v>1162</v>
      </c>
      <c r="E972">
        <v>0</v>
      </c>
      <c r="F972">
        <v>0</v>
      </c>
      <c r="G972" t="s">
        <v>2</v>
      </c>
      <c r="H972" cm="1">
        <f t="array" ref="H972">-isDup(B972,B973,0.7)</f>
        <v>0</v>
      </c>
    </row>
    <row r="973" spans="1:8" x14ac:dyDescent="0.2">
      <c r="A973" s="3">
        <v>45938.921492997688</v>
      </c>
      <c r="B973" t="s">
        <v>541</v>
      </c>
      <c r="C973" t="s">
        <v>1162</v>
      </c>
      <c r="E973">
        <v>0</v>
      </c>
      <c r="F973">
        <v>0</v>
      </c>
      <c r="G973" t="s">
        <v>2</v>
      </c>
      <c r="H973" cm="1">
        <f t="array" ref="H973">-isDup(B973,B974,0.7)</f>
        <v>0</v>
      </c>
    </row>
    <row r="974" spans="1:8" x14ac:dyDescent="0.2">
      <c r="A974" s="3">
        <v>45939.921492997688</v>
      </c>
      <c r="B974" t="s">
        <v>991</v>
      </c>
      <c r="C974" t="s">
        <v>1162</v>
      </c>
      <c r="E974">
        <v>0</v>
      </c>
      <c r="F974">
        <v>0</v>
      </c>
      <c r="G974" t="s">
        <v>2</v>
      </c>
      <c r="H974" cm="1">
        <f t="array" ref="H974">-isDup(B974,B975,0.7)</f>
        <v>0</v>
      </c>
    </row>
    <row r="975" spans="1:8" x14ac:dyDescent="0.2">
      <c r="A975" s="3">
        <v>45940.921492997688</v>
      </c>
      <c r="B975" t="s">
        <v>992</v>
      </c>
      <c r="C975" t="s">
        <v>1162</v>
      </c>
      <c r="E975">
        <v>0</v>
      </c>
      <c r="F975">
        <v>0</v>
      </c>
      <c r="G975" t="s">
        <v>2</v>
      </c>
      <c r="H975" cm="1">
        <f t="array" ref="H975">-isDup(B975,B976,0.7)</f>
        <v>0</v>
      </c>
    </row>
    <row r="976" spans="1:8" x14ac:dyDescent="0.2">
      <c r="A976" s="3">
        <v>45941.921492997688</v>
      </c>
      <c r="B976" t="s">
        <v>993</v>
      </c>
      <c r="C976" t="s">
        <v>1162</v>
      </c>
      <c r="E976">
        <v>0</v>
      </c>
      <c r="F976">
        <v>0</v>
      </c>
      <c r="G976" t="s">
        <v>2</v>
      </c>
      <c r="H976" cm="1">
        <f t="array" ref="H976">-isDup(B976,B977,0.7)</f>
        <v>0</v>
      </c>
    </row>
    <row r="977" spans="1:8" x14ac:dyDescent="0.2">
      <c r="A977" s="3">
        <v>45942.921492997688</v>
      </c>
      <c r="B977" t="s">
        <v>40</v>
      </c>
      <c r="C977" t="s">
        <v>1162</v>
      </c>
      <c r="E977">
        <v>0</v>
      </c>
      <c r="F977">
        <v>0</v>
      </c>
      <c r="G977" t="s">
        <v>2</v>
      </c>
      <c r="H977" cm="1">
        <f t="array" ref="H977">-isDup(B977,B978,0.7)</f>
        <v>0</v>
      </c>
    </row>
    <row r="978" spans="1:8" x14ac:dyDescent="0.2">
      <c r="A978" s="3">
        <v>45943.921492997688</v>
      </c>
      <c r="B978" t="s">
        <v>1171</v>
      </c>
      <c r="C978" t="s">
        <v>1162</v>
      </c>
      <c r="E978">
        <v>0</v>
      </c>
      <c r="F978">
        <v>0</v>
      </c>
      <c r="G978" t="s">
        <v>2</v>
      </c>
      <c r="H978" cm="1">
        <f t="array" ref="H978">-isDup(B978,B979,0.7)</f>
        <v>0</v>
      </c>
    </row>
    <row r="979" spans="1:8" x14ac:dyDescent="0.2">
      <c r="A979" s="3">
        <v>45944.921492997688</v>
      </c>
      <c r="B979" t="s">
        <v>876</v>
      </c>
      <c r="C979" t="s">
        <v>1162</v>
      </c>
      <c r="E979">
        <v>0</v>
      </c>
      <c r="F979">
        <v>0</v>
      </c>
      <c r="G979" t="s">
        <v>2</v>
      </c>
      <c r="H979" cm="1">
        <f t="array" ref="H979">-isDup(B979,B980,0.7)</f>
        <v>0</v>
      </c>
    </row>
    <row r="980" spans="1:8" x14ac:dyDescent="0.2">
      <c r="A980" s="3">
        <v>45945.921492997688</v>
      </c>
      <c r="B980" t="s">
        <v>996</v>
      </c>
      <c r="C980" t="s">
        <v>1162</v>
      </c>
      <c r="E980">
        <v>0</v>
      </c>
      <c r="F980">
        <v>0</v>
      </c>
      <c r="G980" t="s">
        <v>2</v>
      </c>
      <c r="H980" cm="1">
        <f t="array" ref="H980">-isDup(B980,B981,0.7)</f>
        <v>0</v>
      </c>
    </row>
    <row r="981" spans="1:8" x14ac:dyDescent="0.2">
      <c r="A981" s="3">
        <v>45946.921492997688</v>
      </c>
      <c r="B981" t="s">
        <v>997</v>
      </c>
      <c r="C981" t="s">
        <v>1162</v>
      </c>
      <c r="E981">
        <v>0</v>
      </c>
      <c r="F981">
        <v>0</v>
      </c>
      <c r="G981" t="s">
        <v>2</v>
      </c>
      <c r="H981" cm="1">
        <f t="array" ref="H981">-isDup(B981,B982,0.7)</f>
        <v>0</v>
      </c>
    </row>
    <row r="982" spans="1:8" x14ac:dyDescent="0.2">
      <c r="A982" s="3">
        <v>45947.921492997688</v>
      </c>
      <c r="B982" t="s">
        <v>1172</v>
      </c>
      <c r="C982" t="s">
        <v>1169</v>
      </c>
      <c r="D982" t="s">
        <v>1170</v>
      </c>
      <c r="E982">
        <v>0</v>
      </c>
      <c r="F982">
        <v>0</v>
      </c>
      <c r="G982" t="s">
        <v>2</v>
      </c>
      <c r="H982" cm="1">
        <f t="array" ref="H982">-isDup(B982,B983,0.7)</f>
        <v>0</v>
      </c>
    </row>
    <row r="983" spans="1:8" x14ac:dyDescent="0.2">
      <c r="A983" s="3">
        <v>45948.921492997688</v>
      </c>
      <c r="B983" t="s">
        <v>544</v>
      </c>
      <c r="C983" t="s">
        <v>1162</v>
      </c>
      <c r="E983">
        <v>0</v>
      </c>
      <c r="F983">
        <v>0</v>
      </c>
      <c r="G983" t="s">
        <v>2</v>
      </c>
      <c r="H983" cm="1">
        <f t="array" ref="H983">-isDup(B983,B984,0.7)</f>
        <v>0</v>
      </c>
    </row>
    <row r="984" spans="1:8" x14ac:dyDescent="0.2">
      <c r="A984" s="3">
        <v>45949.921492997688</v>
      </c>
      <c r="B984" t="s">
        <v>998</v>
      </c>
      <c r="C984" t="s">
        <v>1162</v>
      </c>
      <c r="E984">
        <v>0</v>
      </c>
      <c r="F984">
        <v>0</v>
      </c>
      <c r="G984" t="s">
        <v>2</v>
      </c>
      <c r="H984" cm="1">
        <f t="array" ref="H984">-isDup(B984,B985,0.7)</f>
        <v>0</v>
      </c>
    </row>
    <row r="985" spans="1:8" x14ac:dyDescent="0.2">
      <c r="A985" s="3">
        <v>45950.921492997688</v>
      </c>
      <c r="B985" t="s">
        <v>1173</v>
      </c>
      <c r="C985" t="s">
        <v>365</v>
      </c>
      <c r="D985" t="s">
        <v>55</v>
      </c>
      <c r="E985">
        <v>0</v>
      </c>
      <c r="F985">
        <v>0</v>
      </c>
      <c r="G985" t="s">
        <v>2</v>
      </c>
      <c r="H985" cm="1">
        <f t="array" ref="H985">-isDup(B985,B986,0.7)</f>
        <v>0</v>
      </c>
    </row>
    <row r="986" spans="1:8" x14ac:dyDescent="0.2">
      <c r="A986" s="3">
        <v>45951.921492997688</v>
      </c>
      <c r="B986" t="s">
        <v>1174</v>
      </c>
      <c r="C986" t="s">
        <v>1175</v>
      </c>
      <c r="E986">
        <v>0</v>
      </c>
      <c r="F986">
        <v>0</v>
      </c>
      <c r="G986" t="s">
        <v>2</v>
      </c>
      <c r="H986" cm="1">
        <f t="array" ref="H986">-isDup(B986,B987,0.7)</f>
        <v>0</v>
      </c>
    </row>
    <row r="987" spans="1:8" x14ac:dyDescent="0.2">
      <c r="A987" s="3">
        <v>45952.921492997688</v>
      </c>
      <c r="B987" t="s">
        <v>999</v>
      </c>
      <c r="C987" t="s">
        <v>1162</v>
      </c>
      <c r="E987">
        <v>0</v>
      </c>
      <c r="F987">
        <v>0</v>
      </c>
      <c r="G987" t="s">
        <v>2</v>
      </c>
      <c r="H987" cm="1">
        <f t="array" ref="H987">-isDup(B987,B988,0.7)</f>
        <v>0</v>
      </c>
    </row>
    <row r="988" spans="1:8" x14ac:dyDescent="0.2">
      <c r="A988" s="3">
        <v>45953.921492997688</v>
      </c>
      <c r="B988" t="s">
        <v>1176</v>
      </c>
      <c r="C988" t="s">
        <v>1177</v>
      </c>
      <c r="E988">
        <v>0</v>
      </c>
      <c r="F988">
        <v>0</v>
      </c>
      <c r="G988" t="s">
        <v>2</v>
      </c>
      <c r="H988" cm="1">
        <f t="array" ref="H988">-isDup(B988,B989,0.7)</f>
        <v>0</v>
      </c>
    </row>
    <row r="989" spans="1:8" x14ac:dyDescent="0.2">
      <c r="A989" s="3">
        <v>45954.921492997688</v>
      </c>
      <c r="B989" t="s">
        <v>1178</v>
      </c>
      <c r="C989" t="s">
        <v>7</v>
      </c>
      <c r="E989">
        <v>0</v>
      </c>
      <c r="F989">
        <v>0</v>
      </c>
      <c r="G989" t="s">
        <v>2</v>
      </c>
      <c r="H989" cm="1">
        <f t="array" ref="H989">-isDup(B989,B990,0.7)</f>
        <v>0</v>
      </c>
    </row>
    <row r="990" spans="1:8" x14ac:dyDescent="0.2">
      <c r="A990" s="3">
        <v>45955.921492997688</v>
      </c>
      <c r="B990" t="s">
        <v>1179</v>
      </c>
      <c r="C990" t="s">
        <v>1180</v>
      </c>
      <c r="D990" t="s">
        <v>1181</v>
      </c>
      <c r="E990">
        <v>12</v>
      </c>
      <c r="F990">
        <v>54</v>
      </c>
      <c r="G990" t="s">
        <v>2</v>
      </c>
      <c r="H990" cm="1">
        <f t="array" ref="H990">-isDup(B990,B991,0.7)</f>
        <v>0</v>
      </c>
    </row>
    <row r="991" spans="1:8" x14ac:dyDescent="0.2">
      <c r="A991" s="3">
        <v>45956.921492997688</v>
      </c>
      <c r="B991" t="s">
        <v>1182</v>
      </c>
      <c r="C991" t="s">
        <v>134</v>
      </c>
      <c r="E991">
        <v>0</v>
      </c>
      <c r="F991">
        <v>0</v>
      </c>
      <c r="G991" t="s">
        <v>2</v>
      </c>
      <c r="H991" cm="1">
        <f t="array" ref="H991">-isDup(B991,B992,0.7)</f>
        <v>0</v>
      </c>
    </row>
    <row r="992" spans="1:8" x14ac:dyDescent="0.2">
      <c r="A992" s="3">
        <v>45957.921492997688</v>
      </c>
      <c r="B992" t="s">
        <v>1183</v>
      </c>
      <c r="C992" t="s">
        <v>7</v>
      </c>
      <c r="E992">
        <v>0</v>
      </c>
      <c r="F992">
        <v>0</v>
      </c>
      <c r="G992" t="s">
        <v>2</v>
      </c>
      <c r="H992" cm="1">
        <f t="array" ref="H992">-isDup(B992,B993,0.7)</f>
        <v>0</v>
      </c>
    </row>
    <row r="993" spans="1:8" x14ac:dyDescent="0.2">
      <c r="A993" s="3">
        <v>45958.921492997688</v>
      </c>
      <c r="B993" t="s">
        <v>1184</v>
      </c>
      <c r="C993" t="s">
        <v>1185</v>
      </c>
      <c r="D993" t="s">
        <v>1186</v>
      </c>
      <c r="E993">
        <v>0</v>
      </c>
      <c r="F993">
        <v>0</v>
      </c>
      <c r="G993" t="s">
        <v>2</v>
      </c>
      <c r="H993" cm="1">
        <f t="array" ref="H993">-isDup(B993,B994,0.7)</f>
        <v>0</v>
      </c>
    </row>
    <row r="994" spans="1:8" x14ac:dyDescent="0.2">
      <c r="A994" s="3">
        <v>45959.921492997688</v>
      </c>
      <c r="B994" t="s">
        <v>646</v>
      </c>
      <c r="C994" t="s">
        <v>143</v>
      </c>
      <c r="D994" t="s">
        <v>129</v>
      </c>
      <c r="E994">
        <v>0</v>
      </c>
      <c r="F994">
        <v>0</v>
      </c>
      <c r="G994" t="s">
        <v>2</v>
      </c>
      <c r="H994" cm="1">
        <f t="array" ref="H994">-isDup(B994,B995,0.7)</f>
        <v>0</v>
      </c>
    </row>
    <row r="995" spans="1:8" x14ac:dyDescent="0.2">
      <c r="A995" s="3">
        <v>45960.921492997688</v>
      </c>
      <c r="B995" t="s">
        <v>1187</v>
      </c>
      <c r="C995" t="s">
        <v>134</v>
      </c>
      <c r="E995">
        <v>0</v>
      </c>
      <c r="F995">
        <v>0</v>
      </c>
      <c r="G995" t="s">
        <v>2</v>
      </c>
      <c r="H995" cm="1">
        <f t="array" ref="H995">-isDup(B995,B996,0.7)</f>
        <v>0</v>
      </c>
    </row>
    <row r="996" spans="1:8" x14ac:dyDescent="0.2">
      <c r="A996" s="3">
        <v>45961.921492997688</v>
      </c>
      <c r="B996" t="s">
        <v>1188</v>
      </c>
      <c r="C996" t="s">
        <v>1189</v>
      </c>
      <c r="D996" t="s">
        <v>1190</v>
      </c>
      <c r="E996">
        <v>0</v>
      </c>
      <c r="F996">
        <v>53</v>
      </c>
      <c r="G996" t="s">
        <v>2</v>
      </c>
      <c r="H996" cm="1">
        <f t="array" ref="H996">-isDup(B996,B997,0.7)</f>
        <v>0</v>
      </c>
    </row>
    <row r="997" spans="1:8" x14ac:dyDescent="0.2">
      <c r="A997" s="3">
        <v>45962.921492997688</v>
      </c>
      <c r="B997" t="s">
        <v>1191</v>
      </c>
      <c r="C997" t="s">
        <v>710</v>
      </c>
      <c r="D997" t="s">
        <v>1192</v>
      </c>
      <c r="E997">
        <v>0</v>
      </c>
      <c r="F997">
        <v>0</v>
      </c>
      <c r="G997" t="s">
        <v>2</v>
      </c>
      <c r="H997" cm="1">
        <f t="array" ref="H997">-isDup(B997,B998,0.7)</f>
        <v>0</v>
      </c>
    </row>
    <row r="998" spans="1:8" x14ac:dyDescent="0.2">
      <c r="A998" s="3">
        <v>45963.921492997688</v>
      </c>
      <c r="B998" t="s">
        <v>1193</v>
      </c>
      <c r="C998" t="s">
        <v>33</v>
      </c>
      <c r="D998" t="s">
        <v>1194</v>
      </c>
      <c r="E998">
        <v>0</v>
      </c>
      <c r="F998">
        <v>0</v>
      </c>
      <c r="G998" t="s">
        <v>2</v>
      </c>
      <c r="H998" cm="1">
        <f t="array" ref="H998">-isDup(B998,B999,0.7)</f>
        <v>0</v>
      </c>
    </row>
    <row r="999" spans="1:8" x14ac:dyDescent="0.2">
      <c r="A999" s="3">
        <v>45964.921492997688</v>
      </c>
      <c r="B999" t="s">
        <v>1195</v>
      </c>
      <c r="C999" t="s">
        <v>1196</v>
      </c>
      <c r="E999">
        <v>0</v>
      </c>
      <c r="F999">
        <v>0</v>
      </c>
      <c r="G999" t="s">
        <v>2</v>
      </c>
      <c r="H999" cm="1">
        <f t="array" ref="H999">-isDup(B999,B1000,0.7)</f>
        <v>0</v>
      </c>
    </row>
    <row r="1000" spans="1:8" x14ac:dyDescent="0.2">
      <c r="A1000" s="3">
        <v>45965.921492997688</v>
      </c>
      <c r="B1000" t="s">
        <v>336</v>
      </c>
      <c r="C1000" t="s">
        <v>128</v>
      </c>
      <c r="D1000" t="s">
        <v>129</v>
      </c>
      <c r="E1000">
        <v>0</v>
      </c>
      <c r="F1000">
        <v>0</v>
      </c>
      <c r="G1000" t="s">
        <v>2</v>
      </c>
      <c r="H1000" cm="1">
        <f t="array" ref="H1000">-isDup(B1000,B1001,0.7)</f>
        <v>-1</v>
      </c>
    </row>
    <row r="1001" spans="1:8" x14ac:dyDescent="0.2">
      <c r="A1001" s="3">
        <v>45966.921492997688</v>
      </c>
      <c r="B1001" t="s">
        <v>336</v>
      </c>
      <c r="C1001" t="s">
        <v>143</v>
      </c>
      <c r="D1001" t="s">
        <v>129</v>
      </c>
      <c r="E1001">
        <v>0</v>
      </c>
      <c r="F1001">
        <v>0</v>
      </c>
      <c r="G1001" t="s">
        <v>2</v>
      </c>
      <c r="H1001" cm="1">
        <f t="array" ref="H1001">-isDup(B1001,B1002,0.7)</f>
        <v>0</v>
      </c>
    </row>
    <row r="1002" spans="1:8" x14ac:dyDescent="0.2">
      <c r="A1002" s="3">
        <v>45967.921492997688</v>
      </c>
      <c r="B1002" t="s">
        <v>1197</v>
      </c>
      <c r="C1002" t="s">
        <v>1198</v>
      </c>
      <c r="D1002" t="s">
        <v>1199</v>
      </c>
      <c r="E1002">
        <v>0</v>
      </c>
      <c r="F1002">
        <v>1</v>
      </c>
      <c r="G1002" t="s">
        <v>2</v>
      </c>
      <c r="H1002" cm="1">
        <f t="array" ref="H1002">-isDup(B1002,B1003,0.7)</f>
        <v>0</v>
      </c>
    </row>
    <row r="1003" spans="1:8" x14ac:dyDescent="0.2">
      <c r="A1003" s="3">
        <v>45968.921492997688</v>
      </c>
      <c r="B1003" t="s">
        <v>1200</v>
      </c>
      <c r="C1003" t="s">
        <v>1201</v>
      </c>
      <c r="D1003" t="s">
        <v>1202</v>
      </c>
      <c r="E1003">
        <v>0</v>
      </c>
      <c r="F1003">
        <v>1</v>
      </c>
      <c r="G1003" t="s">
        <v>2</v>
      </c>
      <c r="H1003" cm="1">
        <f t="array" ref="H1003">-isDup(B1003,B1004,0.7)</f>
        <v>0</v>
      </c>
    </row>
    <row r="1004" spans="1:8" x14ac:dyDescent="0.2">
      <c r="A1004" s="3">
        <v>45969.921492997688</v>
      </c>
      <c r="B1004" t="s">
        <v>973</v>
      </c>
      <c r="C1004" t="s">
        <v>143</v>
      </c>
      <c r="D1004" t="s">
        <v>129</v>
      </c>
      <c r="E1004">
        <v>0</v>
      </c>
      <c r="F1004">
        <v>0</v>
      </c>
      <c r="G1004" t="s">
        <v>2</v>
      </c>
      <c r="H1004" cm="1">
        <f t="array" ref="H1004">-isDup(B1004,B1005,0.7)</f>
        <v>0</v>
      </c>
    </row>
    <row r="1005" spans="1:8" x14ac:dyDescent="0.2">
      <c r="A1005" s="3">
        <v>45970.921492997688</v>
      </c>
      <c r="B1005" t="s">
        <v>1203</v>
      </c>
      <c r="C1005" t="s">
        <v>134</v>
      </c>
      <c r="E1005">
        <v>0</v>
      </c>
      <c r="F1005">
        <v>0</v>
      </c>
      <c r="G1005" t="s">
        <v>2</v>
      </c>
      <c r="H1005" cm="1">
        <f t="array" ref="H1005">-isDup(B1005,B1006,0.7)</f>
        <v>0</v>
      </c>
    </row>
    <row r="1006" spans="1:8" x14ac:dyDescent="0.2">
      <c r="A1006" s="3">
        <v>45971.921492997688</v>
      </c>
      <c r="B1006" t="s">
        <v>1204</v>
      </c>
      <c r="C1006" t="s">
        <v>7</v>
      </c>
      <c r="E1006">
        <v>0</v>
      </c>
      <c r="F1006">
        <v>0</v>
      </c>
      <c r="G1006" t="s">
        <v>2</v>
      </c>
      <c r="H1006" cm="1">
        <f t="array" ref="H1006">-isDup(B1006,B1007,0.7)</f>
        <v>0</v>
      </c>
    </row>
    <row r="1007" spans="1:8" x14ac:dyDescent="0.2">
      <c r="A1007" s="3">
        <v>45972.921492997688</v>
      </c>
      <c r="B1007" t="s">
        <v>1205</v>
      </c>
      <c r="C1007" t="s">
        <v>1206</v>
      </c>
      <c r="D1007" t="s">
        <v>1207</v>
      </c>
      <c r="E1007">
        <v>0</v>
      </c>
      <c r="F1007">
        <v>0</v>
      </c>
      <c r="G1007" t="s">
        <v>2</v>
      </c>
      <c r="H1007" cm="1">
        <f t="array" ref="H1007">-isDup(B1007,B1008,0.7)</f>
        <v>0</v>
      </c>
    </row>
    <row r="1008" spans="1:8" x14ac:dyDescent="0.2">
      <c r="A1008" s="3">
        <v>45973.921492997688</v>
      </c>
      <c r="B1008" t="s">
        <v>1208</v>
      </c>
      <c r="C1008" t="s">
        <v>7</v>
      </c>
      <c r="E1008">
        <v>0</v>
      </c>
      <c r="F1008">
        <v>0</v>
      </c>
      <c r="G1008" t="s">
        <v>2</v>
      </c>
      <c r="H1008" cm="1">
        <f t="array" ref="H1008">-isDup(B1008,B1009,0.7)</f>
        <v>0</v>
      </c>
    </row>
    <row r="1009" spans="1:8" x14ac:dyDescent="0.2">
      <c r="A1009" s="3">
        <v>45974.921492997688</v>
      </c>
      <c r="B1009" t="s">
        <v>1209</v>
      </c>
      <c r="C1009" t="s">
        <v>33</v>
      </c>
      <c r="D1009" t="s">
        <v>34</v>
      </c>
      <c r="E1009">
        <v>0</v>
      </c>
      <c r="F1009">
        <v>0</v>
      </c>
      <c r="G1009" t="s">
        <v>2</v>
      </c>
      <c r="H1009" cm="1">
        <f t="array" ref="H1009">-isDup(B1009,B1010,0.7)</f>
        <v>0</v>
      </c>
    </row>
    <row r="1010" spans="1:8" x14ac:dyDescent="0.2">
      <c r="A1010" s="3">
        <v>45975.921492997688</v>
      </c>
      <c r="B1010" t="s">
        <v>36</v>
      </c>
      <c r="C1010" t="s">
        <v>33</v>
      </c>
      <c r="D1010" t="s">
        <v>34</v>
      </c>
      <c r="E1010">
        <v>0</v>
      </c>
      <c r="F1010">
        <v>0</v>
      </c>
      <c r="G1010" t="s">
        <v>2</v>
      </c>
      <c r="H1010" cm="1">
        <f t="array" ref="H1010">-isDup(B1010,B1011,0.7)</f>
        <v>0</v>
      </c>
    </row>
    <row r="1011" spans="1:8" x14ac:dyDescent="0.2">
      <c r="A1011" s="3">
        <v>45976.921492997688</v>
      </c>
      <c r="B1011" t="s">
        <v>37</v>
      </c>
      <c r="C1011" t="s">
        <v>33</v>
      </c>
      <c r="D1011" t="s">
        <v>34</v>
      </c>
      <c r="E1011">
        <v>0</v>
      </c>
      <c r="F1011">
        <v>0</v>
      </c>
      <c r="G1011" t="s">
        <v>2</v>
      </c>
      <c r="H1011" cm="1">
        <f t="array" ref="H1011">-isDup(B1011,B1012,0.7)</f>
        <v>-1</v>
      </c>
    </row>
    <row r="1012" spans="1:8" x14ac:dyDescent="0.2">
      <c r="A1012" s="3">
        <v>45977.921492997688</v>
      </c>
      <c r="B1012" t="s">
        <v>35</v>
      </c>
      <c r="C1012" t="s">
        <v>33</v>
      </c>
      <c r="D1012" t="s">
        <v>34</v>
      </c>
      <c r="E1012">
        <v>0</v>
      </c>
      <c r="F1012">
        <v>0</v>
      </c>
      <c r="G1012" t="s">
        <v>2</v>
      </c>
      <c r="H1012" cm="1">
        <f t="array" ref="H1012">-isDup(B1012,B1013,0.7)</f>
        <v>0</v>
      </c>
    </row>
    <row r="1013" spans="1:8" x14ac:dyDescent="0.2">
      <c r="A1013" s="3">
        <v>45978.921492997688</v>
      </c>
      <c r="B1013" t="s">
        <v>287</v>
      </c>
      <c r="C1013" t="s">
        <v>33</v>
      </c>
      <c r="D1013" t="s">
        <v>34</v>
      </c>
      <c r="E1013">
        <v>0</v>
      </c>
      <c r="F1013">
        <v>0</v>
      </c>
      <c r="G1013" t="s">
        <v>2</v>
      </c>
      <c r="H1013" cm="1">
        <f t="array" ref="H1013">-isDup(B1013,B1014,0.7)</f>
        <v>0</v>
      </c>
    </row>
    <row r="1014" spans="1:8" x14ac:dyDescent="0.2">
      <c r="A1014" s="3">
        <v>45979.921492997688</v>
      </c>
      <c r="B1014" t="s">
        <v>1210</v>
      </c>
      <c r="C1014" t="s">
        <v>1211</v>
      </c>
      <c r="D1014" t="s">
        <v>1212</v>
      </c>
      <c r="E1014">
        <v>0</v>
      </c>
      <c r="F1014">
        <v>0</v>
      </c>
      <c r="G1014" t="s">
        <v>2</v>
      </c>
      <c r="H1014" cm="1">
        <f t="array" ref="H1014">-isDup(B1014,B1015,0.7)</f>
        <v>0</v>
      </c>
    </row>
    <row r="1015" spans="1:8" x14ac:dyDescent="0.2">
      <c r="A1015" s="3">
        <v>45980.921492997688</v>
      </c>
      <c r="B1015" t="s">
        <v>1213</v>
      </c>
      <c r="C1015" t="s">
        <v>7</v>
      </c>
      <c r="E1015">
        <v>0</v>
      </c>
      <c r="F1015">
        <v>0</v>
      </c>
      <c r="G1015" t="s">
        <v>2</v>
      </c>
      <c r="H1015" cm="1">
        <f t="array" ref="H1015">-isDup(B1015,B1016,0.7)</f>
        <v>0</v>
      </c>
    </row>
    <row r="1016" spans="1:8" x14ac:dyDescent="0.2">
      <c r="A1016" s="3">
        <v>45981.921492997688</v>
      </c>
      <c r="B1016" t="s">
        <v>848</v>
      </c>
      <c r="C1016" t="s">
        <v>128</v>
      </c>
      <c r="D1016" t="s">
        <v>129</v>
      </c>
      <c r="E1016">
        <v>0</v>
      </c>
      <c r="F1016">
        <v>0</v>
      </c>
      <c r="G1016" t="s">
        <v>2</v>
      </c>
      <c r="H1016" cm="1">
        <f t="array" ref="H1016">-isDup(B1016,B1017,0.7)</f>
        <v>0</v>
      </c>
    </row>
    <row r="1017" spans="1:8" x14ac:dyDescent="0.2">
      <c r="A1017" s="3">
        <v>45982.921492997688</v>
      </c>
      <c r="B1017" t="s">
        <v>1214</v>
      </c>
      <c r="C1017" t="s">
        <v>1215</v>
      </c>
      <c r="D1017" t="s">
        <v>1216</v>
      </c>
      <c r="E1017">
        <v>52</v>
      </c>
      <c r="F1017">
        <v>48</v>
      </c>
      <c r="G1017" t="s">
        <v>2</v>
      </c>
      <c r="H1017" cm="1">
        <f t="array" ref="H1017">-isDup(B1017,B1018,0.7)</f>
        <v>0</v>
      </c>
    </row>
    <row r="1018" spans="1:8" x14ac:dyDescent="0.2">
      <c r="A1018" s="3">
        <v>45983.921492997688</v>
      </c>
      <c r="B1018" t="s">
        <v>371</v>
      </c>
      <c r="C1018" t="s">
        <v>143</v>
      </c>
      <c r="D1018" t="s">
        <v>129</v>
      </c>
      <c r="E1018">
        <v>0</v>
      </c>
      <c r="F1018">
        <v>0</v>
      </c>
      <c r="G1018" t="s">
        <v>2</v>
      </c>
      <c r="H1018" cm="1">
        <f t="array" ref="H1018">-isDup(B1018,B1019,0.7)</f>
        <v>0</v>
      </c>
    </row>
    <row r="1019" spans="1:8" x14ac:dyDescent="0.2">
      <c r="A1019" s="3">
        <v>45984.921492997688</v>
      </c>
      <c r="B1019" t="s">
        <v>1217</v>
      </c>
      <c r="C1019" t="s">
        <v>1164</v>
      </c>
      <c r="E1019">
        <v>0</v>
      </c>
      <c r="F1019">
        <v>1</v>
      </c>
      <c r="G1019" t="s">
        <v>2</v>
      </c>
      <c r="H1019" cm="1">
        <f t="array" ref="H1019">-isDup(B1019,B1020,0.7)</f>
        <v>0</v>
      </c>
    </row>
    <row r="1020" spans="1:8" x14ac:dyDescent="0.2">
      <c r="A1020" s="3">
        <v>45985.921492997688</v>
      </c>
      <c r="B1020" t="s">
        <v>1218</v>
      </c>
      <c r="C1020" t="s">
        <v>1219</v>
      </c>
      <c r="E1020">
        <v>1</v>
      </c>
      <c r="F1020">
        <v>1</v>
      </c>
      <c r="G1020" t="s">
        <v>2</v>
      </c>
      <c r="H1020" cm="1">
        <f t="array" ref="H1020">-isDup(B1020,B1021,0.7)</f>
        <v>0</v>
      </c>
    </row>
    <row r="1021" spans="1:8" x14ac:dyDescent="0.2">
      <c r="A1021" s="3">
        <v>45986.921492997688</v>
      </c>
      <c r="B1021" t="s">
        <v>1220</v>
      </c>
      <c r="C1021" t="s">
        <v>1221</v>
      </c>
      <c r="D1021" t="s">
        <v>1222</v>
      </c>
      <c r="E1021">
        <v>0</v>
      </c>
      <c r="F1021">
        <v>1</v>
      </c>
      <c r="G1021" t="s">
        <v>2</v>
      </c>
      <c r="H1021" cm="1">
        <f t="array" ref="H1021">-isDup(B1021,B1022,0.7)</f>
        <v>0</v>
      </c>
    </row>
    <row r="1022" spans="1:8" x14ac:dyDescent="0.2">
      <c r="A1022" s="3">
        <v>45987.921492997688</v>
      </c>
      <c r="B1022" t="s">
        <v>339</v>
      </c>
      <c r="C1022" t="s">
        <v>143</v>
      </c>
      <c r="D1022" t="s">
        <v>129</v>
      </c>
      <c r="E1022">
        <v>0</v>
      </c>
      <c r="F1022">
        <v>0</v>
      </c>
      <c r="G1022" t="s">
        <v>2</v>
      </c>
      <c r="H1022" cm="1">
        <f t="array" ref="H1022">-isDup(B1022,B1023,0.7)</f>
        <v>0</v>
      </c>
    </row>
    <row r="1023" spans="1:8" x14ac:dyDescent="0.2">
      <c r="A1023" s="3">
        <v>45988.921492997688</v>
      </c>
      <c r="B1023" t="s">
        <v>431</v>
      </c>
      <c r="C1023" t="s">
        <v>143</v>
      </c>
      <c r="D1023" t="s">
        <v>129</v>
      </c>
      <c r="E1023">
        <v>0</v>
      </c>
      <c r="F1023">
        <v>0</v>
      </c>
      <c r="G1023" t="s">
        <v>2</v>
      </c>
      <c r="H1023" cm="1">
        <f t="array" ref="H1023">-isDup(B1023,B1024,0.7)</f>
        <v>0</v>
      </c>
    </row>
    <row r="1024" spans="1:8" x14ac:dyDescent="0.2">
      <c r="A1024" s="3">
        <v>45989.921492997688</v>
      </c>
      <c r="B1024" t="s">
        <v>3</v>
      </c>
      <c r="C1024" t="s">
        <v>4</v>
      </c>
      <c r="D1024" t="s">
        <v>5</v>
      </c>
      <c r="E1024">
        <v>0</v>
      </c>
      <c r="F1024">
        <v>0</v>
      </c>
      <c r="G1024" t="s">
        <v>2</v>
      </c>
      <c r="H1024" cm="1">
        <f t="array" ref="H1024">-isDup(B1024,B1025,0.7)</f>
        <v>0</v>
      </c>
    </row>
    <row r="1025" spans="1:8" x14ac:dyDescent="0.2">
      <c r="A1025" s="3">
        <v>45990.921492997688</v>
      </c>
      <c r="B1025" t="s">
        <v>1223</v>
      </c>
      <c r="C1025" t="s">
        <v>1224</v>
      </c>
      <c r="D1025" t="s">
        <v>721</v>
      </c>
      <c r="E1025">
        <v>0</v>
      </c>
      <c r="F1025">
        <v>0</v>
      </c>
      <c r="G1025" t="s">
        <v>2</v>
      </c>
      <c r="H1025" cm="1">
        <f t="array" ref="H1025">-isDup(B1025,B1026,0.7)</f>
        <v>0</v>
      </c>
    </row>
    <row r="1026" spans="1:8" x14ac:dyDescent="0.2">
      <c r="A1026" s="3">
        <v>45991.921492997688</v>
      </c>
      <c r="B1026" t="s">
        <v>1225</v>
      </c>
      <c r="C1026" t="s">
        <v>143</v>
      </c>
      <c r="D1026" t="s">
        <v>129</v>
      </c>
      <c r="E1026">
        <v>0</v>
      </c>
      <c r="F1026">
        <v>0</v>
      </c>
      <c r="G1026" t="s">
        <v>2</v>
      </c>
      <c r="H1026" cm="1">
        <f t="array" ref="H1026">-isDup(B1026,B1027,0.7)</f>
        <v>0</v>
      </c>
    </row>
    <row r="1027" spans="1:8" x14ac:dyDescent="0.2">
      <c r="A1027" s="3">
        <v>45992.921492997688</v>
      </c>
      <c r="B1027" t="s">
        <v>1226</v>
      </c>
      <c r="C1027" t="s">
        <v>7</v>
      </c>
      <c r="E1027">
        <v>0</v>
      </c>
      <c r="F1027">
        <v>0</v>
      </c>
      <c r="G1027" t="s">
        <v>2</v>
      </c>
      <c r="H1027" cm="1">
        <f t="array" ref="H1027">-isDup(B1027,B1028,0.7)</f>
        <v>0</v>
      </c>
    </row>
    <row r="1028" spans="1:8" x14ac:dyDescent="0.2">
      <c r="A1028" s="3">
        <v>45993.921492997688</v>
      </c>
      <c r="B1028" t="s">
        <v>141</v>
      </c>
      <c r="C1028" t="s">
        <v>143</v>
      </c>
      <c r="D1028" t="s">
        <v>129</v>
      </c>
      <c r="E1028">
        <v>0</v>
      </c>
      <c r="F1028">
        <v>0</v>
      </c>
      <c r="G1028" t="s">
        <v>2</v>
      </c>
      <c r="H1028" cm="1">
        <f t="array" ref="H1028">-isDup(B1028,B1029,0.7)</f>
        <v>0</v>
      </c>
    </row>
    <row r="1029" spans="1:8" x14ac:dyDescent="0.2">
      <c r="A1029" s="3">
        <v>45994.921492997688</v>
      </c>
      <c r="B1029" t="s">
        <v>1227</v>
      </c>
      <c r="C1029" t="s">
        <v>341</v>
      </c>
      <c r="D1029" t="s">
        <v>342</v>
      </c>
      <c r="E1029">
        <v>1</v>
      </c>
      <c r="F1029">
        <v>0</v>
      </c>
      <c r="G1029" t="s">
        <v>2</v>
      </c>
      <c r="H1029" cm="1">
        <f t="array" ref="H1029">-isDup(B1029,B1030,0.7)</f>
        <v>0</v>
      </c>
    </row>
    <row r="1030" spans="1:8" x14ac:dyDescent="0.2">
      <c r="A1030" s="3">
        <v>45995.921492997688</v>
      </c>
      <c r="B1030" t="s">
        <v>1228</v>
      </c>
      <c r="C1030" t="s">
        <v>1229</v>
      </c>
      <c r="E1030">
        <v>0</v>
      </c>
      <c r="F1030">
        <v>0</v>
      </c>
      <c r="G1030" t="s">
        <v>2</v>
      </c>
      <c r="H1030" cm="1">
        <f t="array" ref="H1030">-isDup(B1030,B1031,0.7)</f>
        <v>0</v>
      </c>
    </row>
    <row r="1031" spans="1:8" x14ac:dyDescent="0.2">
      <c r="A1031" s="3">
        <v>45996.921492997688</v>
      </c>
      <c r="B1031" t="s">
        <v>21</v>
      </c>
      <c r="C1031" t="s">
        <v>22</v>
      </c>
      <c r="E1031">
        <v>0</v>
      </c>
      <c r="F1031">
        <v>0</v>
      </c>
      <c r="G1031" t="s">
        <v>2</v>
      </c>
      <c r="H1031" cm="1">
        <f t="array" ref="H1031">-isDup(B1031,B1032,0.7)</f>
        <v>0</v>
      </c>
    </row>
    <row r="1032" spans="1:8" x14ac:dyDescent="0.2">
      <c r="A1032" s="3">
        <v>45997.921492997688</v>
      </c>
      <c r="B1032" t="s">
        <v>414</v>
      </c>
      <c r="C1032" t="s">
        <v>1043</v>
      </c>
      <c r="E1032">
        <v>0</v>
      </c>
      <c r="F1032">
        <v>0</v>
      </c>
      <c r="G1032" t="s">
        <v>2</v>
      </c>
      <c r="H1032" cm="1">
        <f t="array" ref="H1032">-isDup(B1032,B1033,0.7)</f>
        <v>0</v>
      </c>
    </row>
    <row r="1033" spans="1:8" x14ac:dyDescent="0.2">
      <c r="A1033" s="3">
        <v>45998.921492997688</v>
      </c>
      <c r="B1033" t="s">
        <v>1230</v>
      </c>
      <c r="C1033" t="s">
        <v>1231</v>
      </c>
      <c r="D1033" t="s">
        <v>313</v>
      </c>
      <c r="E1033">
        <v>0</v>
      </c>
      <c r="F1033">
        <v>1</v>
      </c>
      <c r="G1033" t="s">
        <v>2</v>
      </c>
      <c r="H1033" cm="1">
        <f t="array" ref="H1033">-isDup(B1033,B1034,0.7)</f>
        <v>0</v>
      </c>
    </row>
    <row r="1034" spans="1:8" x14ac:dyDescent="0.2">
      <c r="A1034" s="3">
        <v>45999.921492997688</v>
      </c>
      <c r="B1034" t="s">
        <v>1232</v>
      </c>
      <c r="C1034" t="s">
        <v>643</v>
      </c>
      <c r="E1034">
        <v>0</v>
      </c>
      <c r="F1034">
        <v>0</v>
      </c>
      <c r="G1034" t="s">
        <v>2</v>
      </c>
      <c r="H1034" cm="1">
        <f t="array" ref="H1034">-isDup(B1034,B1035,0.7)</f>
        <v>0</v>
      </c>
    </row>
    <row r="1035" spans="1:8" x14ac:dyDescent="0.2">
      <c r="A1035" s="3">
        <v>46000.921492997688</v>
      </c>
      <c r="B1035" t="s">
        <v>1233</v>
      </c>
      <c r="C1035" t="s">
        <v>7</v>
      </c>
      <c r="E1035">
        <v>0</v>
      </c>
      <c r="F1035">
        <v>0</v>
      </c>
      <c r="G1035" t="s">
        <v>2</v>
      </c>
      <c r="H1035" cm="1">
        <f t="array" ref="H1035">-isDup(B1035,B1036,0.7)</f>
        <v>0</v>
      </c>
    </row>
    <row r="1036" spans="1:8" x14ac:dyDescent="0.2">
      <c r="A1036" s="3">
        <v>46001.921492997688</v>
      </c>
      <c r="B1036" t="s">
        <v>1234</v>
      </c>
      <c r="C1036" t="s">
        <v>1235</v>
      </c>
      <c r="D1036" t="s">
        <v>1236</v>
      </c>
      <c r="E1036">
        <v>0</v>
      </c>
      <c r="F1036">
        <v>0</v>
      </c>
      <c r="G1036" t="s">
        <v>2</v>
      </c>
      <c r="H1036" cm="1">
        <f t="array" ref="H1036">-isDup(B1036,B1037,0.7)</f>
        <v>0</v>
      </c>
    </row>
    <row r="1037" spans="1:8" x14ac:dyDescent="0.2">
      <c r="A1037" s="3">
        <v>46002.921492997688</v>
      </c>
      <c r="B1037" t="s">
        <v>1237</v>
      </c>
      <c r="C1037" t="s">
        <v>1017</v>
      </c>
      <c r="D1037" t="s">
        <v>1238</v>
      </c>
      <c r="E1037">
        <v>0</v>
      </c>
      <c r="F1037">
        <v>1</v>
      </c>
      <c r="G1037" t="s">
        <v>2</v>
      </c>
      <c r="H1037" cm="1">
        <f t="array" ref="H1037">-isDup(B1037,B1038,0.7)</f>
        <v>0</v>
      </c>
    </row>
    <row r="1038" spans="1:8" x14ac:dyDescent="0.2">
      <c r="A1038" s="3">
        <v>46003.921492997688</v>
      </c>
      <c r="B1038" t="s">
        <v>1239</v>
      </c>
      <c r="C1038" t="s">
        <v>1240</v>
      </c>
      <c r="E1038">
        <v>0</v>
      </c>
      <c r="F1038">
        <v>0</v>
      </c>
      <c r="G1038" t="s">
        <v>2</v>
      </c>
      <c r="H1038" cm="1">
        <f t="array" ref="H1038">-isDup(B1038,B1039,0.7)</f>
        <v>0</v>
      </c>
    </row>
    <row r="1039" spans="1:8" x14ac:dyDescent="0.2">
      <c r="A1039" s="3">
        <v>46004.921492997688</v>
      </c>
      <c r="B1039" t="s">
        <v>1241</v>
      </c>
      <c r="C1039" t="s">
        <v>7</v>
      </c>
      <c r="E1039">
        <v>0</v>
      </c>
      <c r="F1039">
        <v>0</v>
      </c>
      <c r="G1039" t="s">
        <v>2</v>
      </c>
      <c r="H1039" cm="1">
        <f t="array" ref="H1039">-isDup(B1039,B1040,0.7)</f>
        <v>0</v>
      </c>
    </row>
    <row r="1040" spans="1:8" x14ac:dyDescent="0.2">
      <c r="A1040" s="3">
        <v>46005.921492997688</v>
      </c>
      <c r="B1040" t="s">
        <v>1242</v>
      </c>
      <c r="C1040" t="s">
        <v>1243</v>
      </c>
      <c r="D1040" t="s">
        <v>1244</v>
      </c>
      <c r="E1040">
        <v>2</v>
      </c>
      <c r="F1040">
        <v>4</v>
      </c>
      <c r="G1040" t="s">
        <v>2</v>
      </c>
      <c r="H1040" cm="1">
        <f t="array" ref="H1040">-isDup(B1040,B1041,0.7)</f>
        <v>0</v>
      </c>
    </row>
    <row r="1041" spans="1:8" x14ac:dyDescent="0.2">
      <c r="A1041" s="3">
        <v>46006.921492997688</v>
      </c>
      <c r="B1041" t="s">
        <v>1245</v>
      </c>
      <c r="C1041" t="s">
        <v>1246</v>
      </c>
      <c r="E1041">
        <v>0</v>
      </c>
      <c r="F1041">
        <v>0</v>
      </c>
      <c r="G1041" t="s">
        <v>2</v>
      </c>
      <c r="H1041" cm="1">
        <f t="array" ref="H1041">-isDup(B1041,B1042,0.7)</f>
        <v>0</v>
      </c>
    </row>
    <row r="1042" spans="1:8" x14ac:dyDescent="0.2">
      <c r="A1042" s="3">
        <v>46007.921492997688</v>
      </c>
      <c r="B1042" t="s">
        <v>1247</v>
      </c>
      <c r="C1042" t="s">
        <v>1201</v>
      </c>
      <c r="D1042" t="s">
        <v>1248</v>
      </c>
      <c r="E1042">
        <v>1</v>
      </c>
      <c r="F1042">
        <v>1</v>
      </c>
      <c r="G1042" t="s">
        <v>2</v>
      </c>
      <c r="H1042" cm="1">
        <f t="array" ref="H1042">-isDup(B1042,B1043,0.7)</f>
        <v>0</v>
      </c>
    </row>
    <row r="1043" spans="1:8" x14ac:dyDescent="0.2">
      <c r="A1043" s="3">
        <v>46008.921492997688</v>
      </c>
      <c r="B1043" t="s">
        <v>1249</v>
      </c>
      <c r="C1043" t="s">
        <v>7</v>
      </c>
      <c r="E1043">
        <v>0</v>
      </c>
      <c r="F1043">
        <v>0</v>
      </c>
      <c r="G1043" t="s">
        <v>2</v>
      </c>
      <c r="H1043" cm="1">
        <f t="array" ref="H1043">-isDup(B1043,B1044,0.7)</f>
        <v>0</v>
      </c>
    </row>
    <row r="1044" spans="1:8" x14ac:dyDescent="0.2">
      <c r="A1044" s="3">
        <v>46009.921492997688</v>
      </c>
      <c r="B1044" t="s">
        <v>1250</v>
      </c>
      <c r="C1044" t="s">
        <v>1243</v>
      </c>
      <c r="D1044" t="s">
        <v>1244</v>
      </c>
      <c r="E1044">
        <v>1</v>
      </c>
      <c r="F1044">
        <v>3</v>
      </c>
      <c r="G1044" t="s">
        <v>2</v>
      </c>
      <c r="H1044" cm="1">
        <f t="array" ref="H1044">-isDup(B1044,B1045,0.7)</f>
        <v>0</v>
      </c>
    </row>
    <row r="1045" spans="1:8" x14ac:dyDescent="0.2">
      <c r="A1045" s="3">
        <v>46010.921492997688</v>
      </c>
      <c r="B1045" t="s">
        <v>1251</v>
      </c>
      <c r="C1045" t="s">
        <v>7</v>
      </c>
      <c r="E1045">
        <v>0</v>
      </c>
      <c r="F1045">
        <v>0</v>
      </c>
      <c r="G1045" t="s">
        <v>2</v>
      </c>
      <c r="H1045" cm="1">
        <f t="array" ref="H1045">-isDup(B1045,B1046,0.7)</f>
        <v>0</v>
      </c>
    </row>
    <row r="1046" spans="1:8" x14ac:dyDescent="0.2">
      <c r="A1046" s="3">
        <v>46011.921492997688</v>
      </c>
      <c r="B1046" t="s">
        <v>347</v>
      </c>
      <c r="C1046" t="s">
        <v>143</v>
      </c>
      <c r="D1046" t="s">
        <v>129</v>
      </c>
      <c r="E1046">
        <v>0</v>
      </c>
      <c r="F1046">
        <v>0</v>
      </c>
      <c r="G1046" t="s">
        <v>2</v>
      </c>
      <c r="H1046" cm="1">
        <f t="array" ref="H1046">-isDup(B1046,B1047,0.7)</f>
        <v>0</v>
      </c>
    </row>
    <row r="1047" spans="1:8" x14ac:dyDescent="0.2">
      <c r="A1047" s="3">
        <v>46012.921492997688</v>
      </c>
      <c r="B1047" t="s">
        <v>1252</v>
      </c>
      <c r="C1047" t="s">
        <v>7</v>
      </c>
      <c r="E1047">
        <v>0</v>
      </c>
      <c r="F1047">
        <v>0</v>
      </c>
      <c r="G1047" t="s">
        <v>2</v>
      </c>
      <c r="H1047" cm="1">
        <f t="array" ref="H1047">-isDup(B1047,B1048,0.7)</f>
        <v>0</v>
      </c>
    </row>
    <row r="1048" spans="1:8" x14ac:dyDescent="0.2">
      <c r="A1048" s="3">
        <v>46013.921492997688</v>
      </c>
      <c r="B1048" t="s">
        <v>36</v>
      </c>
      <c r="C1048" t="s">
        <v>33</v>
      </c>
      <c r="D1048" t="s">
        <v>34</v>
      </c>
      <c r="E1048">
        <v>0</v>
      </c>
      <c r="F1048">
        <v>0</v>
      </c>
      <c r="G1048" t="s">
        <v>2</v>
      </c>
      <c r="H1048" cm="1">
        <f t="array" ref="H1048">-isDup(B1048,B1049,0.7)</f>
        <v>0</v>
      </c>
    </row>
    <row r="1049" spans="1:8" x14ac:dyDescent="0.2">
      <c r="A1049" s="3">
        <v>46014.921492997688</v>
      </c>
      <c r="B1049" t="s">
        <v>1253</v>
      </c>
      <c r="C1049" t="s">
        <v>33</v>
      </c>
      <c r="D1049" t="s">
        <v>34</v>
      </c>
      <c r="E1049">
        <v>0</v>
      </c>
      <c r="F1049">
        <v>0</v>
      </c>
      <c r="G1049" t="s">
        <v>2</v>
      </c>
      <c r="H1049" cm="1">
        <f t="array" ref="H1049">-isDup(B1049,B1050,0.7)</f>
        <v>0</v>
      </c>
    </row>
    <row r="1050" spans="1:8" x14ac:dyDescent="0.2">
      <c r="A1050" s="3">
        <v>46015.921492997688</v>
      </c>
      <c r="B1050" t="s">
        <v>35</v>
      </c>
      <c r="C1050" t="s">
        <v>33</v>
      </c>
      <c r="D1050" t="s">
        <v>34</v>
      </c>
      <c r="E1050">
        <v>0</v>
      </c>
      <c r="F1050">
        <v>0</v>
      </c>
      <c r="G1050" t="s">
        <v>2</v>
      </c>
      <c r="H1050" cm="1">
        <f t="array" ref="H1050">-isDup(B1050,B1051,0.7)</f>
        <v>-1</v>
      </c>
    </row>
    <row r="1051" spans="1:8" x14ac:dyDescent="0.2">
      <c r="A1051" s="3">
        <v>46016.921492997688</v>
      </c>
      <c r="B1051" t="s">
        <v>37</v>
      </c>
      <c r="C1051" t="s">
        <v>33</v>
      </c>
      <c r="D1051" t="s">
        <v>34</v>
      </c>
      <c r="E1051">
        <v>0</v>
      </c>
      <c r="F1051">
        <v>0</v>
      </c>
      <c r="G1051" t="s">
        <v>2</v>
      </c>
      <c r="H1051" cm="1">
        <f t="array" ref="H1051">-isDup(B1051,B1052,0.7)</f>
        <v>0</v>
      </c>
    </row>
    <row r="1052" spans="1:8" x14ac:dyDescent="0.2">
      <c r="A1052" s="3">
        <v>46017.921492997688</v>
      </c>
      <c r="B1052" t="s">
        <v>287</v>
      </c>
      <c r="C1052" t="s">
        <v>33</v>
      </c>
      <c r="D1052" t="s">
        <v>34</v>
      </c>
      <c r="E1052">
        <v>0</v>
      </c>
      <c r="F1052">
        <v>0</v>
      </c>
      <c r="G1052" t="s">
        <v>2</v>
      </c>
      <c r="H1052" cm="1">
        <f t="array" ref="H1052">-isDup(B1052,B1053,0.7)</f>
        <v>0</v>
      </c>
    </row>
    <row r="1053" spans="1:8" x14ac:dyDescent="0.2">
      <c r="A1053" s="3">
        <v>46018.921492997688</v>
      </c>
      <c r="B1053" t="s">
        <v>1254</v>
      </c>
      <c r="C1053" t="s">
        <v>7</v>
      </c>
      <c r="E1053">
        <v>0</v>
      </c>
      <c r="F1053">
        <v>0</v>
      </c>
      <c r="G1053" t="s">
        <v>2</v>
      </c>
      <c r="H1053" cm="1">
        <f t="array" ref="H1053">-isDup(B1053,B1054,0.7)</f>
        <v>0</v>
      </c>
    </row>
    <row r="1054" spans="1:8" x14ac:dyDescent="0.2">
      <c r="A1054" s="3">
        <v>46019.921492997688</v>
      </c>
      <c r="B1054" t="s">
        <v>1255</v>
      </c>
      <c r="C1054" t="s">
        <v>143</v>
      </c>
      <c r="D1054" t="s">
        <v>129</v>
      </c>
      <c r="E1054">
        <v>0</v>
      </c>
      <c r="F1054">
        <v>0</v>
      </c>
      <c r="G1054" t="s">
        <v>2</v>
      </c>
      <c r="H1054" cm="1">
        <f t="array" ref="H1054">-isDup(B1054,B1055,0.7)</f>
        <v>0</v>
      </c>
    </row>
    <row r="1055" spans="1:8" x14ac:dyDescent="0.2">
      <c r="A1055" s="3">
        <v>46020.921492997688</v>
      </c>
      <c r="B1055" t="s">
        <v>1256</v>
      </c>
      <c r="C1055" t="s">
        <v>18</v>
      </c>
      <c r="E1055">
        <v>0</v>
      </c>
      <c r="F1055">
        <v>1</v>
      </c>
      <c r="G1055" t="s">
        <v>2</v>
      </c>
      <c r="H1055" cm="1">
        <f t="array" ref="H1055">-isDup(B1055,B1056,0.7)</f>
        <v>0</v>
      </c>
    </row>
    <row r="1056" spans="1:8" x14ac:dyDescent="0.2">
      <c r="A1056" s="3">
        <v>46021.921492997688</v>
      </c>
      <c r="B1056" t="s">
        <v>1257</v>
      </c>
      <c r="C1056" t="s">
        <v>7</v>
      </c>
      <c r="E1056">
        <v>0</v>
      </c>
      <c r="F1056">
        <v>0</v>
      </c>
      <c r="G1056" t="s">
        <v>2</v>
      </c>
      <c r="H1056" cm="1">
        <f t="array" ref="H1056">-isDup(B1056,B1057,0.7)</f>
        <v>0</v>
      </c>
    </row>
    <row r="1057" spans="1:8" x14ac:dyDescent="0.2">
      <c r="A1057" s="3">
        <v>46022.921492997688</v>
      </c>
      <c r="B1057" t="s">
        <v>1258</v>
      </c>
      <c r="C1057" t="s">
        <v>1259</v>
      </c>
      <c r="E1057">
        <v>0</v>
      </c>
      <c r="F1057">
        <v>2</v>
      </c>
      <c r="G1057" t="s">
        <v>2</v>
      </c>
      <c r="H1057" cm="1">
        <f t="array" ref="H1057">-isDup(B1057,B1058,0.7)</f>
        <v>0</v>
      </c>
    </row>
    <row r="1058" spans="1:8" x14ac:dyDescent="0.2">
      <c r="A1058" s="3">
        <v>46023.921492997688</v>
      </c>
      <c r="B1058" t="s">
        <v>1260</v>
      </c>
      <c r="C1058" t="s">
        <v>7</v>
      </c>
      <c r="E1058">
        <v>0</v>
      </c>
      <c r="F1058">
        <v>0</v>
      </c>
      <c r="G1058" t="s">
        <v>2</v>
      </c>
      <c r="H1058" cm="1">
        <f t="array" ref="H1058">-isDup(B1058,B1059,0.7)</f>
        <v>0</v>
      </c>
    </row>
    <row r="1059" spans="1:8" x14ac:dyDescent="0.2">
      <c r="A1059" s="3">
        <v>46024.921492997688</v>
      </c>
      <c r="B1059" t="s">
        <v>3</v>
      </c>
      <c r="C1059" t="s">
        <v>4</v>
      </c>
      <c r="D1059" t="s">
        <v>5</v>
      </c>
      <c r="E1059">
        <v>0</v>
      </c>
      <c r="F1059">
        <v>0</v>
      </c>
      <c r="G1059" t="s">
        <v>2</v>
      </c>
      <c r="H1059" cm="1">
        <f t="array" ref="H1059">-isDup(B1059,B1060,0.7)</f>
        <v>0</v>
      </c>
    </row>
    <row r="1060" spans="1:8" x14ac:dyDescent="0.2">
      <c r="A1060" s="3">
        <v>46025.921492997688</v>
      </c>
      <c r="B1060" t="s">
        <v>1261</v>
      </c>
      <c r="C1060" t="s">
        <v>1262</v>
      </c>
      <c r="E1060">
        <v>0</v>
      </c>
      <c r="F1060">
        <v>0</v>
      </c>
      <c r="G1060" t="s">
        <v>2</v>
      </c>
      <c r="H1060" cm="1">
        <f t="array" ref="H1060">-isDup(B1060,B1061,0.7)</f>
        <v>0</v>
      </c>
    </row>
    <row r="1061" spans="1:8" x14ac:dyDescent="0.2">
      <c r="A1061" s="3">
        <v>46026.921492997688</v>
      </c>
      <c r="B1061" t="s">
        <v>1263</v>
      </c>
      <c r="C1061" t="s">
        <v>1264</v>
      </c>
      <c r="E1061">
        <v>0</v>
      </c>
      <c r="F1061">
        <v>0</v>
      </c>
      <c r="G1061" t="s">
        <v>2</v>
      </c>
      <c r="H1061" cm="1">
        <f t="array" ref="H1061">-isDup(B1061,B1062,0.7)</f>
        <v>0</v>
      </c>
    </row>
    <row r="1062" spans="1:8" x14ac:dyDescent="0.2">
      <c r="A1062" s="3">
        <v>46027.921492997688</v>
      </c>
      <c r="B1062" t="s">
        <v>1265</v>
      </c>
      <c r="C1062" t="s">
        <v>747</v>
      </c>
      <c r="D1062" t="s">
        <v>1266</v>
      </c>
      <c r="E1062">
        <v>0</v>
      </c>
      <c r="F1062">
        <v>3</v>
      </c>
      <c r="G1062" t="s">
        <v>2</v>
      </c>
      <c r="H1062" cm="1">
        <f t="array" ref="H1062">-isDup(B1062,B1063,0.7)</f>
        <v>0</v>
      </c>
    </row>
    <row r="1063" spans="1:8" x14ac:dyDescent="0.2">
      <c r="A1063" s="3">
        <v>46028.921492997688</v>
      </c>
      <c r="B1063" t="s">
        <v>1267</v>
      </c>
      <c r="C1063" t="s">
        <v>1268</v>
      </c>
      <c r="D1063" t="s">
        <v>1269</v>
      </c>
      <c r="E1063">
        <v>0</v>
      </c>
      <c r="F1063">
        <v>0</v>
      </c>
      <c r="G1063" t="s">
        <v>2</v>
      </c>
      <c r="H1063" cm="1">
        <f t="array" ref="H1063">-isDup(B1063,B1064,0.7)</f>
        <v>0</v>
      </c>
    </row>
    <row r="1064" spans="1:8" x14ac:dyDescent="0.2">
      <c r="A1064" s="3">
        <v>46029.921492997688</v>
      </c>
      <c r="B1064" t="s">
        <v>475</v>
      </c>
      <c r="C1064" t="s">
        <v>128</v>
      </c>
      <c r="D1064" t="s">
        <v>129</v>
      </c>
      <c r="E1064">
        <v>0</v>
      </c>
      <c r="F1064">
        <v>0</v>
      </c>
      <c r="G1064" t="s">
        <v>2</v>
      </c>
      <c r="H1064" cm="1">
        <f t="array" ref="H1064">-isDup(B1064,B1065,0.7)</f>
        <v>0</v>
      </c>
    </row>
    <row r="1065" spans="1:8" x14ac:dyDescent="0.2">
      <c r="A1065" s="3">
        <v>46030.921492997688</v>
      </c>
      <c r="B1065" t="s">
        <v>1270</v>
      </c>
      <c r="C1065" t="s">
        <v>7</v>
      </c>
      <c r="E1065">
        <v>0</v>
      </c>
      <c r="F1065">
        <v>0</v>
      </c>
      <c r="G1065" t="s">
        <v>2</v>
      </c>
      <c r="H1065" cm="1">
        <f t="array" ref="H1065">-isDup(B1065,B1066,0.7)</f>
        <v>0</v>
      </c>
    </row>
    <row r="1066" spans="1:8" x14ac:dyDescent="0.2">
      <c r="A1066" s="3">
        <v>46031.921492997688</v>
      </c>
      <c r="B1066" t="s">
        <v>370</v>
      </c>
      <c r="C1066" t="s">
        <v>128</v>
      </c>
      <c r="D1066" t="s">
        <v>129</v>
      </c>
      <c r="E1066">
        <v>0</v>
      </c>
      <c r="F1066">
        <v>0</v>
      </c>
      <c r="G1066" t="s">
        <v>2</v>
      </c>
      <c r="H1066" cm="1">
        <f t="array" ref="H1066">-isDup(B1066,B1067,0.7)</f>
        <v>-1</v>
      </c>
    </row>
    <row r="1067" spans="1:8" x14ac:dyDescent="0.2">
      <c r="A1067" s="3">
        <v>46032.921492997688</v>
      </c>
      <c r="B1067" t="s">
        <v>370</v>
      </c>
      <c r="C1067" t="s">
        <v>143</v>
      </c>
      <c r="D1067" t="s">
        <v>129</v>
      </c>
      <c r="E1067">
        <v>0</v>
      </c>
      <c r="F1067">
        <v>0</v>
      </c>
      <c r="G1067" t="s">
        <v>2</v>
      </c>
      <c r="H1067" cm="1">
        <f t="array" ref="H1067">-isDup(B1067,B1068,0.7)</f>
        <v>0</v>
      </c>
    </row>
    <row r="1068" spans="1:8" x14ac:dyDescent="0.2">
      <c r="A1068" s="3">
        <v>46033.921492997688</v>
      </c>
      <c r="B1068" t="s">
        <v>475</v>
      </c>
      <c r="C1068" t="s">
        <v>143</v>
      </c>
      <c r="D1068" t="s">
        <v>129</v>
      </c>
      <c r="E1068">
        <v>0</v>
      </c>
      <c r="F1068">
        <v>0</v>
      </c>
      <c r="G1068" t="s">
        <v>2</v>
      </c>
      <c r="H1068" cm="1">
        <f t="array" ref="H1068">-isDup(B1068,B1069,0.7)</f>
        <v>0</v>
      </c>
    </row>
    <row r="1069" spans="1:8" x14ac:dyDescent="0.2">
      <c r="A1069" s="3">
        <v>46034.921492997688</v>
      </c>
      <c r="B1069" t="s">
        <v>1271</v>
      </c>
      <c r="C1069" t="s">
        <v>710</v>
      </c>
      <c r="E1069">
        <v>0</v>
      </c>
      <c r="F1069">
        <v>0</v>
      </c>
      <c r="G1069" t="s">
        <v>2</v>
      </c>
      <c r="H1069" cm="1">
        <f t="array" ref="H1069">-isDup(B1069,B1070,0.7)</f>
        <v>0</v>
      </c>
    </row>
    <row r="1070" spans="1:8" x14ac:dyDescent="0.2">
      <c r="A1070" s="3">
        <v>46035.921492997688</v>
      </c>
      <c r="B1070" t="s">
        <v>1272</v>
      </c>
      <c r="C1070" t="s">
        <v>286</v>
      </c>
      <c r="E1070">
        <v>0</v>
      </c>
      <c r="F1070">
        <v>0</v>
      </c>
      <c r="G1070" t="s">
        <v>2</v>
      </c>
      <c r="H1070" cm="1">
        <f t="array" ref="H1070">-isDup(B1070,B1071,0.7)</f>
        <v>0</v>
      </c>
    </row>
    <row r="1071" spans="1:8" x14ac:dyDescent="0.2">
      <c r="A1071" s="3">
        <v>46036.921492997688</v>
      </c>
      <c r="B1071" t="s">
        <v>1273</v>
      </c>
      <c r="C1071" t="s">
        <v>1196</v>
      </c>
      <c r="D1071" t="s">
        <v>1274</v>
      </c>
      <c r="E1071">
        <v>0</v>
      </c>
      <c r="F1071">
        <v>0</v>
      </c>
      <c r="G1071" t="s">
        <v>2</v>
      </c>
      <c r="H1071" cm="1">
        <f t="array" ref="H1071">-isDup(B1071,B1072,0.7)</f>
        <v>0</v>
      </c>
    </row>
    <row r="1072" spans="1:8" x14ac:dyDescent="0.2">
      <c r="A1072" s="3">
        <v>46037.921492997688</v>
      </c>
      <c r="B1072" t="s">
        <v>387</v>
      </c>
      <c r="C1072" t="s">
        <v>143</v>
      </c>
      <c r="D1072" t="s">
        <v>129</v>
      </c>
      <c r="E1072">
        <v>0</v>
      </c>
      <c r="F1072">
        <v>0</v>
      </c>
      <c r="G1072" t="s">
        <v>2</v>
      </c>
      <c r="H1072" cm="1">
        <f t="array" ref="H1072">-isDup(B1072,B1073,0.7)</f>
        <v>-1</v>
      </c>
    </row>
    <row r="1073" spans="1:8" x14ac:dyDescent="0.2">
      <c r="A1073" s="3">
        <v>46038.921492997688</v>
      </c>
      <c r="B1073" t="s">
        <v>326</v>
      </c>
      <c r="C1073" t="s">
        <v>143</v>
      </c>
      <c r="D1073" t="s">
        <v>129</v>
      </c>
      <c r="E1073">
        <v>0</v>
      </c>
      <c r="F1073">
        <v>0</v>
      </c>
      <c r="G1073" t="s">
        <v>2</v>
      </c>
      <c r="H1073" cm="1">
        <f t="array" ref="H1073">-isDup(B1073,B1074,0.7)</f>
        <v>0</v>
      </c>
    </row>
    <row r="1074" spans="1:8" x14ac:dyDescent="0.2">
      <c r="A1074" s="3">
        <v>46039.921492997688</v>
      </c>
      <c r="B1074" t="s">
        <v>169</v>
      </c>
      <c r="C1074" t="s">
        <v>143</v>
      </c>
      <c r="D1074" t="s">
        <v>129</v>
      </c>
      <c r="E1074">
        <v>0</v>
      </c>
      <c r="F1074">
        <v>0</v>
      </c>
      <c r="G1074" t="s">
        <v>2</v>
      </c>
      <c r="H1074" cm="1">
        <f t="array" ref="H1074">-isDup(B1074,B1075,0.7)</f>
        <v>0</v>
      </c>
    </row>
    <row r="1075" spans="1:8" x14ac:dyDescent="0.2">
      <c r="A1075" s="3">
        <v>46040.921492997688</v>
      </c>
      <c r="B1075" t="s">
        <v>1275</v>
      </c>
      <c r="C1075" t="s">
        <v>1276</v>
      </c>
      <c r="E1075">
        <v>0</v>
      </c>
      <c r="F1075">
        <v>0</v>
      </c>
      <c r="G1075" t="s">
        <v>2</v>
      </c>
      <c r="H1075" cm="1">
        <f t="array" ref="H1075">-isDup(B1075,B1076,0.7)</f>
        <v>0</v>
      </c>
    </row>
    <row r="1076" spans="1:8" x14ac:dyDescent="0.2">
      <c r="A1076" s="3">
        <v>46041.921492997688</v>
      </c>
      <c r="B1076" t="s">
        <v>1277</v>
      </c>
      <c r="C1076" t="s">
        <v>643</v>
      </c>
      <c r="E1076">
        <v>0</v>
      </c>
      <c r="F1076">
        <v>0</v>
      </c>
      <c r="G1076" t="s">
        <v>2</v>
      </c>
      <c r="H1076" cm="1">
        <f t="array" ref="H1076">-isDup(B1076,B1077,0.7)</f>
        <v>0</v>
      </c>
    </row>
    <row r="1077" spans="1:8" x14ac:dyDescent="0.2">
      <c r="A1077" s="3">
        <v>46042.921492997688</v>
      </c>
      <c r="B1077" t="s">
        <v>1278</v>
      </c>
      <c r="C1077" t="s">
        <v>143</v>
      </c>
      <c r="D1077" t="s">
        <v>129</v>
      </c>
      <c r="E1077">
        <v>0</v>
      </c>
      <c r="F1077">
        <v>0</v>
      </c>
      <c r="G1077" t="s">
        <v>2</v>
      </c>
      <c r="H1077" cm="1">
        <f t="array" ref="H1077">-isDup(B1077,B1078,0.7)</f>
        <v>0</v>
      </c>
    </row>
    <row r="1078" spans="1:8" x14ac:dyDescent="0.2">
      <c r="A1078" s="3">
        <v>46043.921492997688</v>
      </c>
      <c r="B1078" t="s">
        <v>179</v>
      </c>
      <c r="C1078" t="s">
        <v>128</v>
      </c>
      <c r="D1078" t="s">
        <v>129</v>
      </c>
      <c r="E1078">
        <v>0</v>
      </c>
      <c r="F1078">
        <v>0</v>
      </c>
      <c r="G1078" t="s">
        <v>2</v>
      </c>
      <c r="H1078" cm="1">
        <f t="array" ref="H1078">-isDup(B1078,B1079,0.7)</f>
        <v>0</v>
      </c>
    </row>
    <row r="1079" spans="1:8" x14ac:dyDescent="0.2">
      <c r="A1079" s="3">
        <v>46044.921492997688</v>
      </c>
      <c r="B1079" t="s">
        <v>396</v>
      </c>
      <c r="C1079" t="s">
        <v>128</v>
      </c>
      <c r="D1079" t="s">
        <v>129</v>
      </c>
      <c r="E1079">
        <v>0</v>
      </c>
      <c r="F1079">
        <v>0</v>
      </c>
      <c r="G1079" t="s">
        <v>2</v>
      </c>
      <c r="H1079" cm="1">
        <f t="array" ref="H1079">-isDup(B1079,B1080,0.7)</f>
        <v>-1</v>
      </c>
    </row>
    <row r="1080" spans="1:8" x14ac:dyDescent="0.2">
      <c r="A1080" s="3">
        <v>46045.921492997688</v>
      </c>
      <c r="B1080" t="s">
        <v>396</v>
      </c>
      <c r="C1080" t="s">
        <v>143</v>
      </c>
      <c r="D1080" t="s">
        <v>129</v>
      </c>
      <c r="E1080">
        <v>0</v>
      </c>
      <c r="F1080">
        <v>0</v>
      </c>
      <c r="G1080" t="s">
        <v>2</v>
      </c>
      <c r="H1080" cm="1">
        <f t="array" ref="H1080">-isDup(B1080,B1081,0.7)</f>
        <v>0</v>
      </c>
    </row>
    <row r="1081" spans="1:8" x14ac:dyDescent="0.2">
      <c r="A1081" s="3">
        <v>46046.921492997688</v>
      </c>
      <c r="B1081" t="s">
        <v>337</v>
      </c>
      <c r="C1081" t="s">
        <v>143</v>
      </c>
      <c r="D1081" t="s">
        <v>129</v>
      </c>
      <c r="E1081">
        <v>0</v>
      </c>
      <c r="F1081">
        <v>0</v>
      </c>
      <c r="G1081" t="s">
        <v>2</v>
      </c>
      <c r="H1081" cm="1">
        <f t="array" ref="H1081">-isDup(B1081,B1082,0.7)</f>
        <v>0</v>
      </c>
    </row>
    <row r="1082" spans="1:8" x14ac:dyDescent="0.2">
      <c r="A1082" s="3">
        <v>46047.921492997688</v>
      </c>
      <c r="B1082" t="s">
        <v>1279</v>
      </c>
      <c r="C1082" t="s">
        <v>1280</v>
      </c>
      <c r="D1082" t="s">
        <v>1281</v>
      </c>
      <c r="E1082">
        <v>0</v>
      </c>
      <c r="F1082">
        <v>0</v>
      </c>
      <c r="G1082" t="s">
        <v>2</v>
      </c>
      <c r="H1082" cm="1">
        <f t="array" ref="H1082">-isDup(B1082,B1083,0.7)</f>
        <v>0</v>
      </c>
    </row>
    <row r="1083" spans="1:8" x14ac:dyDescent="0.2">
      <c r="A1083" s="3">
        <v>46048.921492997688</v>
      </c>
      <c r="B1083" t="s">
        <v>476</v>
      </c>
      <c r="C1083" t="s">
        <v>143</v>
      </c>
      <c r="D1083" t="s">
        <v>129</v>
      </c>
      <c r="E1083">
        <v>0</v>
      </c>
      <c r="F1083">
        <v>0</v>
      </c>
      <c r="G1083" t="s">
        <v>2</v>
      </c>
      <c r="H1083" cm="1">
        <f t="array" ref="H1083">-isDup(B1083,B1084,0.7)</f>
        <v>0</v>
      </c>
    </row>
    <row r="1084" spans="1:8" x14ac:dyDescent="0.2">
      <c r="A1084" s="3">
        <v>46049.921492997688</v>
      </c>
      <c r="B1084" t="s">
        <v>1282</v>
      </c>
      <c r="C1084" t="s">
        <v>7</v>
      </c>
      <c r="E1084">
        <v>0</v>
      </c>
      <c r="F1084">
        <v>0</v>
      </c>
      <c r="G1084" t="s">
        <v>2</v>
      </c>
      <c r="H1084" cm="1">
        <f t="array" ref="H1084">-isDup(B1084,B1085,0.7)</f>
        <v>0</v>
      </c>
    </row>
    <row r="1085" spans="1:8" x14ac:dyDescent="0.2">
      <c r="A1085" s="3">
        <v>46050.921492997688</v>
      </c>
      <c r="B1085" t="s">
        <v>1283</v>
      </c>
      <c r="C1085" t="s">
        <v>1284</v>
      </c>
      <c r="D1085" t="s">
        <v>1285</v>
      </c>
      <c r="E1085">
        <v>1</v>
      </c>
      <c r="F1085">
        <v>1</v>
      </c>
      <c r="G1085" t="s">
        <v>2</v>
      </c>
      <c r="H1085" cm="1">
        <f t="array" ref="H1085">-isDup(B1085,B1086,0.7)</f>
        <v>0</v>
      </c>
    </row>
    <row r="1086" spans="1:8" x14ac:dyDescent="0.2">
      <c r="A1086" s="3">
        <v>46051.921492997688</v>
      </c>
      <c r="B1086" t="s">
        <v>1286</v>
      </c>
      <c r="C1086" t="s">
        <v>1287</v>
      </c>
      <c r="E1086">
        <v>1</v>
      </c>
      <c r="F1086">
        <v>2</v>
      </c>
      <c r="G1086" t="s">
        <v>2</v>
      </c>
      <c r="H1086" cm="1">
        <f t="array" ref="H1086">-isDup(B1086,B1087,0.7)</f>
        <v>0</v>
      </c>
    </row>
    <row r="1087" spans="1:8" x14ac:dyDescent="0.2">
      <c r="A1087" s="3">
        <v>46052.921492997688</v>
      </c>
      <c r="B1087" t="s">
        <v>1288</v>
      </c>
      <c r="C1087" t="s">
        <v>1289</v>
      </c>
      <c r="E1087">
        <v>0</v>
      </c>
      <c r="F1087">
        <v>1</v>
      </c>
      <c r="G1087" t="s">
        <v>2</v>
      </c>
      <c r="H1087" cm="1">
        <f t="array" ref="H1087">-isDup(B1087,B1088,0.7)</f>
        <v>0</v>
      </c>
    </row>
    <row r="1088" spans="1:8" x14ac:dyDescent="0.2">
      <c r="A1088" s="3">
        <v>46053.921492997688</v>
      </c>
      <c r="B1088" t="s">
        <v>1290</v>
      </c>
      <c r="C1088" t="s">
        <v>1291</v>
      </c>
      <c r="D1088" t="s">
        <v>1292</v>
      </c>
      <c r="E1088">
        <v>0</v>
      </c>
      <c r="F1088">
        <v>0</v>
      </c>
      <c r="G1088" t="s">
        <v>2</v>
      </c>
      <c r="H1088" cm="1">
        <f t="array" ref="H1088">-isDup(B1088,B1089,0.7)</f>
        <v>0</v>
      </c>
    </row>
    <row r="1089" spans="1:8" x14ac:dyDescent="0.2">
      <c r="A1089" s="3">
        <v>46054.921492997688</v>
      </c>
      <c r="B1089" t="s">
        <v>1293</v>
      </c>
      <c r="C1089" t="s">
        <v>710</v>
      </c>
      <c r="E1089">
        <v>0</v>
      </c>
      <c r="F1089">
        <v>2</v>
      </c>
      <c r="G1089" t="s">
        <v>2</v>
      </c>
      <c r="H1089" cm="1">
        <f t="array" ref="H1089">-isDup(B1089,B1090,0.7)</f>
        <v>0</v>
      </c>
    </row>
    <row r="1090" spans="1:8" x14ac:dyDescent="0.2">
      <c r="A1090" s="3">
        <v>46055.921492997688</v>
      </c>
      <c r="B1090" t="s">
        <v>325</v>
      </c>
      <c r="C1090" t="s">
        <v>128</v>
      </c>
      <c r="D1090" t="s">
        <v>129</v>
      </c>
      <c r="E1090">
        <v>0</v>
      </c>
      <c r="F1090">
        <v>0</v>
      </c>
      <c r="G1090" t="s">
        <v>2</v>
      </c>
      <c r="H1090" cm="1">
        <f t="array" ref="H1090">-isDup(B1090,B1091,0.7)</f>
        <v>-1</v>
      </c>
    </row>
    <row r="1091" spans="1:8" x14ac:dyDescent="0.2">
      <c r="A1091" s="3">
        <v>46056.921492997688</v>
      </c>
      <c r="B1091" t="s">
        <v>325</v>
      </c>
      <c r="C1091" t="s">
        <v>143</v>
      </c>
      <c r="D1091" t="s">
        <v>129</v>
      </c>
      <c r="E1091">
        <v>0</v>
      </c>
      <c r="F1091">
        <v>0</v>
      </c>
      <c r="G1091" t="s">
        <v>2</v>
      </c>
      <c r="H1091" cm="1">
        <f t="array" ref="H1091">-isDup(B1091,B1092,0.7)</f>
        <v>0</v>
      </c>
    </row>
    <row r="1092" spans="1:8" x14ac:dyDescent="0.2">
      <c r="A1092" s="3">
        <v>46057.921492997688</v>
      </c>
      <c r="B1092" t="s">
        <v>1294</v>
      </c>
      <c r="C1092" t="s">
        <v>7</v>
      </c>
      <c r="E1092">
        <v>0</v>
      </c>
      <c r="F1092">
        <v>0</v>
      </c>
      <c r="G1092" t="s">
        <v>2</v>
      </c>
      <c r="H1092" cm="1">
        <f t="array" ref="H1092">-isDup(B1092,B1093,0.7)</f>
        <v>0</v>
      </c>
    </row>
    <row r="1093" spans="1:8" x14ac:dyDescent="0.2">
      <c r="A1093" s="3">
        <v>46058.921492997688</v>
      </c>
      <c r="B1093" t="s">
        <v>1295</v>
      </c>
      <c r="C1093" t="s">
        <v>1296</v>
      </c>
      <c r="D1093" t="s">
        <v>1297</v>
      </c>
      <c r="E1093">
        <v>0</v>
      </c>
      <c r="F1093">
        <v>0</v>
      </c>
      <c r="G1093" t="s">
        <v>2</v>
      </c>
      <c r="H1093" cm="1">
        <f t="array" ref="H1093">-isDup(B1093,B1094,0.7)</f>
        <v>0</v>
      </c>
    </row>
    <row r="1094" spans="1:8" x14ac:dyDescent="0.2">
      <c r="A1094" s="3">
        <v>46059.921492997688</v>
      </c>
      <c r="B1094" t="s">
        <v>1298</v>
      </c>
      <c r="C1094" t="s">
        <v>7</v>
      </c>
      <c r="E1094">
        <v>0</v>
      </c>
      <c r="F1094">
        <v>0</v>
      </c>
      <c r="G1094" t="s">
        <v>2</v>
      </c>
      <c r="H1094" cm="1">
        <f t="array" ref="H1094">-isDup(B1094,B1095,0.7)</f>
        <v>0</v>
      </c>
    </row>
    <row r="1095" spans="1:8" x14ac:dyDescent="0.2">
      <c r="A1095" s="3">
        <v>46060.921492997688</v>
      </c>
      <c r="B1095" t="s">
        <v>1299</v>
      </c>
      <c r="C1095" t="s">
        <v>256</v>
      </c>
      <c r="D1095" t="s">
        <v>1300</v>
      </c>
      <c r="E1095">
        <v>1</v>
      </c>
      <c r="F1095">
        <v>4</v>
      </c>
      <c r="G1095" t="s">
        <v>2</v>
      </c>
      <c r="H1095" cm="1">
        <f t="array" ref="H1095">-isDup(B1095,B1096,0.7)</f>
        <v>0</v>
      </c>
    </row>
    <row r="1096" spans="1:8" x14ac:dyDescent="0.2">
      <c r="A1096" s="3">
        <v>46061.921492997688</v>
      </c>
      <c r="B1096" t="s">
        <v>1301</v>
      </c>
      <c r="C1096" t="s">
        <v>7</v>
      </c>
      <c r="E1096">
        <v>0</v>
      </c>
      <c r="F1096">
        <v>0</v>
      </c>
      <c r="G1096" t="s">
        <v>2</v>
      </c>
      <c r="H1096" cm="1">
        <f t="array" ref="H1096">-isDup(B1096,B1097,0.7)</f>
        <v>0</v>
      </c>
    </row>
    <row r="1097" spans="1:8" x14ac:dyDescent="0.2">
      <c r="A1097" s="3">
        <v>46062.921492997688</v>
      </c>
      <c r="B1097" t="s">
        <v>97</v>
      </c>
      <c r="C1097" t="s">
        <v>98</v>
      </c>
      <c r="D1097" t="s">
        <v>13</v>
      </c>
      <c r="E1097">
        <v>0</v>
      </c>
      <c r="F1097">
        <v>0</v>
      </c>
      <c r="G1097" t="s">
        <v>2</v>
      </c>
      <c r="H1097" cm="1">
        <f t="array" ref="H1097">-isDup(B1097,B1098,0.7)</f>
        <v>0</v>
      </c>
    </row>
    <row r="1098" spans="1:8" x14ac:dyDescent="0.2">
      <c r="A1098" s="3">
        <v>46063.921492997688</v>
      </c>
      <c r="B1098" t="s">
        <v>1302</v>
      </c>
      <c r="C1098" t="s">
        <v>33</v>
      </c>
      <c r="D1098" t="s">
        <v>34</v>
      </c>
      <c r="E1098">
        <v>0</v>
      </c>
      <c r="F1098">
        <v>0</v>
      </c>
      <c r="G1098" t="s">
        <v>2</v>
      </c>
      <c r="H1098" cm="1">
        <f t="array" ref="H1098">-isDup(B1098,B1099,0.7)</f>
        <v>0</v>
      </c>
    </row>
    <row r="1099" spans="1:8" x14ac:dyDescent="0.2">
      <c r="A1099" s="3">
        <v>46064.921492997688</v>
      </c>
      <c r="B1099" t="s">
        <v>37</v>
      </c>
      <c r="C1099" t="s">
        <v>33</v>
      </c>
      <c r="D1099" t="s">
        <v>34</v>
      </c>
      <c r="E1099">
        <v>0</v>
      </c>
      <c r="F1099">
        <v>0</v>
      </c>
      <c r="G1099" t="s">
        <v>2</v>
      </c>
      <c r="H1099" cm="1">
        <f t="array" ref="H1099">-isDup(B1099,B1100,0.7)</f>
        <v>0</v>
      </c>
    </row>
    <row r="1100" spans="1:8" x14ac:dyDescent="0.2">
      <c r="A1100" s="3">
        <v>46065.921492997688</v>
      </c>
      <c r="B1100" t="s">
        <v>36</v>
      </c>
      <c r="C1100" t="s">
        <v>33</v>
      </c>
      <c r="D1100" t="s">
        <v>34</v>
      </c>
      <c r="E1100">
        <v>0</v>
      </c>
      <c r="F1100">
        <v>0</v>
      </c>
      <c r="G1100" t="s">
        <v>2</v>
      </c>
      <c r="H1100" cm="1">
        <f t="array" ref="H1100">-isDup(B1100,B1101,0.7)</f>
        <v>0</v>
      </c>
    </row>
    <row r="1101" spans="1:8" x14ac:dyDescent="0.2">
      <c r="A1101" s="3">
        <v>46066.921492997688</v>
      </c>
      <c r="B1101" t="s">
        <v>35</v>
      </c>
      <c r="C1101" t="s">
        <v>33</v>
      </c>
      <c r="D1101" t="s">
        <v>34</v>
      </c>
      <c r="E1101">
        <v>0</v>
      </c>
      <c r="F1101">
        <v>0</v>
      </c>
      <c r="G1101" t="s">
        <v>2</v>
      </c>
      <c r="H1101" cm="1">
        <f t="array" ref="H1101">-isDup(B1101,B1102,0.7)</f>
        <v>0</v>
      </c>
    </row>
    <row r="1102" spans="1:8" x14ac:dyDescent="0.2">
      <c r="A1102" s="3">
        <v>46067.921492997688</v>
      </c>
      <c r="B1102" t="s">
        <v>1303</v>
      </c>
      <c r="C1102" t="s">
        <v>7</v>
      </c>
      <c r="E1102">
        <v>0</v>
      </c>
      <c r="F1102">
        <v>0</v>
      </c>
      <c r="G1102" t="s">
        <v>2</v>
      </c>
      <c r="H1102" cm="1">
        <f t="array" ref="H1102">-isDup(B1102,B1103,0.7)</f>
        <v>0</v>
      </c>
    </row>
    <row r="1103" spans="1:8" x14ac:dyDescent="0.2">
      <c r="A1103" s="3">
        <v>46068.921492997688</v>
      </c>
      <c r="B1103" t="s">
        <v>429</v>
      </c>
      <c r="C1103" t="s">
        <v>143</v>
      </c>
      <c r="D1103" t="s">
        <v>129</v>
      </c>
      <c r="E1103">
        <v>0</v>
      </c>
      <c r="F1103">
        <v>0</v>
      </c>
      <c r="G1103" t="s">
        <v>2</v>
      </c>
      <c r="H1103" cm="1">
        <f t="array" ref="H1103">-isDup(B1103,B1104,0.7)</f>
        <v>0</v>
      </c>
    </row>
    <row r="1104" spans="1:8" x14ac:dyDescent="0.2">
      <c r="A1104" s="3">
        <v>46069.921492997688</v>
      </c>
      <c r="B1104" t="s">
        <v>3</v>
      </c>
      <c r="C1104" t="s">
        <v>4</v>
      </c>
      <c r="D1104" t="s">
        <v>5</v>
      </c>
      <c r="E1104">
        <v>0</v>
      </c>
      <c r="F1104">
        <v>0</v>
      </c>
      <c r="G1104" t="s">
        <v>2</v>
      </c>
      <c r="H1104" cm="1">
        <f t="array" ref="H1104">-isDup(B1104,B1105,0.7)</f>
        <v>0</v>
      </c>
    </row>
    <row r="1105" spans="1:8" x14ac:dyDescent="0.2">
      <c r="A1105" s="3">
        <v>46070.921492997688</v>
      </c>
      <c r="B1105" t="s">
        <v>287</v>
      </c>
      <c r="C1105" t="s">
        <v>33</v>
      </c>
      <c r="D1105" t="s">
        <v>34</v>
      </c>
      <c r="E1105">
        <v>0</v>
      </c>
      <c r="F1105">
        <v>0</v>
      </c>
      <c r="G1105" t="s">
        <v>2</v>
      </c>
      <c r="H1105" cm="1">
        <f t="array" ref="H1105">-isDup(B1105,B1106,0.7)</f>
        <v>0</v>
      </c>
    </row>
    <row r="1106" spans="1:8" x14ac:dyDescent="0.2">
      <c r="A1106" s="3">
        <v>46071.921492997688</v>
      </c>
      <c r="B1106" t="s">
        <v>1304</v>
      </c>
      <c r="C1106" t="s">
        <v>1305</v>
      </c>
      <c r="E1106">
        <v>0</v>
      </c>
      <c r="F1106">
        <v>1</v>
      </c>
      <c r="G1106" t="s">
        <v>2</v>
      </c>
      <c r="H1106" cm="1">
        <f t="array" ref="H1106">-isDup(B1106,B1107,0.7)</f>
        <v>0</v>
      </c>
    </row>
    <row r="1107" spans="1:8" x14ac:dyDescent="0.2">
      <c r="A1107" s="3">
        <v>46072.921492997688</v>
      </c>
      <c r="B1107" t="s">
        <v>1306</v>
      </c>
      <c r="C1107" t="s">
        <v>7</v>
      </c>
      <c r="E1107">
        <v>0</v>
      </c>
      <c r="F1107">
        <v>0</v>
      </c>
      <c r="G1107" t="s">
        <v>2</v>
      </c>
      <c r="H1107" cm="1">
        <f t="array" ref="H1107">-isDup(B1107,B1108,0.7)</f>
        <v>-1</v>
      </c>
    </row>
    <row r="1108" spans="1:8" x14ac:dyDescent="0.2">
      <c r="A1108" s="3">
        <v>46073.921492997688</v>
      </c>
      <c r="B1108" t="s">
        <v>1307</v>
      </c>
      <c r="C1108" t="s">
        <v>7</v>
      </c>
      <c r="E1108">
        <v>0</v>
      </c>
      <c r="F1108">
        <v>0</v>
      </c>
      <c r="G1108" t="s">
        <v>2</v>
      </c>
      <c r="H1108" cm="1">
        <f t="array" ref="H1108">-isDup(B1108,B1109,0.7)</f>
        <v>0</v>
      </c>
    </row>
    <row r="1109" spans="1:8" x14ac:dyDescent="0.2">
      <c r="A1109" s="3">
        <v>46074.921492997688</v>
      </c>
      <c r="B1109" t="s">
        <v>94</v>
      </c>
      <c r="C1109" t="s">
        <v>22</v>
      </c>
      <c r="E1109">
        <v>0</v>
      </c>
      <c r="F1109">
        <v>0</v>
      </c>
      <c r="G1109" t="s">
        <v>2</v>
      </c>
      <c r="H1109" cm="1">
        <f t="array" ref="H1109">-isDup(B1109,B1110,0.7)</f>
        <v>0</v>
      </c>
    </row>
    <row r="1110" spans="1:8" x14ac:dyDescent="0.2">
      <c r="A1110" s="3">
        <v>46075.921492997688</v>
      </c>
      <c r="B1110" t="s">
        <v>1308</v>
      </c>
      <c r="C1110" t="s">
        <v>1309</v>
      </c>
      <c r="E1110">
        <v>0</v>
      </c>
      <c r="F1110">
        <v>0</v>
      </c>
      <c r="G1110" t="s">
        <v>2</v>
      </c>
      <c r="H1110" cm="1">
        <f t="array" ref="H1110">-isDup(B1110,B1111,0.7)</f>
        <v>0</v>
      </c>
    </row>
    <row r="1111" spans="1:8" x14ac:dyDescent="0.2">
      <c r="A1111" s="3">
        <v>46076.921492997688</v>
      </c>
      <c r="B1111" t="s">
        <v>916</v>
      </c>
      <c r="C1111" t="s">
        <v>98</v>
      </c>
      <c r="D1111" t="s">
        <v>13</v>
      </c>
      <c r="E1111">
        <v>0</v>
      </c>
      <c r="F1111">
        <v>0</v>
      </c>
      <c r="G1111" t="s">
        <v>2</v>
      </c>
      <c r="H1111" cm="1">
        <f t="array" ref="H1111">-isDup(B1111,B1112,0.7)</f>
        <v>0</v>
      </c>
    </row>
    <row r="1112" spans="1:8" x14ac:dyDescent="0.2">
      <c r="A1112" s="3">
        <v>46077.921492997688</v>
      </c>
      <c r="B1112" t="s">
        <v>1310</v>
      </c>
      <c r="C1112" t="s">
        <v>7</v>
      </c>
      <c r="E1112">
        <v>0</v>
      </c>
      <c r="F1112">
        <v>0</v>
      </c>
      <c r="G1112" t="s">
        <v>2</v>
      </c>
      <c r="H1112" cm="1">
        <f t="array" ref="H1112">-isDup(B1112,B1113,0.7)</f>
        <v>0</v>
      </c>
    </row>
    <row r="1113" spans="1:8" x14ac:dyDescent="0.2">
      <c r="A1113" s="3">
        <v>46078.921492997688</v>
      </c>
      <c r="B1113" t="s">
        <v>1311</v>
      </c>
      <c r="C1113" t="s">
        <v>1312</v>
      </c>
      <c r="D1113" t="s">
        <v>1274</v>
      </c>
      <c r="E1113">
        <v>1</v>
      </c>
      <c r="F1113">
        <v>1</v>
      </c>
      <c r="G1113" t="s">
        <v>2</v>
      </c>
      <c r="H1113" cm="1">
        <f t="array" ref="H1113">-isDup(B1113,B1114,0.7)</f>
        <v>0</v>
      </c>
    </row>
    <row r="1114" spans="1:8" x14ac:dyDescent="0.2">
      <c r="A1114" s="3">
        <v>46079.921492997688</v>
      </c>
      <c r="B1114" t="s">
        <v>1313</v>
      </c>
      <c r="C1114" t="s">
        <v>7</v>
      </c>
      <c r="E1114">
        <v>0</v>
      </c>
      <c r="F1114">
        <v>0</v>
      </c>
      <c r="G1114" t="s">
        <v>2</v>
      </c>
      <c r="H1114" cm="1">
        <f t="array" ref="H1114">-isDup(B1114,B1115,0.7)</f>
        <v>0</v>
      </c>
    </row>
    <row r="1115" spans="1:8" x14ac:dyDescent="0.2">
      <c r="A1115" s="3">
        <v>46080.921492997688</v>
      </c>
      <c r="B1115" t="s">
        <v>1314</v>
      </c>
      <c r="C1115" t="s">
        <v>961</v>
      </c>
      <c r="D1115" t="s">
        <v>210</v>
      </c>
      <c r="E1115">
        <v>0</v>
      </c>
      <c r="F1115">
        <v>0</v>
      </c>
      <c r="G1115" t="s">
        <v>2</v>
      </c>
      <c r="H1115" cm="1">
        <f t="array" ref="H1115">-isDup(B1115,B1116,0.7)</f>
        <v>0</v>
      </c>
    </row>
    <row r="1116" spans="1:8" x14ac:dyDescent="0.2">
      <c r="A1116" s="3">
        <v>46081.921492997688</v>
      </c>
      <c r="B1116" t="s">
        <v>1315</v>
      </c>
      <c r="C1116" t="s">
        <v>7</v>
      </c>
      <c r="E1116">
        <v>0</v>
      </c>
      <c r="F1116">
        <v>0</v>
      </c>
      <c r="G1116" t="s">
        <v>2</v>
      </c>
      <c r="H1116" cm="1">
        <f t="array" ref="H1116">-isDup(B1116,B1117,0.7)</f>
        <v>0</v>
      </c>
    </row>
    <row r="1117" spans="1:8" x14ac:dyDescent="0.2">
      <c r="A1117" s="3">
        <v>46082.921492997688</v>
      </c>
      <c r="B1117" t="s">
        <v>1316</v>
      </c>
      <c r="C1117" t="s">
        <v>290</v>
      </c>
      <c r="D1117" t="s">
        <v>291</v>
      </c>
      <c r="E1117">
        <v>0</v>
      </c>
      <c r="F1117">
        <v>0</v>
      </c>
      <c r="G1117" t="s">
        <v>2</v>
      </c>
      <c r="H1117" cm="1">
        <f t="array" ref="H1117">-isDup(B1117,B1118,0.7)</f>
        <v>-1</v>
      </c>
    </row>
    <row r="1118" spans="1:8" x14ac:dyDescent="0.2">
      <c r="A1118" s="3">
        <v>46083.921492997688</v>
      </c>
      <c r="B1118" t="s">
        <v>1317</v>
      </c>
      <c r="C1118" t="s">
        <v>290</v>
      </c>
      <c r="D1118" t="s">
        <v>291</v>
      </c>
      <c r="E1118">
        <v>0</v>
      </c>
      <c r="F1118">
        <v>0</v>
      </c>
      <c r="G1118" t="s">
        <v>2</v>
      </c>
      <c r="H1118" cm="1">
        <f t="array" ref="H1118">-isDup(B1118,B1119,0.7)</f>
        <v>-1</v>
      </c>
    </row>
    <row r="1119" spans="1:8" x14ac:dyDescent="0.2">
      <c r="A1119" s="3">
        <v>46084.921492997688</v>
      </c>
      <c r="B1119" t="s">
        <v>1318</v>
      </c>
      <c r="C1119" t="s">
        <v>290</v>
      </c>
      <c r="D1119" t="s">
        <v>291</v>
      </c>
      <c r="E1119">
        <v>0</v>
      </c>
      <c r="F1119">
        <v>0</v>
      </c>
      <c r="G1119" t="s">
        <v>2</v>
      </c>
      <c r="H1119" cm="1">
        <f t="array" ref="H1119">-isDup(B1119,B1120,0.7)</f>
        <v>0</v>
      </c>
    </row>
    <row r="1120" spans="1:8" x14ac:dyDescent="0.2">
      <c r="A1120" s="3">
        <v>46085.921492997688</v>
      </c>
      <c r="B1120" t="s">
        <v>1319</v>
      </c>
      <c r="C1120" t="s">
        <v>1320</v>
      </c>
      <c r="D1120" t="s">
        <v>1321</v>
      </c>
      <c r="E1120">
        <v>0</v>
      </c>
      <c r="F1120">
        <v>0</v>
      </c>
      <c r="G1120" t="s">
        <v>2</v>
      </c>
      <c r="H1120" cm="1">
        <f t="array" ref="H1120">-isDup(B1120,B1121,0.7)</f>
        <v>0</v>
      </c>
    </row>
    <row r="1121" spans="1:8" x14ac:dyDescent="0.2">
      <c r="A1121" s="3">
        <v>46086.921492997688</v>
      </c>
      <c r="B1121" t="s">
        <v>1322</v>
      </c>
      <c r="C1121" t="s">
        <v>137</v>
      </c>
      <c r="E1121">
        <v>0</v>
      </c>
      <c r="F1121">
        <v>2</v>
      </c>
      <c r="G1121" t="s">
        <v>2</v>
      </c>
      <c r="H1121" cm="1">
        <f t="array" ref="H1121">-isDup(B1121,B1122,0.7)</f>
        <v>0</v>
      </c>
    </row>
    <row r="1122" spans="1:8" x14ac:dyDescent="0.2">
      <c r="A1122" s="3">
        <v>46087.921492997688</v>
      </c>
      <c r="B1122" t="s">
        <v>1323</v>
      </c>
      <c r="C1122" t="s">
        <v>1324</v>
      </c>
      <c r="E1122">
        <v>0</v>
      </c>
      <c r="F1122">
        <v>0</v>
      </c>
      <c r="G1122" t="s">
        <v>2</v>
      </c>
      <c r="H1122" cm="1">
        <f t="array" ref="H1122">-isDup(B1122,B1123,0.7)</f>
        <v>0</v>
      </c>
    </row>
    <row r="1123" spans="1:8" x14ac:dyDescent="0.2">
      <c r="A1123" s="3">
        <v>46088.921492997688</v>
      </c>
      <c r="B1123" t="s">
        <v>1325</v>
      </c>
      <c r="C1123" t="s">
        <v>1326</v>
      </c>
      <c r="D1123" t="s">
        <v>1327</v>
      </c>
      <c r="E1123">
        <v>0</v>
      </c>
      <c r="F1123">
        <v>1</v>
      </c>
      <c r="G1123" t="s">
        <v>2</v>
      </c>
      <c r="H1123" cm="1">
        <f t="array" ref="H1123">-isDup(B1123,B1124,0.7)</f>
        <v>0</v>
      </c>
    </row>
    <row r="1124" spans="1:8" x14ac:dyDescent="0.2">
      <c r="A1124" s="3">
        <v>46089.921492997688</v>
      </c>
      <c r="B1124" t="s">
        <v>685</v>
      </c>
      <c r="C1124" t="s">
        <v>686</v>
      </c>
      <c r="D1124" t="s">
        <v>13</v>
      </c>
      <c r="E1124">
        <v>0</v>
      </c>
      <c r="F1124">
        <v>0</v>
      </c>
      <c r="G1124" t="s">
        <v>2</v>
      </c>
      <c r="H1124" cm="1">
        <f t="array" ref="H1124">-isDup(B1124,B1125,0.7)</f>
        <v>0</v>
      </c>
    </row>
    <row r="1125" spans="1:8" x14ac:dyDescent="0.2">
      <c r="A1125" s="3">
        <v>46090.921492997688</v>
      </c>
      <c r="B1125" t="s">
        <v>1328</v>
      </c>
      <c r="C1125" t="s">
        <v>1329</v>
      </c>
      <c r="E1125">
        <v>1</v>
      </c>
      <c r="F1125">
        <v>61</v>
      </c>
      <c r="G1125" t="s">
        <v>2</v>
      </c>
      <c r="H1125" cm="1">
        <f t="array" ref="H1125">-isDup(B1125,B1126,0.7)</f>
        <v>0</v>
      </c>
    </row>
    <row r="1126" spans="1:8" x14ac:dyDescent="0.2">
      <c r="A1126" s="3">
        <v>46091.921492997688</v>
      </c>
      <c r="B1126" t="s">
        <v>1330</v>
      </c>
      <c r="C1126" t="s">
        <v>7</v>
      </c>
      <c r="E1126">
        <v>0</v>
      </c>
      <c r="F1126">
        <v>0</v>
      </c>
      <c r="G1126" t="s">
        <v>2</v>
      </c>
      <c r="H1126" cm="1">
        <f t="array" ref="H1126">-isDup(B1126,B1127,0.7)</f>
        <v>-1</v>
      </c>
    </row>
    <row r="1127" spans="1:8" x14ac:dyDescent="0.2">
      <c r="A1127" s="3">
        <v>46092.921492997688</v>
      </c>
      <c r="B1127" t="s">
        <v>1331</v>
      </c>
      <c r="C1127" t="s">
        <v>7</v>
      </c>
      <c r="E1127">
        <v>0</v>
      </c>
      <c r="F1127">
        <v>0</v>
      </c>
      <c r="G1127" t="s">
        <v>2</v>
      </c>
      <c r="H1127" cm="1">
        <f t="array" ref="H1127">-isDup(B1127,B1128,0.7)</f>
        <v>0</v>
      </c>
    </row>
    <row r="1128" spans="1:8" x14ac:dyDescent="0.2">
      <c r="A1128" s="3">
        <v>46093.921492997688</v>
      </c>
      <c r="B1128" t="s">
        <v>1205</v>
      </c>
      <c r="C1128" t="s">
        <v>1332</v>
      </c>
      <c r="D1128" t="s">
        <v>1333</v>
      </c>
      <c r="E1128">
        <v>0</v>
      </c>
      <c r="F1128">
        <v>0</v>
      </c>
      <c r="G1128" t="s">
        <v>2</v>
      </c>
      <c r="H1128" cm="1">
        <f t="array" ref="H1128">-isDup(B1128,B1129,0.7)</f>
        <v>0</v>
      </c>
    </row>
    <row r="1129" spans="1:8" x14ac:dyDescent="0.2">
      <c r="A1129" s="3">
        <v>46094.921492997688</v>
      </c>
      <c r="B1129" t="s">
        <v>138</v>
      </c>
      <c r="C1129" t="s">
        <v>22</v>
      </c>
      <c r="E1129">
        <v>0</v>
      </c>
      <c r="F1129">
        <v>0</v>
      </c>
      <c r="G1129" t="s">
        <v>2</v>
      </c>
      <c r="H1129" cm="1">
        <f t="array" ref="H1129">-isDup(B1129,B1130,0.7)</f>
        <v>0</v>
      </c>
    </row>
    <row r="1130" spans="1:8" x14ac:dyDescent="0.2">
      <c r="A1130" s="3">
        <v>46095.921492997688</v>
      </c>
      <c r="B1130" t="s">
        <v>144</v>
      </c>
      <c r="C1130" t="s">
        <v>22</v>
      </c>
      <c r="E1130">
        <v>0</v>
      </c>
      <c r="F1130">
        <v>0</v>
      </c>
      <c r="G1130" t="s">
        <v>2</v>
      </c>
      <c r="H1130" cm="1">
        <f t="array" ref="H1130">-isDup(B1130,B1131,0.7)</f>
        <v>0</v>
      </c>
    </row>
    <row r="1131" spans="1:8" x14ac:dyDescent="0.2">
      <c r="A1131" s="3">
        <v>46096.921492997688</v>
      </c>
      <c r="B1131" t="s">
        <v>1334</v>
      </c>
      <c r="C1131" t="s">
        <v>1335</v>
      </c>
      <c r="E1131">
        <v>0</v>
      </c>
      <c r="F1131">
        <v>0</v>
      </c>
      <c r="G1131" t="s">
        <v>2</v>
      </c>
      <c r="H1131" cm="1">
        <f t="array" ref="H1131">-isDup(B1131,B1132,0.7)</f>
        <v>0</v>
      </c>
    </row>
    <row r="1132" spans="1:8" x14ac:dyDescent="0.2">
      <c r="A1132" s="3">
        <v>46097.921492997688</v>
      </c>
      <c r="B1132" t="s">
        <v>152</v>
      </c>
      <c r="C1132" t="s">
        <v>22</v>
      </c>
      <c r="E1132">
        <v>0</v>
      </c>
      <c r="F1132">
        <v>0</v>
      </c>
      <c r="G1132" t="s">
        <v>2</v>
      </c>
      <c r="H1132" cm="1">
        <f t="array" ref="H1132">-isDup(B1132,B1133,0.7)</f>
        <v>0</v>
      </c>
    </row>
    <row r="1133" spans="1:8" x14ac:dyDescent="0.2">
      <c r="A1133" s="3">
        <v>46098.921492997688</v>
      </c>
      <c r="B1133" t="s">
        <v>3</v>
      </c>
      <c r="C1133" t="s">
        <v>4</v>
      </c>
      <c r="D1133" t="s">
        <v>5</v>
      </c>
      <c r="E1133">
        <v>0</v>
      </c>
      <c r="F1133">
        <v>0</v>
      </c>
      <c r="G1133" t="s">
        <v>2</v>
      </c>
      <c r="H1133" cm="1">
        <f t="array" ref="H1133">-isDup(B1133,B1134,0.7)</f>
        <v>0</v>
      </c>
    </row>
    <row r="1134" spans="1:8" x14ac:dyDescent="0.2">
      <c r="A1134" s="3">
        <v>46099.921492997688</v>
      </c>
      <c r="B1134" t="s">
        <v>1336</v>
      </c>
      <c r="C1134" t="s">
        <v>174</v>
      </c>
      <c r="E1134">
        <v>0</v>
      </c>
      <c r="F1134">
        <v>0</v>
      </c>
      <c r="G1134" t="s">
        <v>2</v>
      </c>
      <c r="H1134" cm="1">
        <f t="array" ref="H1134">-isDup(B1134,B1135,0.7)</f>
        <v>0</v>
      </c>
    </row>
    <row r="1135" spans="1:8" x14ac:dyDescent="0.2">
      <c r="A1135" s="3">
        <v>46100.921492997688</v>
      </c>
      <c r="B1135" t="s">
        <v>151</v>
      </c>
      <c r="C1135" t="s">
        <v>22</v>
      </c>
      <c r="E1135">
        <v>0</v>
      </c>
      <c r="F1135">
        <v>0</v>
      </c>
      <c r="G1135" t="s">
        <v>2</v>
      </c>
      <c r="H1135" cm="1">
        <f t="array" ref="H1135">-isDup(B1135,B1136,0.7)</f>
        <v>0</v>
      </c>
    </row>
    <row r="1136" spans="1:8" x14ac:dyDescent="0.2">
      <c r="A1136" s="3">
        <v>46101.921492997688</v>
      </c>
      <c r="B1136" t="s">
        <v>37</v>
      </c>
      <c r="C1136" t="s">
        <v>33</v>
      </c>
      <c r="D1136" t="s">
        <v>34</v>
      </c>
      <c r="E1136">
        <v>0</v>
      </c>
      <c r="F1136">
        <v>0</v>
      </c>
      <c r="G1136" t="s">
        <v>2</v>
      </c>
      <c r="H1136" cm="1">
        <f t="array" ref="H1136">-isDup(B1136,B1137,0.7)</f>
        <v>-1</v>
      </c>
    </row>
    <row r="1137" spans="1:8" x14ac:dyDescent="0.2">
      <c r="A1137" s="3">
        <v>46102.921492997688</v>
      </c>
      <c r="B1137" t="s">
        <v>35</v>
      </c>
      <c r="C1137" t="s">
        <v>33</v>
      </c>
      <c r="D1137" t="s">
        <v>34</v>
      </c>
      <c r="E1137">
        <v>0</v>
      </c>
      <c r="F1137">
        <v>0</v>
      </c>
      <c r="G1137" t="s">
        <v>2</v>
      </c>
      <c r="H1137" cm="1">
        <f t="array" ref="H1137">-isDup(B1137,B1138,0.7)</f>
        <v>0</v>
      </c>
    </row>
    <row r="1138" spans="1:8" x14ac:dyDescent="0.2">
      <c r="A1138" s="3">
        <v>46103.921492997688</v>
      </c>
      <c r="B1138" t="s">
        <v>36</v>
      </c>
      <c r="C1138" t="s">
        <v>33</v>
      </c>
      <c r="D1138" t="s">
        <v>34</v>
      </c>
      <c r="E1138">
        <v>0</v>
      </c>
      <c r="F1138">
        <v>0</v>
      </c>
      <c r="G1138" t="s">
        <v>2</v>
      </c>
      <c r="H1138" cm="1">
        <f t="array" ref="H1138">-isDup(B1138,B1139,0.7)</f>
        <v>0</v>
      </c>
    </row>
    <row r="1139" spans="1:8" x14ac:dyDescent="0.2">
      <c r="A1139" s="3">
        <v>46104.921492997688</v>
      </c>
      <c r="B1139" t="s">
        <v>1337</v>
      </c>
      <c r="C1139" t="s">
        <v>33</v>
      </c>
      <c r="D1139" t="s">
        <v>34</v>
      </c>
      <c r="E1139">
        <v>0</v>
      </c>
      <c r="F1139">
        <v>0</v>
      </c>
      <c r="G1139" t="s">
        <v>2</v>
      </c>
      <c r="H1139" cm="1">
        <f t="array" ref="H1139">-isDup(B1139,B1140,0.7)</f>
        <v>0</v>
      </c>
    </row>
    <row r="1140" spans="1:8" x14ac:dyDescent="0.2">
      <c r="A1140" s="3">
        <v>46105.921492997688</v>
      </c>
      <c r="B1140" t="s">
        <v>153</v>
      </c>
      <c r="C1140" t="s">
        <v>22</v>
      </c>
      <c r="E1140">
        <v>0</v>
      </c>
      <c r="F1140">
        <v>0</v>
      </c>
      <c r="G1140" t="s">
        <v>2</v>
      </c>
      <c r="H1140" cm="1">
        <f t="array" ref="H1140">-isDup(B1140,B1141,0.7)</f>
        <v>-1</v>
      </c>
    </row>
    <row r="1141" spans="1:8" x14ac:dyDescent="0.2">
      <c r="A1141" s="3">
        <v>46106.921492997688</v>
      </c>
      <c r="B1141" t="s">
        <v>154</v>
      </c>
      <c r="C1141" t="s">
        <v>22</v>
      </c>
      <c r="E1141">
        <v>0</v>
      </c>
      <c r="F1141">
        <v>0</v>
      </c>
      <c r="G1141" t="s">
        <v>2</v>
      </c>
      <c r="H1141" cm="1">
        <f t="array" ref="H1141">-isDup(B1141,B1142,0.7)</f>
        <v>0</v>
      </c>
    </row>
    <row r="1142" spans="1:8" x14ac:dyDescent="0.2">
      <c r="A1142" s="3">
        <v>46107.921492997688</v>
      </c>
      <c r="B1142" t="s">
        <v>46</v>
      </c>
      <c r="C1142" t="s">
        <v>22</v>
      </c>
      <c r="E1142">
        <v>0</v>
      </c>
      <c r="F1142">
        <v>0</v>
      </c>
      <c r="G1142" t="s">
        <v>2</v>
      </c>
      <c r="H1142" cm="1">
        <f t="array" ref="H1142">-isDup(B1142,B1143,0.7)</f>
        <v>0</v>
      </c>
    </row>
    <row r="1143" spans="1:8" x14ac:dyDescent="0.2">
      <c r="A1143" s="3">
        <v>46108.921492997688</v>
      </c>
      <c r="B1143" t="s">
        <v>159</v>
      </c>
      <c r="C1143" t="s">
        <v>22</v>
      </c>
      <c r="E1143">
        <v>0</v>
      </c>
      <c r="F1143">
        <v>0</v>
      </c>
      <c r="G1143" t="s">
        <v>2</v>
      </c>
      <c r="H1143" cm="1">
        <f t="array" ref="H1143">-isDup(B1143,B1144,0.7)</f>
        <v>0</v>
      </c>
    </row>
    <row r="1144" spans="1:8" x14ac:dyDescent="0.2">
      <c r="A1144" s="3">
        <v>46109.921492997688</v>
      </c>
      <c r="B1144" t="s">
        <v>1338</v>
      </c>
      <c r="C1144" t="s">
        <v>7</v>
      </c>
      <c r="E1144">
        <v>0</v>
      </c>
      <c r="F1144">
        <v>0</v>
      </c>
      <c r="G1144" t="s">
        <v>2</v>
      </c>
      <c r="H1144" cm="1">
        <f t="array" ref="H1144">-isDup(B1144,B1145,0.7)</f>
        <v>-1</v>
      </c>
    </row>
    <row r="1145" spans="1:8" x14ac:dyDescent="0.2">
      <c r="A1145" s="3">
        <v>46110.921492997688</v>
      </c>
      <c r="B1145" t="s">
        <v>1339</v>
      </c>
      <c r="C1145" t="s">
        <v>7</v>
      </c>
      <c r="E1145">
        <v>0</v>
      </c>
      <c r="F1145">
        <v>0</v>
      </c>
      <c r="G1145" t="s">
        <v>2</v>
      </c>
      <c r="H1145" cm="1">
        <f t="array" ref="H1145">-isDup(B1145,B1146,0.7)</f>
        <v>0</v>
      </c>
    </row>
    <row r="1146" spans="1:8" x14ac:dyDescent="0.2">
      <c r="A1146" s="3">
        <v>46111.921492997688</v>
      </c>
      <c r="B1146" t="s">
        <v>165</v>
      </c>
      <c r="C1146" t="s">
        <v>22</v>
      </c>
      <c r="E1146">
        <v>0</v>
      </c>
      <c r="F1146">
        <v>0</v>
      </c>
      <c r="G1146" t="s">
        <v>2</v>
      </c>
      <c r="H1146" cm="1">
        <f t="array" ref="H1146">-isDup(B1146,B1147,0.7)</f>
        <v>-1</v>
      </c>
    </row>
    <row r="1147" spans="1:8" x14ac:dyDescent="0.2">
      <c r="A1147" s="3">
        <v>46112.921492997688</v>
      </c>
      <c r="B1147" t="s">
        <v>165</v>
      </c>
      <c r="C1147" t="s">
        <v>22</v>
      </c>
      <c r="E1147">
        <v>0</v>
      </c>
      <c r="F1147">
        <v>0</v>
      </c>
      <c r="G1147" t="s">
        <v>2</v>
      </c>
      <c r="H1147" cm="1">
        <f t="array" ref="H1147">-isDup(B1147,B1148,0.7)</f>
        <v>0</v>
      </c>
    </row>
    <row r="1148" spans="1:8" x14ac:dyDescent="0.2">
      <c r="A1148" s="3">
        <v>46113.921492997688</v>
      </c>
      <c r="B1148" t="s">
        <v>1340</v>
      </c>
      <c r="C1148" t="s">
        <v>286</v>
      </c>
      <c r="E1148">
        <v>0</v>
      </c>
      <c r="F1148">
        <v>0</v>
      </c>
      <c r="G1148" t="s">
        <v>2</v>
      </c>
      <c r="H1148" cm="1">
        <f t="array" ref="H1148">-isDup(B1148,B1149,0.7)</f>
        <v>0</v>
      </c>
    </row>
    <row r="1149" spans="1:8" x14ac:dyDescent="0.2">
      <c r="A1149" s="3">
        <v>46114.921492997688</v>
      </c>
      <c r="B1149" t="s">
        <v>1341</v>
      </c>
      <c r="C1149" t="s">
        <v>643</v>
      </c>
      <c r="E1149">
        <v>0</v>
      </c>
      <c r="F1149">
        <v>0</v>
      </c>
      <c r="G1149" t="s">
        <v>2</v>
      </c>
      <c r="H1149" cm="1">
        <f t="array" ref="H1149">-isDup(B1149,B1150,0.7)</f>
        <v>0</v>
      </c>
    </row>
    <row r="1150" spans="1:8" x14ac:dyDescent="0.2">
      <c r="A1150" s="3">
        <v>46115.921492997688</v>
      </c>
      <c r="B1150" t="s">
        <v>1342</v>
      </c>
      <c r="C1150" t="s">
        <v>1343</v>
      </c>
      <c r="E1150">
        <v>0</v>
      </c>
      <c r="F1150">
        <v>0</v>
      </c>
      <c r="G1150" t="s">
        <v>2</v>
      </c>
      <c r="H1150" cm="1">
        <f t="array" ref="H1150">-isDup(B1150,B1151,0.7)</f>
        <v>0</v>
      </c>
    </row>
    <row r="1151" spans="1:8" x14ac:dyDescent="0.2">
      <c r="A1151" s="3">
        <v>46116.921492997688</v>
      </c>
      <c r="B1151" t="s">
        <v>1344</v>
      </c>
      <c r="C1151" t="s">
        <v>1345</v>
      </c>
      <c r="E1151">
        <v>0</v>
      </c>
      <c r="F1151">
        <v>1</v>
      </c>
      <c r="G1151" t="s">
        <v>2</v>
      </c>
      <c r="H1151" cm="1">
        <f t="array" ref="H1151">-isDup(B1151,B1152,0.7)</f>
        <v>0</v>
      </c>
    </row>
    <row r="1152" spans="1:8" x14ac:dyDescent="0.2">
      <c r="A1152" s="3">
        <v>46117.921492997688</v>
      </c>
      <c r="B1152" t="s">
        <v>1346</v>
      </c>
      <c r="C1152" t="s">
        <v>1347</v>
      </c>
      <c r="E1152">
        <v>0</v>
      </c>
      <c r="F1152">
        <v>5</v>
      </c>
      <c r="G1152" t="s">
        <v>2</v>
      </c>
      <c r="H1152" cm="1">
        <f t="array" ref="H1152">-isDup(B1152,B1153,0.7)</f>
        <v>0</v>
      </c>
    </row>
    <row r="1153" spans="1:8" x14ac:dyDescent="0.2">
      <c r="A1153" s="3">
        <v>46118.921492997688</v>
      </c>
      <c r="B1153" t="s">
        <v>1348</v>
      </c>
      <c r="C1153" t="s">
        <v>1349</v>
      </c>
      <c r="E1153">
        <v>0</v>
      </c>
      <c r="F1153">
        <v>0</v>
      </c>
      <c r="G1153" t="s">
        <v>2</v>
      </c>
      <c r="H1153" cm="1">
        <f t="array" ref="H1153">-isDup(B1153,B1154,0.7)</f>
        <v>0</v>
      </c>
    </row>
    <row r="1154" spans="1:8" x14ac:dyDescent="0.2">
      <c r="A1154" s="3">
        <v>46119.921492997688</v>
      </c>
      <c r="B1154" t="s">
        <v>1350</v>
      </c>
      <c r="C1154" t="s">
        <v>1351</v>
      </c>
      <c r="D1154" t="s">
        <v>210</v>
      </c>
      <c r="E1154">
        <v>0</v>
      </c>
      <c r="F1154">
        <v>0</v>
      </c>
      <c r="G1154" t="s">
        <v>2</v>
      </c>
      <c r="H1154" cm="1">
        <f t="array" ref="H1154">-isDup(B1154,B1155,0.7)</f>
        <v>0</v>
      </c>
    </row>
    <row r="1155" spans="1:8" x14ac:dyDescent="0.2">
      <c r="A1155" s="3">
        <v>46120.921492997688</v>
      </c>
      <c r="B1155" t="s">
        <v>1352</v>
      </c>
      <c r="C1155" t="s">
        <v>7</v>
      </c>
      <c r="E1155">
        <v>0</v>
      </c>
      <c r="F1155">
        <v>0</v>
      </c>
      <c r="G1155" t="s">
        <v>2</v>
      </c>
      <c r="H1155" cm="1">
        <f t="array" ref="H1155">-isDup(B1155,B1156,0.7)</f>
        <v>0</v>
      </c>
    </row>
    <row r="1156" spans="1:8" x14ac:dyDescent="0.2">
      <c r="A1156" s="3">
        <v>46121.921492997688</v>
      </c>
      <c r="B1156" t="s">
        <v>1353</v>
      </c>
      <c r="C1156" t="s">
        <v>1354</v>
      </c>
      <c r="D1156" t="s">
        <v>1355</v>
      </c>
      <c r="E1156">
        <v>0</v>
      </c>
      <c r="F1156">
        <v>2</v>
      </c>
      <c r="G1156" t="s">
        <v>2</v>
      </c>
      <c r="H1156" cm="1">
        <f t="array" ref="H1156">-isDup(B1156,B1157,0.7)</f>
        <v>0</v>
      </c>
    </row>
    <row r="1157" spans="1:8" x14ac:dyDescent="0.2">
      <c r="A1157" s="3">
        <v>46122.921492997688</v>
      </c>
      <c r="B1157" t="s">
        <v>1356</v>
      </c>
      <c r="C1157" t="s">
        <v>490</v>
      </c>
      <c r="E1157">
        <v>0</v>
      </c>
      <c r="F1157">
        <v>0</v>
      </c>
      <c r="G1157" t="s">
        <v>2</v>
      </c>
      <c r="H1157" cm="1">
        <f t="array" ref="H1157">-isDup(B1157,B1158,0.7)</f>
        <v>0</v>
      </c>
    </row>
    <row r="1158" spans="1:8" x14ac:dyDescent="0.2">
      <c r="A1158" s="3">
        <v>46123.921492997688</v>
      </c>
      <c r="B1158" t="s">
        <v>1357</v>
      </c>
      <c r="C1158" t="s">
        <v>1358</v>
      </c>
      <c r="D1158" t="s">
        <v>1359</v>
      </c>
      <c r="E1158">
        <v>0</v>
      </c>
      <c r="F1158">
        <v>0</v>
      </c>
      <c r="G1158" t="s">
        <v>2</v>
      </c>
      <c r="H1158" cm="1">
        <f t="array" ref="H1158">-isDup(B1158,B1159,0.7)</f>
        <v>0</v>
      </c>
    </row>
    <row r="1159" spans="1:8" x14ac:dyDescent="0.2">
      <c r="A1159" s="3">
        <v>46124.921492997688</v>
      </c>
      <c r="B1159" t="s">
        <v>1360</v>
      </c>
      <c r="C1159" t="s">
        <v>7</v>
      </c>
      <c r="E1159">
        <v>0</v>
      </c>
      <c r="F1159">
        <v>0</v>
      </c>
      <c r="G1159" t="s">
        <v>2</v>
      </c>
      <c r="H1159" cm="1">
        <f t="array" ref="H1159">-isDup(B1159,B1160,0.7)</f>
        <v>0</v>
      </c>
    </row>
    <row r="1160" spans="1:8" x14ac:dyDescent="0.2">
      <c r="A1160" s="3">
        <v>46125.921492997688</v>
      </c>
      <c r="B1160" t="s">
        <v>27</v>
      </c>
      <c r="C1160" t="s">
        <v>12</v>
      </c>
      <c r="D1160" t="s">
        <v>13</v>
      </c>
      <c r="E1160">
        <v>0</v>
      </c>
      <c r="F1160">
        <v>0</v>
      </c>
      <c r="G1160" t="s">
        <v>2</v>
      </c>
      <c r="H1160" cm="1">
        <f t="array" ref="H1160">-isDup(B1160,B1161,0.7)</f>
        <v>0</v>
      </c>
    </row>
    <row r="1161" spans="1:8" x14ac:dyDescent="0.2">
      <c r="A1161" s="3">
        <v>46126.921492997688</v>
      </c>
      <c r="B1161" t="s">
        <v>408</v>
      </c>
      <c r="C1161" t="s">
        <v>1361</v>
      </c>
      <c r="D1161" t="s">
        <v>1362</v>
      </c>
      <c r="E1161">
        <v>4</v>
      </c>
      <c r="F1161">
        <v>15</v>
      </c>
      <c r="G1161" t="s">
        <v>2</v>
      </c>
      <c r="H1161" cm="1">
        <f t="array" ref="H1161">-isDup(B1161,B1162,0.7)</f>
        <v>0</v>
      </c>
    </row>
    <row r="1162" spans="1:8" x14ac:dyDescent="0.2">
      <c r="A1162" s="3">
        <v>46127.921492997688</v>
      </c>
      <c r="B1162" t="s">
        <v>1363</v>
      </c>
      <c r="C1162" t="s">
        <v>1364</v>
      </c>
      <c r="D1162" t="s">
        <v>1365</v>
      </c>
      <c r="E1162">
        <v>0</v>
      </c>
      <c r="F1162">
        <v>0</v>
      </c>
      <c r="G1162" t="s">
        <v>2</v>
      </c>
      <c r="H1162" cm="1">
        <f t="array" ref="H1162">-isDup(B1162,B1163,0.7)</f>
        <v>0</v>
      </c>
    </row>
    <row r="1163" spans="1:8" x14ac:dyDescent="0.2">
      <c r="A1163" s="3">
        <v>46128.921492997688</v>
      </c>
      <c r="B1163" t="s">
        <v>1366</v>
      </c>
      <c r="C1163" t="s">
        <v>1367</v>
      </c>
      <c r="D1163" t="s">
        <v>1368</v>
      </c>
      <c r="E1163">
        <v>0</v>
      </c>
      <c r="F1163">
        <v>10</v>
      </c>
      <c r="G1163" t="s">
        <v>2</v>
      </c>
      <c r="H1163" cm="1">
        <f t="array" ref="H1163">-isDup(B1163,B1164,0.7)</f>
        <v>0</v>
      </c>
    </row>
    <row r="1164" spans="1:8" x14ac:dyDescent="0.2">
      <c r="A1164" s="3">
        <v>46129.921492997688</v>
      </c>
      <c r="B1164" t="s">
        <v>1369</v>
      </c>
      <c r="C1164" t="s">
        <v>1370</v>
      </c>
      <c r="D1164" t="s">
        <v>1107</v>
      </c>
      <c r="E1164">
        <v>5</v>
      </c>
      <c r="F1164">
        <v>5</v>
      </c>
      <c r="G1164" t="s">
        <v>2</v>
      </c>
      <c r="H1164" cm="1">
        <f t="array" ref="H1164">-isDup(B1164,B1165,0.7)</f>
        <v>0</v>
      </c>
    </row>
    <row r="1165" spans="1:8" x14ac:dyDescent="0.2">
      <c r="A1165" s="3">
        <v>46130.921492997688</v>
      </c>
      <c r="B1165" t="s">
        <v>1371</v>
      </c>
      <c r="C1165" t="s">
        <v>1372</v>
      </c>
      <c r="D1165" t="s">
        <v>1373</v>
      </c>
      <c r="E1165">
        <v>0</v>
      </c>
      <c r="F1165">
        <v>0</v>
      </c>
      <c r="G1165" t="s">
        <v>2</v>
      </c>
      <c r="H1165" cm="1">
        <f t="array" ref="H1165">-isDup(B1165,B1166,0.7)</f>
        <v>0</v>
      </c>
    </row>
    <row r="1166" spans="1:8" x14ac:dyDescent="0.2">
      <c r="A1166" s="3">
        <v>46131.921492997688</v>
      </c>
      <c r="B1166" t="s">
        <v>1374</v>
      </c>
      <c r="C1166" t="s">
        <v>1364</v>
      </c>
      <c r="D1166" t="s">
        <v>1365</v>
      </c>
      <c r="E1166">
        <v>0</v>
      </c>
      <c r="F1166">
        <v>0</v>
      </c>
      <c r="G1166" t="s">
        <v>2</v>
      </c>
      <c r="H1166" cm="1">
        <f t="array" ref="H1166">-isDup(B1166,B1167,0.7)</f>
        <v>0</v>
      </c>
    </row>
    <row r="1167" spans="1:8" x14ac:dyDescent="0.2">
      <c r="A1167" s="3">
        <v>46132.921492997688</v>
      </c>
      <c r="B1167" t="s">
        <v>1091</v>
      </c>
      <c r="C1167" t="s">
        <v>378</v>
      </c>
      <c r="E1167">
        <v>0</v>
      </c>
      <c r="F1167">
        <v>0</v>
      </c>
      <c r="G1167" t="s">
        <v>2</v>
      </c>
      <c r="H1167" cm="1">
        <f t="array" ref="H1167">-isDup(B1167,B1168,0.7)</f>
        <v>0</v>
      </c>
    </row>
    <row r="1168" spans="1:8" x14ac:dyDescent="0.2">
      <c r="A1168" s="3">
        <v>46133.921492997688</v>
      </c>
      <c r="B1168" t="s">
        <v>1375</v>
      </c>
      <c r="C1168" t="s">
        <v>7</v>
      </c>
      <c r="E1168">
        <v>0</v>
      </c>
      <c r="F1168">
        <v>0</v>
      </c>
      <c r="G1168" t="s">
        <v>2</v>
      </c>
      <c r="H1168" cm="1">
        <f t="array" ref="H1168">-isDup(B1168,B1169,0.7)</f>
        <v>0</v>
      </c>
    </row>
    <row r="1169" spans="1:8" x14ac:dyDescent="0.2">
      <c r="A1169" s="3">
        <v>46134.921492997688</v>
      </c>
      <c r="B1169" t="s">
        <v>3</v>
      </c>
      <c r="C1169" t="s">
        <v>4</v>
      </c>
      <c r="D1169" t="s">
        <v>5</v>
      </c>
      <c r="E1169">
        <v>0</v>
      </c>
      <c r="F1169">
        <v>0</v>
      </c>
      <c r="G1169" t="s">
        <v>2</v>
      </c>
      <c r="H1169" cm="1">
        <f t="array" ref="H1169">-isDup(B1169,B1170,0.7)</f>
        <v>0</v>
      </c>
    </row>
    <row r="1170" spans="1:8" x14ac:dyDescent="0.2">
      <c r="A1170" s="3">
        <v>46135.921492997688</v>
      </c>
      <c r="B1170" t="s">
        <v>1376</v>
      </c>
      <c r="C1170" t="s">
        <v>710</v>
      </c>
      <c r="D1170" t="s">
        <v>278</v>
      </c>
      <c r="E1170">
        <v>1</v>
      </c>
      <c r="F1170">
        <v>8</v>
      </c>
      <c r="G1170" t="s">
        <v>2</v>
      </c>
      <c r="H1170" cm="1">
        <f t="array" ref="H1170">-isDup(B1170,B1171,0.7)</f>
        <v>0</v>
      </c>
    </row>
    <row r="1171" spans="1:8" x14ac:dyDescent="0.2">
      <c r="A1171" s="3">
        <v>46136.921492997688</v>
      </c>
      <c r="B1171" t="s">
        <v>1377</v>
      </c>
      <c r="C1171" t="s">
        <v>718</v>
      </c>
      <c r="D1171" t="s">
        <v>1378</v>
      </c>
      <c r="E1171">
        <v>0</v>
      </c>
      <c r="F1171">
        <v>0</v>
      </c>
      <c r="G1171" t="s">
        <v>2</v>
      </c>
      <c r="H1171" cm="1">
        <f t="array" ref="H1171">-isDup(B1171,B1172,0.7)</f>
        <v>0</v>
      </c>
    </row>
    <row r="1172" spans="1:8" x14ac:dyDescent="0.2">
      <c r="A1172" s="3">
        <v>46137.921492997688</v>
      </c>
      <c r="B1172" t="s">
        <v>371</v>
      </c>
      <c r="C1172" t="s">
        <v>143</v>
      </c>
      <c r="D1172" t="s">
        <v>129</v>
      </c>
      <c r="E1172">
        <v>0</v>
      </c>
      <c r="F1172">
        <v>0</v>
      </c>
      <c r="G1172" t="s">
        <v>2</v>
      </c>
      <c r="H1172" cm="1">
        <f t="array" ref="H1172">-isDup(B1172,B1173,0.7)</f>
        <v>0</v>
      </c>
    </row>
    <row r="1173" spans="1:8" x14ac:dyDescent="0.2">
      <c r="A1173" s="3">
        <v>46138.921492997688</v>
      </c>
      <c r="B1173" t="s">
        <v>37</v>
      </c>
      <c r="C1173" t="s">
        <v>33</v>
      </c>
      <c r="D1173" t="s">
        <v>34</v>
      </c>
      <c r="E1173">
        <v>0</v>
      </c>
      <c r="F1173">
        <v>0</v>
      </c>
      <c r="G1173" t="s">
        <v>2</v>
      </c>
      <c r="H1173" cm="1">
        <f t="array" ref="H1173">-isDup(B1173,B1174,0.7)</f>
        <v>-1</v>
      </c>
    </row>
    <row r="1174" spans="1:8" x14ac:dyDescent="0.2">
      <c r="A1174" s="3">
        <v>46139.921492997688</v>
      </c>
      <c r="B1174" t="s">
        <v>35</v>
      </c>
      <c r="C1174" t="s">
        <v>33</v>
      </c>
      <c r="D1174" t="s">
        <v>34</v>
      </c>
      <c r="E1174">
        <v>0</v>
      </c>
      <c r="F1174">
        <v>0</v>
      </c>
      <c r="G1174" t="s">
        <v>2</v>
      </c>
      <c r="H1174" cm="1">
        <f t="array" ref="H1174">-isDup(B1174,B1175,0.7)</f>
        <v>0</v>
      </c>
    </row>
    <row r="1175" spans="1:8" x14ac:dyDescent="0.2">
      <c r="A1175" s="3">
        <v>46140.921492997688</v>
      </c>
      <c r="B1175" t="s">
        <v>36</v>
      </c>
      <c r="C1175" t="s">
        <v>33</v>
      </c>
      <c r="D1175" t="s">
        <v>34</v>
      </c>
      <c r="E1175">
        <v>0</v>
      </c>
      <c r="F1175">
        <v>0</v>
      </c>
      <c r="G1175" t="s">
        <v>2</v>
      </c>
      <c r="H1175" cm="1">
        <f t="array" ref="H1175">-isDup(B1175,B1176,0.7)</f>
        <v>0</v>
      </c>
    </row>
    <row r="1176" spans="1:8" x14ac:dyDescent="0.2">
      <c r="A1176" s="3">
        <v>46141.921492997688</v>
      </c>
      <c r="B1176" t="s">
        <v>1379</v>
      </c>
      <c r="C1176" t="s">
        <v>33</v>
      </c>
      <c r="D1176" t="s">
        <v>34</v>
      </c>
      <c r="E1176">
        <v>0</v>
      </c>
      <c r="F1176">
        <v>0</v>
      </c>
      <c r="G1176" t="s">
        <v>2</v>
      </c>
      <c r="H1176" cm="1">
        <f t="array" ref="H1176">-isDup(B1176,B1177,0.7)</f>
        <v>0</v>
      </c>
    </row>
    <row r="1177" spans="1:8" x14ac:dyDescent="0.2">
      <c r="A1177" s="3">
        <v>46142.921492997688</v>
      </c>
      <c r="B1177" t="s">
        <v>1380</v>
      </c>
      <c r="C1177" t="s">
        <v>1043</v>
      </c>
      <c r="D1177" t="s">
        <v>1381</v>
      </c>
      <c r="E1177">
        <v>0</v>
      </c>
      <c r="F1177">
        <v>0</v>
      </c>
      <c r="G1177" t="s">
        <v>2</v>
      </c>
      <c r="H1177" cm="1">
        <f t="array" ref="H1177">-isDup(B1177,B1178,0.7)</f>
        <v>0</v>
      </c>
    </row>
    <row r="1178" spans="1:8" x14ac:dyDescent="0.2">
      <c r="A1178" s="3">
        <v>46143.921492997688</v>
      </c>
      <c r="B1178" t="s">
        <v>141</v>
      </c>
      <c r="C1178" t="s">
        <v>143</v>
      </c>
      <c r="D1178" t="s">
        <v>129</v>
      </c>
      <c r="E1178">
        <v>0</v>
      </c>
      <c r="F1178">
        <v>0</v>
      </c>
      <c r="G1178" t="s">
        <v>2</v>
      </c>
      <c r="H1178" cm="1">
        <f t="array" ref="H1178">-isDup(B1178,B1179,0.7)</f>
        <v>0</v>
      </c>
    </row>
    <row r="1179" spans="1:8" x14ac:dyDescent="0.2">
      <c r="A1179" s="3">
        <v>46144.921492997688</v>
      </c>
      <c r="B1179" t="s">
        <v>1382</v>
      </c>
      <c r="C1179" t="s">
        <v>1383</v>
      </c>
      <c r="D1179" t="s">
        <v>1384</v>
      </c>
      <c r="E1179">
        <v>1</v>
      </c>
      <c r="F1179">
        <v>0</v>
      </c>
      <c r="G1179" t="s">
        <v>2</v>
      </c>
      <c r="H1179" cm="1">
        <f t="array" ref="H1179">-isDup(B1179,B1180,0.7)</f>
        <v>0</v>
      </c>
    </row>
    <row r="1180" spans="1:8" x14ac:dyDescent="0.2">
      <c r="A1180" s="3">
        <v>46145.921492997688</v>
      </c>
      <c r="B1180" t="s">
        <v>1385</v>
      </c>
      <c r="C1180" t="s">
        <v>134</v>
      </c>
      <c r="D1180" t="s">
        <v>1386</v>
      </c>
      <c r="E1180">
        <v>0</v>
      </c>
      <c r="F1180">
        <v>0</v>
      </c>
      <c r="G1180" t="s">
        <v>2</v>
      </c>
      <c r="H1180" cm="1">
        <f t="array" ref="H1180">-isDup(B1180,B1181,0.7)</f>
        <v>0</v>
      </c>
    </row>
    <row r="1181" spans="1:8" x14ac:dyDescent="0.2">
      <c r="A1181" s="3">
        <v>46146.921492997688</v>
      </c>
      <c r="B1181" t="s">
        <v>1387</v>
      </c>
      <c r="C1181" t="s">
        <v>1388</v>
      </c>
      <c r="D1181" t="s">
        <v>721</v>
      </c>
      <c r="E1181">
        <v>0</v>
      </c>
      <c r="F1181">
        <v>0</v>
      </c>
      <c r="G1181" t="s">
        <v>2</v>
      </c>
      <c r="H1181" cm="1">
        <f t="array" ref="H1181">-isDup(B1181,B1182,0.7)</f>
        <v>0</v>
      </c>
    </row>
    <row r="1182" spans="1:8" x14ac:dyDescent="0.2">
      <c r="A1182" s="3">
        <v>46147.921492997688</v>
      </c>
      <c r="B1182" t="s">
        <v>1389</v>
      </c>
      <c r="C1182" t="s">
        <v>526</v>
      </c>
      <c r="D1182" t="s">
        <v>1390</v>
      </c>
      <c r="E1182">
        <v>0</v>
      </c>
      <c r="F1182">
        <v>0</v>
      </c>
      <c r="G1182" t="s">
        <v>2</v>
      </c>
      <c r="H1182" cm="1">
        <f t="array" ref="H1182">-isDup(B1182,B1183,0.7)</f>
        <v>0</v>
      </c>
    </row>
    <row r="1183" spans="1:8" x14ac:dyDescent="0.2">
      <c r="A1183" s="3">
        <v>46148.921492997688</v>
      </c>
      <c r="B1183" t="s">
        <v>1391</v>
      </c>
      <c r="C1183" t="s">
        <v>1364</v>
      </c>
      <c r="D1183" t="s">
        <v>1365</v>
      </c>
      <c r="E1183">
        <v>0</v>
      </c>
      <c r="F1183">
        <v>0</v>
      </c>
      <c r="G1183" t="s">
        <v>2</v>
      </c>
      <c r="H1183" cm="1">
        <f t="array" ref="H1183">-isDup(B1183,B1184,0.7)</f>
        <v>0</v>
      </c>
    </row>
    <row r="1184" spans="1:8" x14ac:dyDescent="0.2">
      <c r="A1184" s="3">
        <v>46149.921492997688</v>
      </c>
      <c r="B1184" t="s">
        <v>1392</v>
      </c>
      <c r="C1184" t="s">
        <v>643</v>
      </c>
      <c r="E1184">
        <v>0</v>
      </c>
      <c r="F1184">
        <v>0</v>
      </c>
      <c r="G1184" t="s">
        <v>2</v>
      </c>
      <c r="H1184" cm="1">
        <f t="array" ref="H1184">-isDup(B1184,B1185,0.7)</f>
        <v>0</v>
      </c>
    </row>
    <row r="1185" spans="1:8" x14ac:dyDescent="0.2">
      <c r="A1185" s="3">
        <v>46150.921492997688</v>
      </c>
      <c r="B1185" t="s">
        <v>1393</v>
      </c>
      <c r="C1185" t="s">
        <v>7</v>
      </c>
      <c r="E1185">
        <v>0</v>
      </c>
      <c r="F1185">
        <v>0</v>
      </c>
      <c r="G1185" t="s">
        <v>2</v>
      </c>
      <c r="H1185" cm="1">
        <f t="array" ref="H1185">-isDup(B1185,B1186,0.7)</f>
        <v>0</v>
      </c>
    </row>
    <row r="1186" spans="1:8" x14ac:dyDescent="0.2">
      <c r="A1186" s="3">
        <v>46151.921492997688</v>
      </c>
      <c r="B1186" t="s">
        <v>824</v>
      </c>
      <c r="C1186" t="s">
        <v>825</v>
      </c>
      <c r="E1186">
        <v>0</v>
      </c>
      <c r="F1186">
        <v>0</v>
      </c>
      <c r="G1186" t="s">
        <v>2</v>
      </c>
      <c r="H1186" cm="1">
        <f t="array" ref="H1186">-isDup(B1186,B1187,0.7)</f>
        <v>0</v>
      </c>
    </row>
    <row r="1187" spans="1:8" x14ac:dyDescent="0.2">
      <c r="A1187" s="3">
        <v>46152.921492997688</v>
      </c>
      <c r="B1187" t="s">
        <v>1394</v>
      </c>
      <c r="C1187" t="s">
        <v>1395</v>
      </c>
      <c r="D1187" t="s">
        <v>1396</v>
      </c>
      <c r="E1187">
        <v>3</v>
      </c>
      <c r="F1187">
        <v>7</v>
      </c>
      <c r="G1187" t="s">
        <v>2</v>
      </c>
      <c r="H1187" cm="1">
        <f t="array" ref="H1187">-isDup(B1187,B1188,0.7)</f>
        <v>0</v>
      </c>
    </row>
    <row r="1188" spans="1:8" x14ac:dyDescent="0.2">
      <c r="A1188" s="3">
        <v>46153.921492997688</v>
      </c>
      <c r="B1188" t="s">
        <v>1397</v>
      </c>
      <c r="C1188" t="s">
        <v>1398</v>
      </c>
      <c r="D1188" t="s">
        <v>1399</v>
      </c>
      <c r="E1188">
        <v>0</v>
      </c>
      <c r="F1188">
        <v>0</v>
      </c>
      <c r="G1188" t="s">
        <v>2</v>
      </c>
      <c r="H1188" cm="1">
        <f t="array" ref="H1188">-isDup(B1188,B1189,0.7)</f>
        <v>0</v>
      </c>
    </row>
    <row r="1189" spans="1:8" x14ac:dyDescent="0.2">
      <c r="A1189" s="3">
        <v>46154.921492997688</v>
      </c>
      <c r="B1189" t="s">
        <v>218</v>
      </c>
      <c r="C1189" t="s">
        <v>22</v>
      </c>
      <c r="E1189">
        <v>0</v>
      </c>
      <c r="F1189">
        <v>0</v>
      </c>
      <c r="G1189" t="s">
        <v>2</v>
      </c>
      <c r="H1189" cm="1">
        <f t="array" ref="H1189">-isDup(B1189,B1190,0.7)</f>
        <v>0</v>
      </c>
    </row>
    <row r="1190" spans="1:8" x14ac:dyDescent="0.2">
      <c r="A1190" s="3">
        <v>46155.921492997688</v>
      </c>
      <c r="B1190" t="s">
        <v>1400</v>
      </c>
      <c r="C1190" t="s">
        <v>1364</v>
      </c>
      <c r="D1190" t="s">
        <v>1365</v>
      </c>
      <c r="E1190">
        <v>0</v>
      </c>
      <c r="F1190">
        <v>1</v>
      </c>
      <c r="G1190" t="s">
        <v>2</v>
      </c>
      <c r="H1190" cm="1">
        <f t="array" ref="H1190">-isDup(B1190,B1191,0.7)</f>
        <v>0</v>
      </c>
    </row>
    <row r="1191" spans="1:8" x14ac:dyDescent="0.2">
      <c r="A1191" s="3">
        <v>46156.921492997688</v>
      </c>
      <c r="B1191" t="s">
        <v>1401</v>
      </c>
      <c r="C1191" t="s">
        <v>7</v>
      </c>
      <c r="E1191">
        <v>1</v>
      </c>
      <c r="F1191">
        <v>1</v>
      </c>
      <c r="G1191" t="s">
        <v>2</v>
      </c>
      <c r="H1191" cm="1">
        <f t="array" ref="H1191">-isDup(B1191,B1192,0.7)</f>
        <v>0</v>
      </c>
    </row>
    <row r="1192" spans="1:8" x14ac:dyDescent="0.2">
      <c r="A1192" s="3">
        <v>46157.921492997688</v>
      </c>
      <c r="B1192" t="s">
        <v>414</v>
      </c>
      <c r="C1192" t="s">
        <v>1240</v>
      </c>
      <c r="E1192">
        <v>0</v>
      </c>
      <c r="F1192">
        <v>0</v>
      </c>
      <c r="G1192" t="s">
        <v>2</v>
      </c>
      <c r="H1192" cm="1">
        <f t="array" ref="H1192">-isDup(B1192,B1193,0.7)</f>
        <v>0</v>
      </c>
    </row>
    <row r="1193" spans="1:8" x14ac:dyDescent="0.2">
      <c r="A1193" s="3">
        <v>46158.921492997688</v>
      </c>
      <c r="B1193" t="s">
        <v>1402</v>
      </c>
      <c r="C1193" t="s">
        <v>1403</v>
      </c>
      <c r="E1193">
        <v>0</v>
      </c>
      <c r="F1193">
        <v>0</v>
      </c>
      <c r="G1193" t="s">
        <v>2</v>
      </c>
      <c r="H1193" cm="1">
        <f t="array" ref="H1193">-isDup(B1193,B1194,0.7)</f>
        <v>0</v>
      </c>
    </row>
    <row r="1194" spans="1:8" x14ac:dyDescent="0.2">
      <c r="A1194" s="3">
        <v>46159.921492997688</v>
      </c>
      <c r="B1194" t="s">
        <v>1404</v>
      </c>
      <c r="C1194" t="s">
        <v>695</v>
      </c>
      <c r="D1194" t="s">
        <v>1405</v>
      </c>
      <c r="E1194">
        <v>0</v>
      </c>
      <c r="F1194">
        <v>2</v>
      </c>
      <c r="G1194" t="s">
        <v>2</v>
      </c>
      <c r="H1194" cm="1">
        <f t="array" ref="H1194">-isDup(B1194,B1195,0.7)</f>
        <v>0</v>
      </c>
    </row>
    <row r="1195" spans="1:8" x14ac:dyDescent="0.2">
      <c r="A1195" s="3">
        <v>46160.921492997688</v>
      </c>
      <c r="B1195" t="s">
        <v>1406</v>
      </c>
      <c r="C1195" t="s">
        <v>1130</v>
      </c>
      <c r="D1195" t="s">
        <v>291</v>
      </c>
      <c r="E1195">
        <v>0</v>
      </c>
      <c r="F1195">
        <v>0</v>
      </c>
      <c r="G1195" t="s">
        <v>2</v>
      </c>
      <c r="H1195" cm="1">
        <f t="array" ref="H1195">-isDup(B1195,B1196,0.7)</f>
        <v>0</v>
      </c>
    </row>
    <row r="1196" spans="1:8" x14ac:dyDescent="0.2">
      <c r="A1196" s="3">
        <v>46161.921492997688</v>
      </c>
      <c r="B1196" t="s">
        <v>1407</v>
      </c>
      <c r="C1196" t="s">
        <v>986</v>
      </c>
      <c r="D1196" t="s">
        <v>55</v>
      </c>
      <c r="E1196">
        <v>0</v>
      </c>
      <c r="F1196">
        <v>0</v>
      </c>
      <c r="G1196" t="s">
        <v>2</v>
      </c>
      <c r="H1196" cm="1">
        <f t="array" ref="H1196">-isDup(B1196,B1197,0.7)</f>
        <v>0</v>
      </c>
    </row>
    <row r="1197" spans="1:8" x14ac:dyDescent="0.2">
      <c r="A1197" s="3">
        <v>46162.921492997688</v>
      </c>
      <c r="B1197" t="s">
        <v>228</v>
      </c>
      <c r="C1197" t="s">
        <v>33</v>
      </c>
      <c r="D1197" t="s">
        <v>34</v>
      </c>
      <c r="E1197">
        <v>0</v>
      </c>
      <c r="F1197">
        <v>0</v>
      </c>
      <c r="G1197" t="s">
        <v>2</v>
      </c>
      <c r="H1197" cm="1">
        <f t="array" ref="H1197">-isDup(B1197,B1198,0.7)</f>
        <v>0</v>
      </c>
    </row>
    <row r="1198" spans="1:8" x14ac:dyDescent="0.2">
      <c r="A1198" s="3">
        <v>46163.921492997688</v>
      </c>
      <c r="B1198" t="s">
        <v>226</v>
      </c>
      <c r="C1198" t="s">
        <v>33</v>
      </c>
      <c r="D1198" t="s">
        <v>34</v>
      </c>
      <c r="E1198">
        <v>0</v>
      </c>
      <c r="F1198">
        <v>0</v>
      </c>
      <c r="G1198" t="s">
        <v>2</v>
      </c>
      <c r="H1198" cm="1">
        <f t="array" ref="H1198">-isDup(B1198,B1199,0.7)</f>
        <v>0</v>
      </c>
    </row>
    <row r="1199" spans="1:8" x14ac:dyDescent="0.2">
      <c r="A1199" s="3">
        <v>46164.921492997688</v>
      </c>
      <c r="B1199" t="s">
        <v>225</v>
      </c>
      <c r="C1199" t="s">
        <v>33</v>
      </c>
      <c r="D1199" t="s">
        <v>34</v>
      </c>
      <c r="E1199">
        <v>0</v>
      </c>
      <c r="F1199">
        <v>0</v>
      </c>
      <c r="G1199" t="s">
        <v>2</v>
      </c>
      <c r="H1199" cm="1">
        <f t="array" ref="H1199">-isDup(B1199,B1200,0.7)</f>
        <v>0</v>
      </c>
    </row>
    <row r="1200" spans="1:8" x14ac:dyDescent="0.2">
      <c r="A1200" s="3">
        <v>46165.921492997688</v>
      </c>
      <c r="B1200" t="s">
        <v>231</v>
      </c>
      <c r="C1200" t="s">
        <v>33</v>
      </c>
      <c r="D1200" t="s">
        <v>34</v>
      </c>
      <c r="E1200">
        <v>0</v>
      </c>
      <c r="F1200">
        <v>0</v>
      </c>
      <c r="G1200" t="s">
        <v>2</v>
      </c>
      <c r="H1200" cm="1">
        <f t="array" ref="H1200">-isDup(B1200,B1201,0.7)</f>
        <v>0</v>
      </c>
    </row>
    <row r="1201" spans="1:8" x14ac:dyDescent="0.2">
      <c r="A1201" s="3">
        <v>46166.921492997688</v>
      </c>
      <c r="B1201" t="s">
        <v>229</v>
      </c>
      <c r="C1201" t="s">
        <v>33</v>
      </c>
      <c r="D1201" t="s">
        <v>34</v>
      </c>
      <c r="E1201">
        <v>0</v>
      </c>
      <c r="F1201">
        <v>0</v>
      </c>
      <c r="G1201" t="s">
        <v>2</v>
      </c>
      <c r="H1201" cm="1">
        <f t="array" ref="H1201">-isDup(B1201,B1202,0.7)</f>
        <v>0</v>
      </c>
    </row>
    <row r="1202" spans="1:8" x14ac:dyDescent="0.2">
      <c r="A1202" s="3">
        <v>46167.921492997688</v>
      </c>
      <c r="B1202" t="s">
        <v>227</v>
      </c>
      <c r="C1202" t="s">
        <v>33</v>
      </c>
      <c r="D1202" t="s">
        <v>34</v>
      </c>
      <c r="E1202">
        <v>0</v>
      </c>
      <c r="F1202">
        <v>0</v>
      </c>
      <c r="G1202" t="s">
        <v>2</v>
      </c>
      <c r="H1202" cm="1">
        <f t="array" ref="H1202">-isDup(B1202,B1203,0.7)</f>
        <v>0</v>
      </c>
    </row>
    <row r="1203" spans="1:8" x14ac:dyDescent="0.2">
      <c r="A1203" s="3">
        <v>46168.921492997688</v>
      </c>
      <c r="B1203" t="s">
        <v>224</v>
      </c>
      <c r="C1203" t="s">
        <v>33</v>
      </c>
      <c r="D1203" t="s">
        <v>34</v>
      </c>
      <c r="E1203">
        <v>0</v>
      </c>
      <c r="F1203">
        <v>0</v>
      </c>
      <c r="G1203" t="s">
        <v>2</v>
      </c>
      <c r="H1203" cm="1">
        <f t="array" ref="H1203">-isDup(B1203,B1204,0.7)</f>
        <v>0</v>
      </c>
    </row>
    <row r="1204" spans="1:8" x14ac:dyDescent="0.2">
      <c r="A1204" s="3">
        <v>46169.921492997688</v>
      </c>
      <c r="B1204" t="s">
        <v>230</v>
      </c>
      <c r="C1204" t="s">
        <v>33</v>
      </c>
      <c r="D1204" t="s">
        <v>34</v>
      </c>
      <c r="E1204">
        <v>0</v>
      </c>
      <c r="F1204">
        <v>0</v>
      </c>
      <c r="G1204" t="s">
        <v>2</v>
      </c>
      <c r="H1204" cm="1">
        <f t="array" ref="H1204">-isDup(B1204,B1205,0.7)</f>
        <v>0</v>
      </c>
    </row>
    <row r="1205" spans="1:8" x14ac:dyDescent="0.2">
      <c r="A1205" s="3">
        <v>46170.921492997688</v>
      </c>
      <c r="B1205" t="s">
        <v>1408</v>
      </c>
      <c r="C1205" t="s">
        <v>1124</v>
      </c>
      <c r="D1205" t="s">
        <v>1409</v>
      </c>
      <c r="E1205">
        <v>0</v>
      </c>
      <c r="F1205">
        <v>3</v>
      </c>
      <c r="G1205" t="s">
        <v>2</v>
      </c>
      <c r="H1205" cm="1">
        <f t="array" ref="H1205">-isDup(B1205,B1206,0.7)</f>
        <v>0</v>
      </c>
    </row>
    <row r="1206" spans="1:8" x14ac:dyDescent="0.2">
      <c r="A1206" s="3">
        <v>46171.921492997688</v>
      </c>
      <c r="B1206" t="s">
        <v>1410</v>
      </c>
      <c r="C1206" t="s">
        <v>1411</v>
      </c>
      <c r="E1206">
        <v>1</v>
      </c>
      <c r="F1206">
        <v>1</v>
      </c>
      <c r="G1206" t="s">
        <v>2</v>
      </c>
      <c r="H1206" cm="1">
        <f t="array" ref="H1206">-isDup(B1206,B1207,0.7)</f>
        <v>0</v>
      </c>
    </row>
    <row r="1207" spans="1:8" x14ac:dyDescent="0.2">
      <c r="A1207" s="3">
        <v>46172.921492997688</v>
      </c>
      <c r="B1207" t="s">
        <v>1412</v>
      </c>
      <c r="C1207" t="s">
        <v>1413</v>
      </c>
      <c r="D1207" t="s">
        <v>203</v>
      </c>
      <c r="E1207">
        <v>0</v>
      </c>
      <c r="F1207">
        <v>1</v>
      </c>
      <c r="G1207" t="s">
        <v>2</v>
      </c>
      <c r="H1207" cm="1">
        <f t="array" ref="H1207">-isDup(B1207,B1208,0.7)</f>
        <v>0</v>
      </c>
    </row>
    <row r="1208" spans="1:8" x14ac:dyDescent="0.2">
      <c r="A1208" s="3">
        <v>46173.921492997688</v>
      </c>
      <c r="B1208" t="s">
        <v>1414</v>
      </c>
      <c r="C1208" t="s">
        <v>1415</v>
      </c>
      <c r="D1208" t="s">
        <v>1416</v>
      </c>
      <c r="E1208">
        <v>0</v>
      </c>
      <c r="F1208">
        <v>0</v>
      </c>
      <c r="G1208" t="s">
        <v>2</v>
      </c>
      <c r="H1208" cm="1">
        <f t="array" ref="H1208">-isDup(B1208,B1209,0.7)</f>
        <v>0</v>
      </c>
    </row>
    <row r="1209" spans="1:8" x14ac:dyDescent="0.2">
      <c r="A1209" s="3">
        <v>46174.921492997688</v>
      </c>
      <c r="B1209" t="s">
        <v>1417</v>
      </c>
      <c r="C1209" t="s">
        <v>640</v>
      </c>
      <c r="D1209" t="s">
        <v>55</v>
      </c>
      <c r="E1209">
        <v>0</v>
      </c>
      <c r="F1209">
        <v>2</v>
      </c>
      <c r="G1209" t="s">
        <v>2</v>
      </c>
      <c r="H1209" cm="1">
        <f t="array" ref="H1209">-isDup(B1209,B1210,0.7)</f>
        <v>0</v>
      </c>
    </row>
    <row r="1210" spans="1:8" x14ac:dyDescent="0.2">
      <c r="A1210" s="3">
        <v>46175.921492997688</v>
      </c>
      <c r="B1210" t="s">
        <v>3</v>
      </c>
      <c r="C1210" t="s">
        <v>4</v>
      </c>
      <c r="D1210" t="s">
        <v>5</v>
      </c>
      <c r="E1210">
        <v>0</v>
      </c>
      <c r="F1210">
        <v>0</v>
      </c>
      <c r="G1210" t="s">
        <v>2</v>
      </c>
      <c r="H1210" cm="1">
        <f t="array" ref="H1210">-isDup(B1210,B1211,0.7)</f>
        <v>0</v>
      </c>
    </row>
    <row r="1211" spans="1:8" x14ac:dyDescent="0.2">
      <c r="A1211" s="3">
        <v>46176.921492997688</v>
      </c>
      <c r="B1211" t="s">
        <v>1418</v>
      </c>
      <c r="C1211" t="s">
        <v>1043</v>
      </c>
      <c r="D1211" t="s">
        <v>1381</v>
      </c>
      <c r="E1211">
        <v>0</v>
      </c>
      <c r="F1211">
        <v>1</v>
      </c>
      <c r="G1211" t="s">
        <v>2</v>
      </c>
      <c r="H1211" cm="1">
        <f t="array" ref="H1211">-isDup(B1211,B1212,0.7)</f>
        <v>0</v>
      </c>
    </row>
    <row r="1212" spans="1:8" x14ac:dyDescent="0.2">
      <c r="A1212" s="3">
        <v>46177.921492997688</v>
      </c>
      <c r="B1212" t="s">
        <v>1419</v>
      </c>
      <c r="C1212" t="s">
        <v>887</v>
      </c>
      <c r="E1212">
        <v>0</v>
      </c>
      <c r="F1212">
        <v>0</v>
      </c>
      <c r="G1212" t="s">
        <v>2</v>
      </c>
      <c r="H1212" cm="1">
        <f t="array" ref="H1212">-isDup(B1212,B1213,0.7)</f>
        <v>0</v>
      </c>
    </row>
    <row r="1213" spans="1:8" x14ac:dyDescent="0.2">
      <c r="A1213" s="3">
        <v>46178.921492997688</v>
      </c>
      <c r="B1213" t="s">
        <v>1420</v>
      </c>
      <c r="C1213" t="s">
        <v>891</v>
      </c>
      <c r="D1213" t="s">
        <v>892</v>
      </c>
      <c r="E1213">
        <v>0</v>
      </c>
      <c r="F1213">
        <v>0</v>
      </c>
      <c r="G1213" t="s">
        <v>2</v>
      </c>
      <c r="H1213" cm="1">
        <f t="array" ref="H1213">-isDup(B1213,B1214,0.7)</f>
        <v>0</v>
      </c>
    </row>
    <row r="1214" spans="1:8" x14ac:dyDescent="0.2">
      <c r="A1214" s="3">
        <v>46179.921492997688</v>
      </c>
      <c r="B1214" t="s">
        <v>1421</v>
      </c>
      <c r="C1214" t="s">
        <v>1422</v>
      </c>
      <c r="D1214" t="s">
        <v>1423</v>
      </c>
      <c r="E1214">
        <v>1</v>
      </c>
      <c r="F1214">
        <v>2</v>
      </c>
      <c r="G1214" t="s">
        <v>2</v>
      </c>
      <c r="H1214" cm="1">
        <f t="array" ref="H1214">-isDup(B1214,B1215,0.7)</f>
        <v>0</v>
      </c>
    </row>
    <row r="1215" spans="1:8" x14ac:dyDescent="0.2">
      <c r="A1215" s="3">
        <v>46180.921492997688</v>
      </c>
      <c r="B1215" t="s">
        <v>1424</v>
      </c>
      <c r="C1215" t="s">
        <v>1364</v>
      </c>
      <c r="D1215" t="s">
        <v>1365</v>
      </c>
      <c r="E1215">
        <v>0</v>
      </c>
      <c r="F1215">
        <v>0</v>
      </c>
      <c r="G1215" t="s">
        <v>2</v>
      </c>
      <c r="H1215" cm="1">
        <f t="array" ref="H1215">-isDup(B1215,B1216,0.7)</f>
        <v>0</v>
      </c>
    </row>
    <row r="1216" spans="1:8" x14ac:dyDescent="0.2">
      <c r="A1216" s="3">
        <v>46181.921492997688</v>
      </c>
      <c r="B1216" t="s">
        <v>1425</v>
      </c>
      <c r="C1216" t="s">
        <v>128</v>
      </c>
      <c r="D1216" t="s">
        <v>129</v>
      </c>
      <c r="E1216">
        <v>0</v>
      </c>
      <c r="F1216">
        <v>0</v>
      </c>
      <c r="G1216" t="s">
        <v>2</v>
      </c>
      <c r="H1216" cm="1">
        <f t="array" ref="H1216">-isDup(B1216,B1217,0.7)</f>
        <v>0</v>
      </c>
    </row>
    <row r="1217" spans="1:8" x14ac:dyDescent="0.2">
      <c r="A1217" s="3">
        <v>46182.921492997688</v>
      </c>
      <c r="B1217" t="s">
        <v>1426</v>
      </c>
      <c r="C1217" t="s">
        <v>1427</v>
      </c>
      <c r="D1217" t="s">
        <v>1428</v>
      </c>
      <c r="E1217">
        <v>0</v>
      </c>
      <c r="F1217">
        <v>0</v>
      </c>
      <c r="G1217" t="s">
        <v>2</v>
      </c>
      <c r="H1217" cm="1">
        <f t="array" ref="H1217">-isDup(B1217,B1218,0.7)</f>
        <v>0</v>
      </c>
    </row>
    <row r="1218" spans="1:8" x14ac:dyDescent="0.2">
      <c r="A1218" s="3">
        <v>46183.921492997688</v>
      </c>
      <c r="B1218" t="s">
        <v>1429</v>
      </c>
      <c r="C1218" t="s">
        <v>1430</v>
      </c>
      <c r="E1218">
        <v>0</v>
      </c>
      <c r="F1218">
        <v>0</v>
      </c>
      <c r="G1218" t="s">
        <v>2</v>
      </c>
      <c r="H1218" cm="1">
        <f t="array" ref="H1218">-isDup(B1218,B1219,0.7)</f>
        <v>0</v>
      </c>
    </row>
    <row r="1219" spans="1:8" x14ac:dyDescent="0.2">
      <c r="A1219" s="3">
        <v>46184.921492997688</v>
      </c>
      <c r="B1219" t="s">
        <v>1431</v>
      </c>
      <c r="C1219" t="s">
        <v>1069</v>
      </c>
      <c r="E1219">
        <v>0</v>
      </c>
      <c r="F1219">
        <v>1</v>
      </c>
      <c r="G1219" t="s">
        <v>2</v>
      </c>
      <c r="H1219" cm="1">
        <f t="array" ref="H1219">-isDup(B1219,B1220,0.7)</f>
        <v>0</v>
      </c>
    </row>
    <row r="1220" spans="1:8" x14ac:dyDescent="0.2">
      <c r="A1220" s="3">
        <v>46185.921492997688</v>
      </c>
      <c r="B1220" t="s">
        <v>1432</v>
      </c>
      <c r="C1220" t="s">
        <v>1364</v>
      </c>
      <c r="D1220" t="s">
        <v>1365</v>
      </c>
      <c r="E1220">
        <v>0</v>
      </c>
      <c r="F1220">
        <v>0</v>
      </c>
      <c r="G1220" t="s">
        <v>2</v>
      </c>
      <c r="H1220" cm="1">
        <f t="array" ref="H1220">-isDup(B1220,B1221,0.7)</f>
        <v>0</v>
      </c>
    </row>
    <row r="1221" spans="1:8" x14ac:dyDescent="0.2">
      <c r="A1221" s="3">
        <v>46186.921492997688</v>
      </c>
      <c r="B1221" t="s">
        <v>396</v>
      </c>
      <c r="C1221" t="s">
        <v>143</v>
      </c>
      <c r="D1221" t="s">
        <v>129</v>
      </c>
      <c r="E1221">
        <v>0</v>
      </c>
      <c r="F1221">
        <v>0</v>
      </c>
      <c r="G1221" t="s">
        <v>2</v>
      </c>
      <c r="H1221" cm="1">
        <f t="array" ref="H1221">-isDup(B1221,B1222,0.7)</f>
        <v>-1</v>
      </c>
    </row>
    <row r="1222" spans="1:8" x14ac:dyDescent="0.2">
      <c r="A1222" s="3">
        <v>46187.921492997688</v>
      </c>
      <c r="B1222" t="s">
        <v>396</v>
      </c>
      <c r="C1222" t="s">
        <v>128</v>
      </c>
      <c r="D1222" t="s">
        <v>129</v>
      </c>
      <c r="E1222">
        <v>0</v>
      </c>
      <c r="F1222">
        <v>0</v>
      </c>
      <c r="G1222" t="s">
        <v>2</v>
      </c>
      <c r="H1222" cm="1">
        <f t="array" ref="H1222">-isDup(B1222,B1223,0.7)</f>
        <v>0</v>
      </c>
    </row>
    <row r="1223" spans="1:8" x14ac:dyDescent="0.2">
      <c r="A1223" s="3">
        <v>46188.921492997688</v>
      </c>
      <c r="B1223" t="s">
        <v>37</v>
      </c>
      <c r="C1223" t="s">
        <v>33</v>
      </c>
      <c r="D1223" t="s">
        <v>34</v>
      </c>
      <c r="E1223">
        <v>0</v>
      </c>
      <c r="F1223">
        <v>0</v>
      </c>
      <c r="G1223" t="s">
        <v>2</v>
      </c>
      <c r="H1223" cm="1">
        <f t="array" ref="H1223">-isDup(B1223,B1224,0.7)</f>
        <v>0</v>
      </c>
    </row>
    <row r="1224" spans="1:8" x14ac:dyDescent="0.2">
      <c r="A1224" s="3">
        <v>46189.921492997688</v>
      </c>
      <c r="B1224" t="s">
        <v>36</v>
      </c>
      <c r="C1224" t="s">
        <v>33</v>
      </c>
      <c r="D1224" t="s">
        <v>34</v>
      </c>
      <c r="E1224">
        <v>0</v>
      </c>
      <c r="F1224">
        <v>0</v>
      </c>
      <c r="G1224" t="s">
        <v>2</v>
      </c>
      <c r="H1224" cm="1">
        <f t="array" ref="H1224">-isDup(B1224,B1225,0.7)</f>
        <v>0</v>
      </c>
    </row>
    <row r="1225" spans="1:8" x14ac:dyDescent="0.2">
      <c r="A1225" s="3">
        <v>46190.921492997688</v>
      </c>
      <c r="B1225" t="s">
        <v>1433</v>
      </c>
      <c r="C1225" t="s">
        <v>33</v>
      </c>
      <c r="D1225" t="s">
        <v>34</v>
      </c>
      <c r="E1225">
        <v>0</v>
      </c>
      <c r="F1225">
        <v>0</v>
      </c>
      <c r="G1225" t="s">
        <v>2</v>
      </c>
      <c r="H1225" cm="1">
        <f t="array" ref="H1225">-isDup(B1225,B1226,0.7)</f>
        <v>0</v>
      </c>
    </row>
    <row r="1226" spans="1:8" x14ac:dyDescent="0.2">
      <c r="A1226" s="3">
        <v>46191.921492997688</v>
      </c>
      <c r="B1226" t="s">
        <v>35</v>
      </c>
      <c r="C1226" t="s">
        <v>33</v>
      </c>
      <c r="D1226" t="s">
        <v>34</v>
      </c>
      <c r="E1226">
        <v>0</v>
      </c>
      <c r="F1226">
        <v>0</v>
      </c>
      <c r="G1226" t="s">
        <v>2</v>
      </c>
      <c r="H1226" cm="1">
        <f t="array" ref="H1226">-isDup(B1226,B1227,0.7)</f>
        <v>0</v>
      </c>
    </row>
    <row r="1227" spans="1:8" x14ac:dyDescent="0.2">
      <c r="A1227" s="3">
        <v>46192.921492997688</v>
      </c>
      <c r="B1227" t="s">
        <v>1434</v>
      </c>
      <c r="C1227" t="s">
        <v>1435</v>
      </c>
      <c r="E1227">
        <v>0</v>
      </c>
      <c r="F1227">
        <v>0</v>
      </c>
      <c r="G1227" t="s">
        <v>2</v>
      </c>
      <c r="H1227" cm="1">
        <f t="array" ref="H1227">-isDup(B1227,B1228,0.7)</f>
        <v>0</v>
      </c>
    </row>
    <row r="1228" spans="1:8" x14ac:dyDescent="0.2">
      <c r="A1228" s="3">
        <v>46193.921492997688</v>
      </c>
      <c r="B1228" t="s">
        <v>1436</v>
      </c>
      <c r="C1228" t="s">
        <v>487</v>
      </c>
      <c r="D1228" t="s">
        <v>783</v>
      </c>
      <c r="E1228">
        <v>0</v>
      </c>
      <c r="F1228">
        <v>7</v>
      </c>
      <c r="G1228" t="s">
        <v>2</v>
      </c>
      <c r="H1228" cm="1">
        <f t="array" ref="H1228">-isDup(B1228,B1229,0.7)</f>
        <v>0</v>
      </c>
    </row>
    <row r="1229" spans="1:8" x14ac:dyDescent="0.2">
      <c r="A1229" s="3">
        <v>46194.921492997688</v>
      </c>
      <c r="B1229" t="s">
        <v>1437</v>
      </c>
      <c r="C1229" t="s">
        <v>7</v>
      </c>
      <c r="E1229">
        <v>0</v>
      </c>
      <c r="F1229">
        <v>0</v>
      </c>
      <c r="G1229" t="s">
        <v>2</v>
      </c>
      <c r="H1229" cm="1">
        <f t="array" ref="H1229">-isDup(B1229,B1230,0.7)</f>
        <v>0</v>
      </c>
    </row>
    <row r="1230" spans="1:8" x14ac:dyDescent="0.2">
      <c r="A1230" s="3">
        <v>46195.921492997688</v>
      </c>
      <c r="B1230" t="s">
        <v>408</v>
      </c>
      <c r="C1230" t="s">
        <v>312</v>
      </c>
      <c r="D1230" t="s">
        <v>1438</v>
      </c>
      <c r="E1230">
        <v>2</v>
      </c>
      <c r="F1230">
        <v>1</v>
      </c>
      <c r="G1230" t="s">
        <v>2</v>
      </c>
      <c r="H1230" cm="1">
        <f t="array" ref="H1230">-isDup(B1230,B1231,0.7)</f>
        <v>0</v>
      </c>
    </row>
    <row r="1231" spans="1:8" x14ac:dyDescent="0.2">
      <c r="A1231" s="3">
        <v>46196.921492997688</v>
      </c>
      <c r="B1231" t="s">
        <v>1439</v>
      </c>
      <c r="C1231" t="s">
        <v>1440</v>
      </c>
      <c r="D1231" t="s">
        <v>121</v>
      </c>
      <c r="E1231">
        <v>0</v>
      </c>
      <c r="F1231">
        <v>0</v>
      </c>
      <c r="G1231" t="s">
        <v>2</v>
      </c>
      <c r="H1231" cm="1">
        <f t="array" ref="H1231">-isDup(B1231,B1232,0.7)</f>
        <v>0</v>
      </c>
    </row>
    <row r="1232" spans="1:8" x14ac:dyDescent="0.2">
      <c r="A1232" s="3">
        <v>46197.921492997688</v>
      </c>
      <c r="B1232" t="s">
        <v>1441</v>
      </c>
      <c r="C1232" t="s">
        <v>1442</v>
      </c>
      <c r="E1232">
        <v>0</v>
      </c>
      <c r="F1232">
        <v>1</v>
      </c>
      <c r="G1232" t="s">
        <v>2</v>
      </c>
      <c r="H1232" cm="1">
        <f t="array" ref="H1232">-isDup(B1232,B1233,0.7)</f>
        <v>0</v>
      </c>
    </row>
    <row r="1233" spans="1:8" x14ac:dyDescent="0.2">
      <c r="A1233" s="3">
        <v>46198.921492997688</v>
      </c>
      <c r="B1233" t="s">
        <v>1443</v>
      </c>
      <c r="C1233" t="s">
        <v>1444</v>
      </c>
      <c r="D1233" t="s">
        <v>55</v>
      </c>
      <c r="E1233">
        <v>0</v>
      </c>
      <c r="F1233">
        <v>0</v>
      </c>
      <c r="G1233" t="s">
        <v>2</v>
      </c>
      <c r="H1233" cm="1">
        <f t="array" ref="H1233">-isDup(B1233,B1234,0.7)</f>
        <v>0</v>
      </c>
    </row>
    <row r="1234" spans="1:8" x14ac:dyDescent="0.2">
      <c r="A1234" s="3">
        <v>46199.921492997688</v>
      </c>
      <c r="B1234" t="s">
        <v>1445</v>
      </c>
      <c r="C1234" t="s">
        <v>1446</v>
      </c>
      <c r="D1234" t="s">
        <v>1447</v>
      </c>
      <c r="E1234">
        <v>0</v>
      </c>
      <c r="F1234">
        <v>0</v>
      </c>
      <c r="G1234" t="s">
        <v>2</v>
      </c>
      <c r="H1234" cm="1">
        <f t="array" ref="H1234">-isDup(B1234,B1235,0.7)</f>
        <v>0</v>
      </c>
    </row>
    <row r="1235" spans="1:8" x14ac:dyDescent="0.2">
      <c r="A1235" s="3">
        <v>46200.921492997688</v>
      </c>
      <c r="B1235" t="s">
        <v>1448</v>
      </c>
      <c r="C1235" t="s">
        <v>941</v>
      </c>
      <c r="D1235" t="s">
        <v>1449</v>
      </c>
      <c r="E1235">
        <v>0</v>
      </c>
      <c r="F1235">
        <v>11</v>
      </c>
      <c r="G1235" t="s">
        <v>2</v>
      </c>
      <c r="H1235" cm="1">
        <f t="array" ref="H1235">-isDup(B1235,B1236,0.7)</f>
        <v>0</v>
      </c>
    </row>
    <row r="1236" spans="1:8" x14ac:dyDescent="0.2">
      <c r="A1236" s="3">
        <v>46201.921492997688</v>
      </c>
      <c r="B1236" t="s">
        <v>1450</v>
      </c>
      <c r="C1236" t="s">
        <v>134</v>
      </c>
      <c r="E1236">
        <v>0</v>
      </c>
      <c r="F1236">
        <v>0</v>
      </c>
      <c r="G1236" t="s">
        <v>2</v>
      </c>
      <c r="H1236" cm="1">
        <f t="array" ref="H1236">-isDup(B1236,B1237,0.7)</f>
        <v>0</v>
      </c>
    </row>
    <row r="1237" spans="1:8" x14ac:dyDescent="0.2">
      <c r="A1237" s="3">
        <v>46202.921492997688</v>
      </c>
      <c r="B1237" t="s">
        <v>1451</v>
      </c>
      <c r="C1237" t="s">
        <v>12</v>
      </c>
      <c r="D1237" t="s">
        <v>13</v>
      </c>
      <c r="E1237">
        <v>0</v>
      </c>
      <c r="F1237">
        <v>0</v>
      </c>
      <c r="G1237" t="s">
        <v>2</v>
      </c>
      <c r="H1237" cm="1">
        <f t="array" ref="H1237">-isDup(B1237,B1238,0.7)</f>
        <v>0</v>
      </c>
    </row>
    <row r="1238" spans="1:8" x14ac:dyDescent="0.2">
      <c r="A1238" s="3">
        <v>46203.921492997688</v>
      </c>
      <c r="B1238" t="s">
        <v>1452</v>
      </c>
      <c r="C1238" t="s">
        <v>1453</v>
      </c>
      <c r="D1238" t="s">
        <v>69</v>
      </c>
      <c r="E1238">
        <v>0</v>
      </c>
      <c r="F1238">
        <v>0</v>
      </c>
      <c r="G1238" t="s">
        <v>2</v>
      </c>
      <c r="H1238" cm="1">
        <f t="array" ref="H1238">-isDup(B1238,B1239,0.7)</f>
        <v>0</v>
      </c>
    </row>
    <row r="1239" spans="1:8" x14ac:dyDescent="0.2">
      <c r="A1239" s="3">
        <v>46204.921492997688</v>
      </c>
      <c r="B1239" t="s">
        <v>194</v>
      </c>
      <c r="C1239" t="s">
        <v>128</v>
      </c>
      <c r="D1239" t="s">
        <v>129</v>
      </c>
      <c r="E1239">
        <v>0</v>
      </c>
      <c r="F1239">
        <v>0</v>
      </c>
      <c r="G1239" t="s">
        <v>2</v>
      </c>
      <c r="H1239" cm="1">
        <f t="array" ref="H1239">-isDup(B1239,B1240,0.7)</f>
        <v>0</v>
      </c>
    </row>
    <row r="1240" spans="1:8" x14ac:dyDescent="0.2">
      <c r="A1240" s="3">
        <v>46205.921492997688</v>
      </c>
      <c r="B1240" t="s">
        <v>1454</v>
      </c>
      <c r="C1240" t="s">
        <v>1130</v>
      </c>
      <c r="E1240">
        <v>0</v>
      </c>
      <c r="F1240">
        <v>0</v>
      </c>
      <c r="G1240" t="s">
        <v>2</v>
      </c>
      <c r="H1240" cm="1">
        <f t="array" ref="H1240">-isDup(B1240,B1241,0.7)</f>
        <v>-1</v>
      </c>
    </row>
    <row r="1241" spans="1:8" x14ac:dyDescent="0.2">
      <c r="A1241" s="3">
        <v>46206.921492997688</v>
      </c>
      <c r="B1241" t="s">
        <v>450</v>
      </c>
      <c r="C1241" t="s">
        <v>143</v>
      </c>
      <c r="D1241" t="s">
        <v>129</v>
      </c>
      <c r="E1241">
        <v>0</v>
      </c>
      <c r="F1241">
        <v>0</v>
      </c>
      <c r="G1241" t="s">
        <v>2</v>
      </c>
      <c r="H1241" cm="1">
        <f t="array" ref="H1241">-isDup(B1241,B1242,0.7)</f>
        <v>-1</v>
      </c>
    </row>
    <row r="1242" spans="1:8" x14ac:dyDescent="0.2">
      <c r="A1242" s="3">
        <v>46207.921492997688</v>
      </c>
      <c r="B1242" t="s">
        <v>450</v>
      </c>
      <c r="C1242" t="s">
        <v>128</v>
      </c>
      <c r="D1242" t="s">
        <v>129</v>
      </c>
      <c r="E1242">
        <v>0</v>
      </c>
      <c r="F1242">
        <v>0</v>
      </c>
      <c r="G1242" t="s">
        <v>2</v>
      </c>
      <c r="H1242" cm="1">
        <f t="array" ref="H1242">-isDup(B1242,B1243,0.7)</f>
        <v>0</v>
      </c>
    </row>
    <row r="1243" spans="1:8" x14ac:dyDescent="0.2">
      <c r="A1243" s="3">
        <v>46208.921492997688</v>
      </c>
      <c r="B1243" t="s">
        <v>1455</v>
      </c>
      <c r="C1243" t="s">
        <v>7</v>
      </c>
      <c r="E1243">
        <v>0</v>
      </c>
      <c r="F1243">
        <v>0</v>
      </c>
      <c r="G1243" t="s">
        <v>2</v>
      </c>
      <c r="H1243" cm="1">
        <f t="array" ref="H1243">-isDup(B1243,B1244,0.7)</f>
        <v>0</v>
      </c>
    </row>
    <row r="1244" spans="1:8" x14ac:dyDescent="0.2">
      <c r="A1244" s="3">
        <v>46209.921492997688</v>
      </c>
      <c r="B1244" t="s">
        <v>1456</v>
      </c>
      <c r="C1244" t="s">
        <v>1457</v>
      </c>
      <c r="D1244" t="s">
        <v>1458</v>
      </c>
      <c r="E1244">
        <v>0</v>
      </c>
      <c r="F1244">
        <v>0</v>
      </c>
      <c r="G1244" t="s">
        <v>2</v>
      </c>
      <c r="H1244" cm="1">
        <f t="array" ref="H1244">-isDup(B1244,B1245,0.7)</f>
        <v>0</v>
      </c>
    </row>
    <row r="1245" spans="1:8" x14ac:dyDescent="0.2">
      <c r="A1245" s="3">
        <v>46210.921492997688</v>
      </c>
      <c r="B1245" t="s">
        <v>1459</v>
      </c>
      <c r="C1245" t="s">
        <v>128</v>
      </c>
      <c r="D1245" t="s">
        <v>129</v>
      </c>
      <c r="E1245">
        <v>0</v>
      </c>
      <c r="F1245">
        <v>0</v>
      </c>
      <c r="G1245" t="s">
        <v>2</v>
      </c>
      <c r="H1245" cm="1">
        <f t="array" ref="H1245">-isDup(B1245,B1246,0.7)</f>
        <v>0</v>
      </c>
    </row>
    <row r="1246" spans="1:8" x14ac:dyDescent="0.2">
      <c r="A1246" s="3">
        <v>46211.921492997688</v>
      </c>
      <c r="B1246" t="s">
        <v>1460</v>
      </c>
      <c r="C1246" t="s">
        <v>134</v>
      </c>
      <c r="E1246">
        <v>0</v>
      </c>
      <c r="F1246">
        <v>0</v>
      </c>
      <c r="G1246" t="s">
        <v>2</v>
      </c>
      <c r="H1246" cm="1">
        <f t="array" ref="H1246">-isDup(B1246,B1247,0.7)</f>
        <v>0</v>
      </c>
    </row>
    <row r="1247" spans="1:8" x14ac:dyDescent="0.2">
      <c r="A1247" s="3">
        <v>46212.921492997688</v>
      </c>
      <c r="B1247" t="s">
        <v>397</v>
      </c>
      <c r="C1247" t="s">
        <v>143</v>
      </c>
      <c r="D1247" t="s">
        <v>129</v>
      </c>
      <c r="E1247">
        <v>0</v>
      </c>
      <c r="F1247">
        <v>0</v>
      </c>
      <c r="G1247" t="s">
        <v>2</v>
      </c>
      <c r="H1247" cm="1">
        <f t="array" ref="H1247">-isDup(B1247,B1248,0.7)</f>
        <v>-1</v>
      </c>
    </row>
    <row r="1248" spans="1:8" x14ac:dyDescent="0.2">
      <c r="A1248" s="3">
        <v>46213.921492997688</v>
      </c>
      <c r="B1248" t="s">
        <v>397</v>
      </c>
      <c r="C1248" t="s">
        <v>128</v>
      </c>
      <c r="D1248" t="s">
        <v>129</v>
      </c>
      <c r="E1248">
        <v>0</v>
      </c>
      <c r="F1248">
        <v>0</v>
      </c>
      <c r="G1248" t="s">
        <v>2</v>
      </c>
      <c r="H1248" cm="1">
        <f t="array" ref="H1248">-isDup(B1248,B1249,0.7)</f>
        <v>0</v>
      </c>
    </row>
    <row r="1249" spans="1:8" x14ac:dyDescent="0.2">
      <c r="A1249" s="3">
        <v>46214.921492997688</v>
      </c>
      <c r="B1249" t="s">
        <v>1461</v>
      </c>
      <c r="C1249" t="s">
        <v>1329</v>
      </c>
      <c r="E1249">
        <v>0</v>
      </c>
      <c r="F1249">
        <v>0</v>
      </c>
      <c r="G1249" t="s">
        <v>2</v>
      </c>
      <c r="H1249" cm="1">
        <f t="array" ref="H1249">-isDup(B1249,B1250,0.7)</f>
        <v>0</v>
      </c>
    </row>
    <row r="1250" spans="1:8" x14ac:dyDescent="0.2">
      <c r="A1250" s="3">
        <v>46215.921492997688</v>
      </c>
      <c r="B1250" t="s">
        <v>1462</v>
      </c>
      <c r="C1250" t="s">
        <v>1284</v>
      </c>
      <c r="E1250">
        <v>0</v>
      </c>
      <c r="F1250">
        <v>0</v>
      </c>
      <c r="G1250" t="s">
        <v>2</v>
      </c>
      <c r="H1250" cm="1">
        <f t="array" ref="H1250">-isDup(B1250,B1251,0.7)</f>
        <v>0</v>
      </c>
    </row>
    <row r="1251" spans="1:8" x14ac:dyDescent="0.2">
      <c r="A1251" s="3">
        <v>46216.921492997688</v>
      </c>
      <c r="B1251" t="s">
        <v>1463</v>
      </c>
      <c r="C1251" t="s">
        <v>128</v>
      </c>
      <c r="D1251" t="s">
        <v>129</v>
      </c>
      <c r="E1251">
        <v>0</v>
      </c>
      <c r="F1251">
        <v>0</v>
      </c>
      <c r="G1251" t="s">
        <v>2</v>
      </c>
      <c r="H1251" cm="1">
        <f t="array" ref="H1251">-isDup(B1251,B1252,0.7)</f>
        <v>0</v>
      </c>
    </row>
    <row r="1252" spans="1:8" x14ac:dyDescent="0.2">
      <c r="A1252" s="3">
        <v>46217.921492997688</v>
      </c>
      <c r="B1252" t="s">
        <v>339</v>
      </c>
      <c r="C1252" t="s">
        <v>128</v>
      </c>
      <c r="D1252" t="s">
        <v>129</v>
      </c>
      <c r="E1252">
        <v>0</v>
      </c>
      <c r="F1252">
        <v>0</v>
      </c>
      <c r="G1252" t="s">
        <v>2</v>
      </c>
      <c r="H1252" cm="1">
        <f t="array" ref="H1252">-isDup(B1252,B1253,0.7)</f>
        <v>-1</v>
      </c>
    </row>
    <row r="1253" spans="1:8" x14ac:dyDescent="0.2">
      <c r="A1253" s="3">
        <v>46218.921492997688</v>
      </c>
      <c r="B1253" t="s">
        <v>339</v>
      </c>
      <c r="C1253" t="s">
        <v>143</v>
      </c>
      <c r="D1253" t="s">
        <v>129</v>
      </c>
      <c r="E1253">
        <v>0</v>
      </c>
      <c r="F1253">
        <v>0</v>
      </c>
      <c r="G1253" t="s">
        <v>2</v>
      </c>
      <c r="H1253" cm="1">
        <f t="array" ref="H1253">-isDup(B1253,B1254,0.7)</f>
        <v>0</v>
      </c>
    </row>
    <row r="1254" spans="1:8" x14ac:dyDescent="0.2">
      <c r="A1254" s="3">
        <v>46219.921492997688</v>
      </c>
      <c r="B1254" t="s">
        <v>1464</v>
      </c>
      <c r="C1254" t="s">
        <v>1465</v>
      </c>
      <c r="D1254" t="s">
        <v>1466</v>
      </c>
      <c r="E1254">
        <v>0</v>
      </c>
      <c r="F1254">
        <v>0</v>
      </c>
      <c r="G1254" t="s">
        <v>2</v>
      </c>
      <c r="H1254" cm="1">
        <f t="array" ref="H1254">-isDup(B1254,B1255,0.7)</f>
        <v>0</v>
      </c>
    </row>
    <row r="1255" spans="1:8" x14ac:dyDescent="0.2">
      <c r="A1255" s="3">
        <v>46220.921492997688</v>
      </c>
      <c r="B1255" t="s">
        <v>1467</v>
      </c>
      <c r="C1255" t="s">
        <v>7</v>
      </c>
      <c r="E1255">
        <v>0</v>
      </c>
      <c r="F1255">
        <v>0</v>
      </c>
      <c r="G1255" t="s">
        <v>2</v>
      </c>
      <c r="H1255" cm="1">
        <f t="array" ref="H1255">-isDup(B1255,B1256,0.7)</f>
        <v>0</v>
      </c>
    </row>
    <row r="1256" spans="1:8" x14ac:dyDescent="0.2">
      <c r="A1256" s="3">
        <v>46221.921492997688</v>
      </c>
      <c r="B1256" t="s">
        <v>1255</v>
      </c>
      <c r="C1256" t="s">
        <v>143</v>
      </c>
      <c r="D1256" t="s">
        <v>129</v>
      </c>
      <c r="E1256">
        <v>0</v>
      </c>
      <c r="F1256">
        <v>0</v>
      </c>
      <c r="G1256" t="s">
        <v>2</v>
      </c>
      <c r="H1256" cm="1">
        <f t="array" ref="H1256">-isDup(B1256,B1257,0.7)</f>
        <v>-1</v>
      </c>
    </row>
    <row r="1257" spans="1:8" x14ac:dyDescent="0.2">
      <c r="A1257" s="3">
        <v>46222.921492997688</v>
      </c>
      <c r="B1257" t="s">
        <v>1255</v>
      </c>
      <c r="C1257" t="s">
        <v>128</v>
      </c>
      <c r="D1257" t="s">
        <v>129</v>
      </c>
      <c r="E1257">
        <v>0</v>
      </c>
      <c r="F1257">
        <v>0</v>
      </c>
      <c r="G1257" t="s">
        <v>2</v>
      </c>
      <c r="H1257" cm="1">
        <f t="array" ref="H1257">-isDup(B1257,B1258,0.7)</f>
        <v>0</v>
      </c>
    </row>
    <row r="1258" spans="1:8" x14ac:dyDescent="0.2">
      <c r="A1258" s="3">
        <v>46223.921492997688</v>
      </c>
      <c r="B1258" t="s">
        <v>398</v>
      </c>
      <c r="C1258" t="s">
        <v>143</v>
      </c>
      <c r="D1258" t="s">
        <v>129</v>
      </c>
      <c r="E1258">
        <v>0</v>
      </c>
      <c r="F1258">
        <v>0</v>
      </c>
      <c r="G1258" t="s">
        <v>2</v>
      </c>
      <c r="H1258" cm="1">
        <f t="array" ref="H1258">-isDup(B1258,B1259,0.7)</f>
        <v>-1</v>
      </c>
    </row>
    <row r="1259" spans="1:8" x14ac:dyDescent="0.2">
      <c r="A1259" s="3">
        <v>46224.921492997688</v>
      </c>
      <c r="B1259" t="s">
        <v>398</v>
      </c>
      <c r="C1259" t="s">
        <v>128</v>
      </c>
      <c r="D1259" t="s">
        <v>129</v>
      </c>
      <c r="E1259">
        <v>0</v>
      </c>
      <c r="F1259">
        <v>0</v>
      </c>
      <c r="G1259" t="s">
        <v>2</v>
      </c>
      <c r="H1259" cm="1">
        <f t="array" ref="H1259">-isDup(B1259,B1260,0.7)</f>
        <v>0</v>
      </c>
    </row>
    <row r="1260" spans="1:8" x14ac:dyDescent="0.2">
      <c r="A1260" s="3">
        <v>46225.921492997688</v>
      </c>
      <c r="B1260" t="s">
        <v>336</v>
      </c>
      <c r="C1260" t="s">
        <v>143</v>
      </c>
      <c r="D1260" t="s">
        <v>129</v>
      </c>
      <c r="E1260">
        <v>0</v>
      </c>
      <c r="F1260">
        <v>0</v>
      </c>
      <c r="G1260" t="s">
        <v>2</v>
      </c>
      <c r="H1260" cm="1">
        <f t="array" ref="H1260">-isDup(B1260,B1261,0.7)</f>
        <v>-1</v>
      </c>
    </row>
    <row r="1261" spans="1:8" x14ac:dyDescent="0.2">
      <c r="A1261" s="3">
        <v>46226.921492997688</v>
      </c>
      <c r="B1261" t="s">
        <v>336</v>
      </c>
      <c r="C1261" t="s">
        <v>128</v>
      </c>
      <c r="D1261" t="s">
        <v>129</v>
      </c>
      <c r="E1261">
        <v>0</v>
      </c>
      <c r="F1261">
        <v>0</v>
      </c>
      <c r="G1261" t="s">
        <v>2</v>
      </c>
      <c r="H1261" cm="1">
        <f t="array" ref="H1261">-isDup(B1261,B1262,0.7)</f>
        <v>0</v>
      </c>
    </row>
    <row r="1262" spans="1:8" x14ac:dyDescent="0.2">
      <c r="A1262" s="3">
        <v>46227.921492997688</v>
      </c>
      <c r="B1262" t="s">
        <v>848</v>
      </c>
      <c r="C1262" t="s">
        <v>128</v>
      </c>
      <c r="D1262" t="s">
        <v>129</v>
      </c>
      <c r="E1262">
        <v>0</v>
      </c>
      <c r="F1262">
        <v>0</v>
      </c>
      <c r="G1262" t="s">
        <v>2</v>
      </c>
      <c r="H1262" cm="1">
        <f t="array" ref="H1262">-isDup(B1262,B1263,0.7)</f>
        <v>0</v>
      </c>
    </row>
    <row r="1263" spans="1:8" x14ac:dyDescent="0.2">
      <c r="A1263" s="3">
        <v>46228.921492997688</v>
      </c>
      <c r="B1263" t="s">
        <v>192</v>
      </c>
      <c r="C1263" t="s">
        <v>143</v>
      </c>
      <c r="D1263" t="s">
        <v>129</v>
      </c>
      <c r="E1263">
        <v>0</v>
      </c>
      <c r="F1263">
        <v>0</v>
      </c>
      <c r="G1263" t="s">
        <v>2</v>
      </c>
      <c r="H1263" cm="1">
        <f t="array" ref="H1263">-isDup(B1263,B1264,0.7)</f>
        <v>-1</v>
      </c>
    </row>
    <row r="1264" spans="1:8" x14ac:dyDescent="0.2">
      <c r="A1264" s="3">
        <v>46229.921492997688</v>
      </c>
      <c r="B1264" t="s">
        <v>192</v>
      </c>
      <c r="C1264" t="s">
        <v>128</v>
      </c>
      <c r="D1264" t="s">
        <v>129</v>
      </c>
      <c r="E1264">
        <v>0</v>
      </c>
      <c r="F1264">
        <v>0</v>
      </c>
      <c r="G1264" t="s">
        <v>2</v>
      </c>
      <c r="H1264" cm="1">
        <f t="array" ref="H1264">-isDup(B1264,B1265,0.7)</f>
        <v>0</v>
      </c>
    </row>
    <row r="1265" spans="1:8" x14ac:dyDescent="0.2">
      <c r="A1265" s="3">
        <v>46230.921492997688</v>
      </c>
      <c r="B1265" t="s">
        <v>1278</v>
      </c>
      <c r="C1265" t="s">
        <v>128</v>
      </c>
      <c r="D1265" t="s">
        <v>129</v>
      </c>
      <c r="E1265">
        <v>0</v>
      </c>
      <c r="F1265">
        <v>0</v>
      </c>
      <c r="G1265" t="s">
        <v>2</v>
      </c>
      <c r="H1265" cm="1">
        <f t="array" ref="H1265">-isDup(B1265,B1266,0.7)</f>
        <v>-1</v>
      </c>
    </row>
    <row r="1266" spans="1:8" x14ac:dyDescent="0.2">
      <c r="A1266" s="3">
        <v>46231.921492997688</v>
      </c>
      <c r="B1266" t="s">
        <v>1278</v>
      </c>
      <c r="C1266" t="s">
        <v>143</v>
      </c>
      <c r="D1266" t="s">
        <v>129</v>
      </c>
      <c r="E1266">
        <v>0</v>
      </c>
      <c r="F1266">
        <v>0</v>
      </c>
      <c r="G1266" t="s">
        <v>2</v>
      </c>
      <c r="H1266" cm="1">
        <f t="array" ref="H1266">-isDup(B1266,B1267,0.7)</f>
        <v>0</v>
      </c>
    </row>
    <row r="1267" spans="1:8" x14ac:dyDescent="0.2">
      <c r="A1267" s="3">
        <v>46232.921492997688</v>
      </c>
      <c r="B1267" t="s">
        <v>396</v>
      </c>
      <c r="C1267" t="s">
        <v>143</v>
      </c>
      <c r="D1267" t="s">
        <v>129</v>
      </c>
      <c r="E1267">
        <v>0</v>
      </c>
      <c r="F1267">
        <v>0</v>
      </c>
      <c r="G1267" t="s">
        <v>2</v>
      </c>
      <c r="H1267" cm="1">
        <f t="array" ref="H1267">-isDup(B1267,B1268,0.7)</f>
        <v>-1</v>
      </c>
    </row>
    <row r="1268" spans="1:8" x14ac:dyDescent="0.2">
      <c r="A1268" s="3">
        <v>46233.921492997688</v>
      </c>
      <c r="B1268" t="s">
        <v>396</v>
      </c>
      <c r="C1268" t="s">
        <v>128</v>
      </c>
      <c r="D1268" t="s">
        <v>129</v>
      </c>
      <c r="E1268">
        <v>0</v>
      </c>
      <c r="F1268">
        <v>0</v>
      </c>
      <c r="G1268" t="s">
        <v>2</v>
      </c>
      <c r="H1268" cm="1">
        <f t="array" ref="H1268">-isDup(B1268,B1269,0.7)</f>
        <v>0</v>
      </c>
    </row>
    <row r="1269" spans="1:8" x14ac:dyDescent="0.2">
      <c r="A1269" s="3">
        <v>46234.921492997688</v>
      </c>
      <c r="B1269" t="s">
        <v>3</v>
      </c>
      <c r="C1269" t="s">
        <v>4</v>
      </c>
      <c r="D1269" t="s">
        <v>5</v>
      </c>
      <c r="E1269">
        <v>0</v>
      </c>
      <c r="F1269">
        <v>0</v>
      </c>
      <c r="G1269" t="s">
        <v>2</v>
      </c>
      <c r="H1269" cm="1">
        <f t="array" ref="H1269">-isDup(B1269,B1270,0.7)</f>
        <v>0</v>
      </c>
    </row>
    <row r="1270" spans="1:8" x14ac:dyDescent="0.2">
      <c r="A1270" s="3">
        <v>46235.921492997688</v>
      </c>
      <c r="B1270" t="s">
        <v>902</v>
      </c>
      <c r="C1270" t="s">
        <v>128</v>
      </c>
      <c r="D1270" t="s">
        <v>129</v>
      </c>
      <c r="E1270">
        <v>0</v>
      </c>
      <c r="F1270">
        <v>0</v>
      </c>
      <c r="G1270" t="s">
        <v>2</v>
      </c>
      <c r="H1270" cm="1">
        <f t="array" ref="H1270">-isDup(B1270,B1271,0.7)</f>
        <v>-1</v>
      </c>
    </row>
    <row r="1271" spans="1:8" x14ac:dyDescent="0.2">
      <c r="A1271" s="3">
        <v>46236.921492997688</v>
      </c>
      <c r="B1271" t="s">
        <v>902</v>
      </c>
      <c r="C1271" t="s">
        <v>143</v>
      </c>
      <c r="D1271" t="s">
        <v>129</v>
      </c>
      <c r="E1271">
        <v>0</v>
      </c>
      <c r="F1271">
        <v>0</v>
      </c>
      <c r="G1271" t="s">
        <v>2</v>
      </c>
      <c r="H1271" cm="1">
        <f t="array" ref="H1271">-isDup(B1271,B1272,0.7)</f>
        <v>0</v>
      </c>
    </row>
    <row r="1272" spans="1:8" x14ac:dyDescent="0.2">
      <c r="A1272" s="3">
        <v>46237.921492997688</v>
      </c>
      <c r="B1272" t="s">
        <v>179</v>
      </c>
      <c r="C1272" t="s">
        <v>128</v>
      </c>
      <c r="D1272" t="s">
        <v>129</v>
      </c>
      <c r="E1272">
        <v>0</v>
      </c>
      <c r="F1272">
        <v>0</v>
      </c>
      <c r="G1272" t="s">
        <v>2</v>
      </c>
      <c r="H1272" cm="1">
        <f t="array" ref="H1272">-isDup(B1272,B1273,0.7)</f>
        <v>0</v>
      </c>
    </row>
    <row r="1273" spans="1:8" x14ac:dyDescent="0.2">
      <c r="A1273" s="3">
        <v>46238.921492997688</v>
      </c>
      <c r="B1273" t="s">
        <v>1468</v>
      </c>
      <c r="C1273" t="s">
        <v>12</v>
      </c>
      <c r="D1273" t="s">
        <v>13</v>
      </c>
      <c r="E1273">
        <v>0</v>
      </c>
      <c r="F1273">
        <v>0</v>
      </c>
      <c r="G1273" t="s">
        <v>2</v>
      </c>
      <c r="H1273" cm="1">
        <f t="array" ref="H1273">-isDup(B1273,B1274,0.7)</f>
        <v>0</v>
      </c>
    </row>
    <row r="1274" spans="1:8" x14ac:dyDescent="0.2">
      <c r="A1274" s="3">
        <v>46239.921492997688</v>
      </c>
      <c r="B1274" t="s">
        <v>1469</v>
      </c>
      <c r="C1274" t="s">
        <v>1470</v>
      </c>
      <c r="D1274" t="s">
        <v>1471</v>
      </c>
      <c r="E1274">
        <v>1</v>
      </c>
      <c r="F1274">
        <v>2</v>
      </c>
      <c r="G1274" t="s">
        <v>2</v>
      </c>
      <c r="H1274" cm="1">
        <f t="array" ref="H1274">-isDup(B1274,B1275,0.7)</f>
        <v>0</v>
      </c>
    </row>
    <row r="1275" spans="1:8" x14ac:dyDescent="0.2">
      <c r="A1275" s="3">
        <v>46240.921492997688</v>
      </c>
      <c r="B1275" t="s">
        <v>1472</v>
      </c>
      <c r="C1275" t="s">
        <v>1473</v>
      </c>
      <c r="E1275">
        <v>0</v>
      </c>
      <c r="F1275">
        <v>0</v>
      </c>
      <c r="G1275" t="s">
        <v>2</v>
      </c>
      <c r="H1275" cm="1">
        <f t="array" ref="H1275">-isDup(B1275,B1276,0.7)</f>
        <v>0</v>
      </c>
    </row>
    <row r="1276" spans="1:8" x14ac:dyDescent="0.2">
      <c r="A1276" s="3">
        <v>46241.921492997688</v>
      </c>
      <c r="B1276" t="s">
        <v>169</v>
      </c>
      <c r="C1276" t="s">
        <v>143</v>
      </c>
      <c r="D1276" t="s">
        <v>129</v>
      </c>
      <c r="E1276">
        <v>0</v>
      </c>
      <c r="F1276">
        <v>0</v>
      </c>
      <c r="G1276" t="s">
        <v>2</v>
      </c>
      <c r="H1276" cm="1">
        <f t="array" ref="H1276">-isDup(B1276,B1277,0.7)</f>
        <v>-1</v>
      </c>
    </row>
    <row r="1277" spans="1:8" x14ac:dyDescent="0.2">
      <c r="A1277" s="3">
        <v>46242.921492997688</v>
      </c>
      <c r="B1277" t="s">
        <v>169</v>
      </c>
      <c r="C1277" t="s">
        <v>128</v>
      </c>
      <c r="D1277" t="s">
        <v>129</v>
      </c>
      <c r="E1277">
        <v>0</v>
      </c>
      <c r="F1277">
        <v>0</v>
      </c>
      <c r="G1277" t="s">
        <v>2</v>
      </c>
      <c r="H1277" cm="1">
        <f t="array" ref="H1277">-isDup(B1277,B1278,0.7)</f>
        <v>0</v>
      </c>
    </row>
    <row r="1278" spans="1:8" x14ac:dyDescent="0.2">
      <c r="A1278" s="3">
        <v>46243.921492997688</v>
      </c>
      <c r="B1278" t="s">
        <v>423</v>
      </c>
      <c r="C1278" t="s">
        <v>128</v>
      </c>
      <c r="D1278" t="s">
        <v>129</v>
      </c>
      <c r="E1278">
        <v>0</v>
      </c>
      <c r="F1278">
        <v>0</v>
      </c>
      <c r="G1278" t="s">
        <v>2</v>
      </c>
      <c r="H1278" cm="1">
        <f t="array" ref="H1278">-isDup(B1278,B1279,0.7)</f>
        <v>0</v>
      </c>
    </row>
    <row r="1279" spans="1:8" x14ac:dyDescent="0.2">
      <c r="A1279" s="3">
        <v>46244.921492997688</v>
      </c>
      <c r="B1279" t="s">
        <v>141</v>
      </c>
      <c r="C1279" t="s">
        <v>143</v>
      </c>
      <c r="D1279" t="s">
        <v>129</v>
      </c>
      <c r="E1279">
        <v>0</v>
      </c>
      <c r="F1279">
        <v>0</v>
      </c>
      <c r="G1279" t="s">
        <v>2</v>
      </c>
      <c r="H1279" cm="1">
        <f t="array" ref="H1279">-isDup(B1279,B1280,0.7)</f>
        <v>-1</v>
      </c>
    </row>
    <row r="1280" spans="1:8" x14ac:dyDescent="0.2">
      <c r="A1280" s="3">
        <v>46245.921492997688</v>
      </c>
      <c r="B1280" t="s">
        <v>141</v>
      </c>
      <c r="C1280" t="s">
        <v>128</v>
      </c>
      <c r="D1280" t="s">
        <v>129</v>
      </c>
      <c r="E1280">
        <v>0</v>
      </c>
      <c r="F1280">
        <v>0</v>
      </c>
      <c r="G1280" t="s">
        <v>2</v>
      </c>
      <c r="H1280" cm="1">
        <f t="array" ref="H1280">-isDup(B1280,B1281,0.7)</f>
        <v>0</v>
      </c>
    </row>
    <row r="1281" spans="1:8" x14ac:dyDescent="0.2">
      <c r="A1281" s="3">
        <v>46246.921492997688</v>
      </c>
      <c r="B1281" t="s">
        <v>973</v>
      </c>
      <c r="C1281" t="s">
        <v>128</v>
      </c>
      <c r="D1281" t="s">
        <v>129</v>
      </c>
      <c r="E1281">
        <v>0</v>
      </c>
      <c r="F1281">
        <v>0</v>
      </c>
      <c r="G1281" t="s">
        <v>2</v>
      </c>
      <c r="H1281" cm="1">
        <f t="array" ref="H1281">-isDup(B1281,B1282,0.7)</f>
        <v>-1</v>
      </c>
    </row>
    <row r="1282" spans="1:8" x14ac:dyDescent="0.2">
      <c r="A1282" s="3">
        <v>46247.921492997688</v>
      </c>
      <c r="B1282" t="s">
        <v>973</v>
      </c>
      <c r="C1282" t="s">
        <v>143</v>
      </c>
      <c r="D1282" t="s">
        <v>129</v>
      </c>
      <c r="E1282">
        <v>0</v>
      </c>
      <c r="F1282">
        <v>0</v>
      </c>
      <c r="G1282" t="s">
        <v>2</v>
      </c>
      <c r="H1282" cm="1">
        <f t="array" ref="H1282">-isDup(B1282,B1283,0.7)</f>
        <v>0</v>
      </c>
    </row>
    <row r="1283" spans="1:8" x14ac:dyDescent="0.2">
      <c r="A1283" s="3">
        <v>46248.921492997688</v>
      </c>
      <c r="B1283" t="s">
        <v>1474</v>
      </c>
      <c r="C1283" t="s">
        <v>7</v>
      </c>
      <c r="E1283">
        <v>0</v>
      </c>
      <c r="F1283">
        <v>0</v>
      </c>
      <c r="G1283" t="s">
        <v>2</v>
      </c>
      <c r="H1283" cm="1">
        <f t="array" ref="H1283">-isDup(B1283,B1284,0.7)</f>
        <v>0</v>
      </c>
    </row>
    <row r="1284" spans="1:8" x14ac:dyDescent="0.2">
      <c r="A1284" s="3">
        <v>46249.921492997688</v>
      </c>
      <c r="B1284" t="s">
        <v>193</v>
      </c>
      <c r="C1284" t="s">
        <v>143</v>
      </c>
      <c r="D1284" t="s">
        <v>129</v>
      </c>
      <c r="E1284">
        <v>0</v>
      </c>
      <c r="F1284">
        <v>0</v>
      </c>
      <c r="G1284" t="s">
        <v>2</v>
      </c>
      <c r="H1284" cm="1">
        <f t="array" ref="H1284">-isDup(B1284,B1285,0.7)</f>
        <v>-1</v>
      </c>
    </row>
    <row r="1285" spans="1:8" x14ac:dyDescent="0.2">
      <c r="A1285" s="3">
        <v>46250.921492997688</v>
      </c>
      <c r="B1285" t="s">
        <v>193</v>
      </c>
      <c r="C1285" t="s">
        <v>128</v>
      </c>
      <c r="D1285" t="s">
        <v>129</v>
      </c>
      <c r="E1285">
        <v>0</v>
      </c>
      <c r="F1285">
        <v>0</v>
      </c>
      <c r="G1285" t="s">
        <v>2</v>
      </c>
      <c r="H1285" cm="1">
        <f t="array" ref="H1285">-isDup(B1285,B1286,0.7)</f>
        <v>0</v>
      </c>
    </row>
    <row r="1286" spans="1:8" x14ac:dyDescent="0.2">
      <c r="A1286" s="3">
        <v>46251.921492997688</v>
      </c>
      <c r="B1286" t="s">
        <v>1475</v>
      </c>
      <c r="C1286" t="s">
        <v>1476</v>
      </c>
      <c r="E1286">
        <v>0</v>
      </c>
      <c r="F1286">
        <v>0</v>
      </c>
      <c r="G1286" t="s">
        <v>2</v>
      </c>
      <c r="H1286" cm="1">
        <f t="array" ref="H1286">-isDup(B1286,B1287,0.7)</f>
        <v>0</v>
      </c>
    </row>
    <row r="1287" spans="1:8" x14ac:dyDescent="0.2">
      <c r="A1287" s="3">
        <v>46252.921492997688</v>
      </c>
      <c r="B1287" t="s">
        <v>1477</v>
      </c>
      <c r="C1287" t="s">
        <v>1478</v>
      </c>
      <c r="E1287">
        <v>0</v>
      </c>
      <c r="F1287">
        <v>0</v>
      </c>
      <c r="G1287" t="s">
        <v>2</v>
      </c>
      <c r="H1287" cm="1">
        <f t="array" ref="H1287">-isDup(B1287,B1288,0.7)</f>
        <v>0</v>
      </c>
    </row>
    <row r="1288" spans="1:8" x14ac:dyDescent="0.2">
      <c r="A1288" s="3">
        <v>46253.921492997688</v>
      </c>
      <c r="B1288" t="s">
        <v>370</v>
      </c>
      <c r="C1288" t="s">
        <v>143</v>
      </c>
      <c r="D1288" t="s">
        <v>129</v>
      </c>
      <c r="E1288">
        <v>0</v>
      </c>
      <c r="F1288">
        <v>0</v>
      </c>
      <c r="G1288" t="s">
        <v>2</v>
      </c>
      <c r="H1288" cm="1">
        <f t="array" ref="H1288">-isDup(B1288,B1289,0.7)</f>
        <v>-1</v>
      </c>
    </row>
    <row r="1289" spans="1:8" x14ac:dyDescent="0.2">
      <c r="A1289" s="3">
        <v>46254.921492997688</v>
      </c>
      <c r="B1289" t="s">
        <v>370</v>
      </c>
      <c r="C1289" t="s">
        <v>128</v>
      </c>
      <c r="D1289" t="s">
        <v>129</v>
      </c>
      <c r="E1289">
        <v>0</v>
      </c>
      <c r="F1289">
        <v>0</v>
      </c>
      <c r="G1289" t="s">
        <v>2</v>
      </c>
      <c r="H1289" cm="1">
        <f t="array" ref="H1289">-isDup(B1289,B1290,0.7)</f>
        <v>0</v>
      </c>
    </row>
    <row r="1290" spans="1:8" x14ac:dyDescent="0.2">
      <c r="A1290" s="3">
        <v>46255.921492997688</v>
      </c>
      <c r="B1290" t="s">
        <v>21</v>
      </c>
      <c r="C1290" t="s">
        <v>22</v>
      </c>
      <c r="E1290">
        <v>0</v>
      </c>
      <c r="F1290">
        <v>0</v>
      </c>
      <c r="G1290" t="s">
        <v>2</v>
      </c>
      <c r="H1290" cm="1">
        <f t="array" ref="H1290">-isDup(B1290,B1291,0.7)</f>
        <v>0</v>
      </c>
    </row>
    <row r="1291" spans="1:8" x14ac:dyDescent="0.2">
      <c r="A1291" s="3">
        <v>46256.921492997688</v>
      </c>
      <c r="B1291" t="s">
        <v>35</v>
      </c>
      <c r="C1291" t="s">
        <v>33</v>
      </c>
      <c r="D1291" t="s">
        <v>34</v>
      </c>
      <c r="E1291">
        <v>0</v>
      </c>
      <c r="F1291">
        <v>0</v>
      </c>
      <c r="G1291" t="s">
        <v>2</v>
      </c>
      <c r="H1291" cm="1">
        <f t="array" ref="H1291">-isDup(B1291,B1292,0.7)</f>
        <v>-1</v>
      </c>
    </row>
    <row r="1292" spans="1:8" x14ac:dyDescent="0.2">
      <c r="A1292" s="3">
        <v>46257.921492997688</v>
      </c>
      <c r="B1292" t="s">
        <v>1479</v>
      </c>
      <c r="C1292" t="s">
        <v>33</v>
      </c>
      <c r="D1292" t="s">
        <v>34</v>
      </c>
      <c r="E1292">
        <v>0</v>
      </c>
      <c r="F1292">
        <v>0</v>
      </c>
      <c r="G1292" t="s">
        <v>2</v>
      </c>
      <c r="H1292" cm="1">
        <f t="array" ref="H1292">-isDup(B1292,B1293,0.7)</f>
        <v>0</v>
      </c>
    </row>
    <row r="1293" spans="1:8" x14ac:dyDescent="0.2">
      <c r="A1293" s="3">
        <v>46258.921492997688</v>
      </c>
      <c r="B1293" t="s">
        <v>36</v>
      </c>
      <c r="C1293" t="s">
        <v>33</v>
      </c>
      <c r="D1293" t="s">
        <v>34</v>
      </c>
      <c r="E1293">
        <v>0</v>
      </c>
      <c r="F1293">
        <v>0</v>
      </c>
      <c r="G1293" t="s">
        <v>2</v>
      </c>
      <c r="H1293" cm="1">
        <f t="array" ref="H1293">-isDup(B1293,B1294,0.7)</f>
        <v>0</v>
      </c>
    </row>
    <row r="1294" spans="1:8" x14ac:dyDescent="0.2">
      <c r="A1294" s="3">
        <v>46259.921492997688</v>
      </c>
      <c r="B1294" t="s">
        <v>37</v>
      </c>
      <c r="C1294" t="s">
        <v>33</v>
      </c>
      <c r="D1294" t="s">
        <v>34</v>
      </c>
      <c r="E1294">
        <v>0</v>
      </c>
      <c r="F1294">
        <v>0</v>
      </c>
      <c r="G1294" t="s">
        <v>2</v>
      </c>
      <c r="H1294" cm="1">
        <f t="array" ref="H1294">-isDup(B1294,B1295,0.7)</f>
        <v>0</v>
      </c>
    </row>
    <row r="1295" spans="1:8" x14ac:dyDescent="0.2">
      <c r="A1295" s="3">
        <v>46260.921492997688</v>
      </c>
      <c r="B1295" t="s">
        <v>1480</v>
      </c>
      <c r="C1295" t="s">
        <v>1481</v>
      </c>
      <c r="D1295" t="s">
        <v>1482</v>
      </c>
      <c r="E1295">
        <v>0</v>
      </c>
      <c r="F1295">
        <v>1</v>
      </c>
      <c r="G1295" t="s">
        <v>2</v>
      </c>
      <c r="H1295" cm="1">
        <f t="array" ref="H1295">-isDup(B1295,B1296,0.7)</f>
        <v>0</v>
      </c>
    </row>
    <row r="1296" spans="1:8" x14ac:dyDescent="0.2">
      <c r="A1296" s="3">
        <v>46261.921492997688</v>
      </c>
      <c r="B1296" t="s">
        <v>1483</v>
      </c>
      <c r="C1296" t="s">
        <v>7</v>
      </c>
      <c r="E1296">
        <v>0</v>
      </c>
      <c r="F1296">
        <v>0</v>
      </c>
      <c r="G1296" t="s">
        <v>2</v>
      </c>
      <c r="H1296" cm="1">
        <f t="array" ref="H1296">-isDup(B1296,B1297,0.7)</f>
        <v>0</v>
      </c>
    </row>
    <row r="1297" spans="1:8" x14ac:dyDescent="0.2">
      <c r="A1297" s="3">
        <v>46262.921492997688</v>
      </c>
      <c r="B1297" t="s">
        <v>1484</v>
      </c>
      <c r="C1297" t="s">
        <v>15</v>
      </c>
      <c r="E1297">
        <v>0</v>
      </c>
      <c r="F1297">
        <v>0</v>
      </c>
      <c r="G1297" t="s">
        <v>2</v>
      </c>
      <c r="H1297" cm="1">
        <f t="array" ref="H1297">-isDup(B1297,B1298,0.7)</f>
        <v>0</v>
      </c>
    </row>
    <row r="1298" spans="1:8" x14ac:dyDescent="0.2">
      <c r="A1298" s="3">
        <v>46263.921492997688</v>
      </c>
      <c r="B1298" t="s">
        <v>760</v>
      </c>
      <c r="C1298" t="s">
        <v>608</v>
      </c>
      <c r="E1298">
        <v>0</v>
      </c>
      <c r="F1298">
        <v>0</v>
      </c>
      <c r="G1298" t="s">
        <v>2</v>
      </c>
      <c r="H1298" cm="1">
        <f t="array" ref="H1298">-isDup(B1298,B1299,0.7)</f>
        <v>0</v>
      </c>
    </row>
    <row r="1299" spans="1:8" x14ac:dyDescent="0.2">
      <c r="A1299" s="3">
        <v>46264.921492997688</v>
      </c>
      <c r="B1299" t="s">
        <v>1485</v>
      </c>
      <c r="C1299" t="s">
        <v>1486</v>
      </c>
      <c r="D1299" t="s">
        <v>69</v>
      </c>
      <c r="E1299">
        <v>3</v>
      </c>
      <c r="F1299">
        <v>27</v>
      </c>
      <c r="G1299" t="s">
        <v>2</v>
      </c>
      <c r="H1299" cm="1">
        <f t="array" ref="H1299">-isDup(B1299,B1300,0.7)</f>
        <v>0</v>
      </c>
    </row>
    <row r="1300" spans="1:8" x14ac:dyDescent="0.2">
      <c r="A1300" s="3">
        <v>46265.921492997688</v>
      </c>
      <c r="B1300" t="s">
        <v>1487</v>
      </c>
      <c r="C1300" t="s">
        <v>1488</v>
      </c>
      <c r="D1300" t="s">
        <v>1489</v>
      </c>
      <c r="E1300">
        <v>0</v>
      </c>
      <c r="F1300">
        <v>0</v>
      </c>
      <c r="G1300" t="s">
        <v>2</v>
      </c>
      <c r="H1300" cm="1">
        <f t="array" ref="H1300">-isDup(B1300,B1301,0.7)</f>
        <v>0</v>
      </c>
    </row>
    <row r="1301" spans="1:8" x14ac:dyDescent="0.2">
      <c r="A1301" s="3">
        <v>46266.921492997688</v>
      </c>
      <c r="B1301" t="s">
        <v>387</v>
      </c>
      <c r="C1301" t="s">
        <v>143</v>
      </c>
      <c r="D1301" t="s">
        <v>129</v>
      </c>
      <c r="E1301">
        <v>0</v>
      </c>
      <c r="F1301">
        <v>0</v>
      </c>
      <c r="G1301" t="s">
        <v>2</v>
      </c>
      <c r="H1301" cm="1">
        <f t="array" ref="H1301">-isDup(B1301,B1302,0.7)</f>
        <v>-1</v>
      </c>
    </row>
    <row r="1302" spans="1:8" x14ac:dyDescent="0.2">
      <c r="A1302" s="3">
        <v>46267.921492997688</v>
      </c>
      <c r="B1302" t="s">
        <v>387</v>
      </c>
      <c r="C1302" t="s">
        <v>128</v>
      </c>
      <c r="D1302" t="s">
        <v>129</v>
      </c>
      <c r="E1302">
        <v>0</v>
      </c>
      <c r="F1302">
        <v>0</v>
      </c>
      <c r="G1302" t="s">
        <v>2</v>
      </c>
      <c r="H1302" cm="1">
        <f t="array" ref="H1302">-isDup(B1302,B1303,0.7)</f>
        <v>-1</v>
      </c>
    </row>
    <row r="1303" spans="1:8" x14ac:dyDescent="0.2">
      <c r="A1303" s="3">
        <v>46268.921492997688</v>
      </c>
      <c r="B1303" t="s">
        <v>347</v>
      </c>
      <c r="C1303" t="s">
        <v>128</v>
      </c>
      <c r="D1303" t="s">
        <v>129</v>
      </c>
      <c r="E1303">
        <v>0</v>
      </c>
      <c r="F1303">
        <v>0</v>
      </c>
      <c r="G1303" t="s">
        <v>2</v>
      </c>
      <c r="H1303" cm="1">
        <f t="array" ref="H1303">-isDup(B1303,B1304,0.7)</f>
        <v>-1</v>
      </c>
    </row>
    <row r="1304" spans="1:8" x14ac:dyDescent="0.2">
      <c r="A1304" s="3">
        <v>46269.921492997688</v>
      </c>
      <c r="B1304" t="s">
        <v>347</v>
      </c>
      <c r="C1304" t="s">
        <v>143</v>
      </c>
      <c r="D1304" t="s">
        <v>129</v>
      </c>
      <c r="E1304">
        <v>0</v>
      </c>
      <c r="F1304">
        <v>0</v>
      </c>
      <c r="G1304" t="s">
        <v>2</v>
      </c>
      <c r="H1304" cm="1">
        <f t="array" ref="H1304">-isDup(B1304,B1305,0.7)</f>
        <v>-1</v>
      </c>
    </row>
    <row r="1305" spans="1:8" x14ac:dyDescent="0.2">
      <c r="A1305" s="3">
        <v>46270.921492997688</v>
      </c>
      <c r="B1305" t="s">
        <v>429</v>
      </c>
      <c r="C1305" t="s">
        <v>143</v>
      </c>
      <c r="D1305" t="s">
        <v>129</v>
      </c>
      <c r="E1305">
        <v>0</v>
      </c>
      <c r="F1305">
        <v>0</v>
      </c>
      <c r="G1305" t="s">
        <v>2</v>
      </c>
      <c r="H1305" cm="1">
        <f t="array" ref="H1305">-isDup(B1305,B1306,0.7)</f>
        <v>-1</v>
      </c>
    </row>
    <row r="1306" spans="1:8" x14ac:dyDescent="0.2">
      <c r="A1306" s="3">
        <v>46271.921492997688</v>
      </c>
      <c r="B1306" t="s">
        <v>429</v>
      </c>
      <c r="C1306" t="s">
        <v>128</v>
      </c>
      <c r="D1306" t="s">
        <v>129</v>
      </c>
      <c r="E1306">
        <v>0</v>
      </c>
      <c r="F1306">
        <v>0</v>
      </c>
      <c r="G1306" t="s">
        <v>2</v>
      </c>
      <c r="H1306" cm="1">
        <f t="array" ref="H1306">-isDup(B1306,B1307,0.7)</f>
        <v>0</v>
      </c>
    </row>
    <row r="1307" spans="1:8" x14ac:dyDescent="0.2">
      <c r="A1307" s="3">
        <v>46272.921492997688</v>
      </c>
      <c r="B1307" t="s">
        <v>1490</v>
      </c>
      <c r="C1307" t="s">
        <v>1476</v>
      </c>
      <c r="E1307">
        <v>0</v>
      </c>
      <c r="F1307">
        <v>0</v>
      </c>
      <c r="G1307" t="s">
        <v>2</v>
      </c>
      <c r="H1307" cm="1">
        <f t="array" ref="H1307">-isDup(B1307,B1308,0.7)</f>
        <v>0</v>
      </c>
    </row>
    <row r="1308" spans="1:8" x14ac:dyDescent="0.2">
      <c r="A1308" s="3">
        <v>46273.921492997688</v>
      </c>
      <c r="B1308" t="s">
        <v>1491</v>
      </c>
      <c r="C1308" t="s">
        <v>7</v>
      </c>
      <c r="E1308">
        <v>0</v>
      </c>
      <c r="F1308">
        <v>0</v>
      </c>
      <c r="G1308" t="s">
        <v>2</v>
      </c>
      <c r="H1308" cm="1">
        <f t="array" ref="H1308">-isDup(B1308,B1309,0.7)</f>
        <v>0</v>
      </c>
    </row>
    <row r="1309" spans="1:8" x14ac:dyDescent="0.2">
      <c r="A1309" s="3">
        <v>46274.921492997688</v>
      </c>
      <c r="B1309" t="s">
        <v>1492</v>
      </c>
      <c r="C1309" t="s">
        <v>290</v>
      </c>
      <c r="D1309" t="s">
        <v>291</v>
      </c>
      <c r="E1309">
        <v>0</v>
      </c>
      <c r="F1309">
        <v>0</v>
      </c>
      <c r="G1309" t="s">
        <v>2</v>
      </c>
      <c r="H1309" cm="1">
        <f t="array" ref="H1309">-isDup(B1309,B1310,0.7)</f>
        <v>0</v>
      </c>
    </row>
    <row r="1310" spans="1:8" x14ac:dyDescent="0.2">
      <c r="A1310" s="3">
        <v>46275.921492997688</v>
      </c>
      <c r="B1310" t="s">
        <v>1493</v>
      </c>
      <c r="C1310" t="s">
        <v>1494</v>
      </c>
      <c r="E1310">
        <v>0</v>
      </c>
      <c r="F1310">
        <v>0</v>
      </c>
      <c r="G1310" t="s">
        <v>2</v>
      </c>
      <c r="H1310" cm="1">
        <f t="array" ref="H1310">-isDup(B1310,B1311,0.7)</f>
        <v>0</v>
      </c>
    </row>
    <row r="1311" spans="1:8" x14ac:dyDescent="0.2">
      <c r="A1311" s="3">
        <v>46276.921492997688</v>
      </c>
      <c r="B1311" t="s">
        <v>1495</v>
      </c>
      <c r="C1311" t="s">
        <v>1496</v>
      </c>
      <c r="E1311">
        <v>0</v>
      </c>
      <c r="F1311">
        <v>0</v>
      </c>
      <c r="G1311" t="s">
        <v>2</v>
      </c>
      <c r="H1311" cm="1">
        <f t="array" ref="H1311">-isDup(B1311,B1312,0.7)</f>
        <v>0</v>
      </c>
    </row>
    <row r="1312" spans="1:8" x14ac:dyDescent="0.2">
      <c r="A1312" s="3">
        <v>46277.921492997688</v>
      </c>
      <c r="B1312" t="s">
        <v>1497</v>
      </c>
      <c r="C1312" t="s">
        <v>1498</v>
      </c>
      <c r="D1312" t="s">
        <v>1499</v>
      </c>
      <c r="E1312">
        <v>0</v>
      </c>
      <c r="F1312">
        <v>0</v>
      </c>
      <c r="G1312" t="s">
        <v>2</v>
      </c>
      <c r="H1312" cm="1">
        <f t="array" ref="H1312">-isDup(B1312,B1313,0.7)</f>
        <v>0</v>
      </c>
    </row>
    <row r="1313" spans="1:8" x14ac:dyDescent="0.2">
      <c r="A1313" s="3">
        <v>46278.921492997688</v>
      </c>
      <c r="B1313" t="s">
        <v>1500</v>
      </c>
      <c r="C1313" t="s">
        <v>7</v>
      </c>
      <c r="E1313">
        <v>0</v>
      </c>
      <c r="F1313">
        <v>0</v>
      </c>
      <c r="G1313" t="s">
        <v>2</v>
      </c>
      <c r="H1313" cm="1">
        <f t="array" ref="H1313">-isDup(B1313,B1314,0.7)</f>
        <v>0</v>
      </c>
    </row>
    <row r="1314" spans="1:8" x14ac:dyDescent="0.2">
      <c r="A1314" s="3">
        <v>46279.921492997688</v>
      </c>
      <c r="B1314" t="s">
        <v>1501</v>
      </c>
      <c r="C1314" t="s">
        <v>7</v>
      </c>
      <c r="E1314">
        <v>0</v>
      </c>
      <c r="F1314">
        <v>0</v>
      </c>
      <c r="G1314" t="s">
        <v>2</v>
      </c>
      <c r="H1314" cm="1">
        <f t="array" ref="H1314">-isDup(B1314,B1315,0.7)</f>
        <v>0</v>
      </c>
    </row>
    <row r="1315" spans="1:8" x14ac:dyDescent="0.2">
      <c r="A1315" s="3">
        <v>46280.921492997688</v>
      </c>
      <c r="B1315" t="s">
        <v>1502</v>
      </c>
      <c r="C1315" t="s">
        <v>695</v>
      </c>
      <c r="D1315" t="s">
        <v>158</v>
      </c>
      <c r="E1315">
        <v>6</v>
      </c>
      <c r="F1315">
        <v>2</v>
      </c>
      <c r="G1315" t="s">
        <v>2</v>
      </c>
      <c r="H1315" cm="1">
        <f t="array" ref="H1315">-isDup(B1315,B1316,0.7)</f>
        <v>0</v>
      </c>
    </row>
    <row r="1316" spans="1:8" x14ac:dyDescent="0.2">
      <c r="A1316" s="3">
        <v>46281.921492997688</v>
      </c>
      <c r="B1316" t="s">
        <v>1503</v>
      </c>
      <c r="C1316" t="s">
        <v>1504</v>
      </c>
      <c r="E1316">
        <v>0</v>
      </c>
      <c r="F1316">
        <v>0</v>
      </c>
      <c r="G1316" t="s">
        <v>2</v>
      </c>
      <c r="H1316" cm="1">
        <f t="array" ref="H1316">-isDup(B1316,B1317,0.7)</f>
        <v>0</v>
      </c>
    </row>
    <row r="1317" spans="1:8" x14ac:dyDescent="0.2">
      <c r="A1317" s="3">
        <v>46282.921492997688</v>
      </c>
      <c r="B1317" t="s">
        <v>1505</v>
      </c>
      <c r="C1317" t="s">
        <v>919</v>
      </c>
      <c r="D1317" t="s">
        <v>210</v>
      </c>
      <c r="E1317">
        <v>8</v>
      </c>
      <c r="F1317">
        <v>53</v>
      </c>
      <c r="G1317" t="s">
        <v>2</v>
      </c>
      <c r="H1317" cm="1">
        <f t="array" ref="H1317">-isDup(B1317,B1318,0.7)</f>
        <v>0</v>
      </c>
    </row>
    <row r="1318" spans="1:8" x14ac:dyDescent="0.2">
      <c r="A1318" s="3">
        <v>46283.921492997688</v>
      </c>
      <c r="B1318" t="s">
        <v>1506</v>
      </c>
      <c r="C1318" t="s">
        <v>614</v>
      </c>
      <c r="D1318" t="s">
        <v>55</v>
      </c>
      <c r="E1318">
        <v>0</v>
      </c>
      <c r="F1318">
        <v>0</v>
      </c>
      <c r="G1318" t="s">
        <v>2</v>
      </c>
      <c r="H1318" cm="1">
        <f t="array" ref="H1318">-isDup(B1318,B1319,0.7)</f>
        <v>0</v>
      </c>
    </row>
    <row r="1319" spans="1:8" x14ac:dyDescent="0.2">
      <c r="A1319" s="3">
        <v>46284.921492997688</v>
      </c>
      <c r="B1319" t="s">
        <v>325</v>
      </c>
      <c r="C1319" t="s">
        <v>143</v>
      </c>
      <c r="D1319" t="s">
        <v>129</v>
      </c>
      <c r="E1319">
        <v>0</v>
      </c>
      <c r="F1319">
        <v>1</v>
      </c>
      <c r="G1319" t="s">
        <v>2</v>
      </c>
      <c r="H1319" cm="1">
        <f t="array" ref="H1319">-isDup(B1319,B1320,0.7)</f>
        <v>0</v>
      </c>
    </row>
    <row r="1320" spans="1:8" x14ac:dyDescent="0.2">
      <c r="A1320" s="3">
        <v>46285.921492997688</v>
      </c>
      <c r="B1320" t="s">
        <v>1507</v>
      </c>
      <c r="C1320" t="s">
        <v>1508</v>
      </c>
      <c r="D1320" t="s">
        <v>1409</v>
      </c>
      <c r="E1320">
        <v>0</v>
      </c>
      <c r="F1320">
        <v>0</v>
      </c>
      <c r="G1320" t="s">
        <v>2</v>
      </c>
      <c r="H1320" cm="1">
        <f t="array" ref="H1320">-isDup(B1320,B1321,0.7)</f>
        <v>0</v>
      </c>
    </row>
    <row r="1321" spans="1:8" x14ac:dyDescent="0.2">
      <c r="A1321" s="3">
        <v>46286.921492997688</v>
      </c>
      <c r="B1321" t="s">
        <v>1509</v>
      </c>
      <c r="C1321" t="s">
        <v>7</v>
      </c>
      <c r="E1321">
        <v>0</v>
      </c>
      <c r="F1321">
        <v>0</v>
      </c>
      <c r="G1321" t="s">
        <v>2</v>
      </c>
      <c r="H1321" cm="1">
        <f t="array" ref="H1321">-isDup(B1321,B1322,0.7)</f>
        <v>0</v>
      </c>
    </row>
    <row r="1322" spans="1:8" x14ac:dyDescent="0.2">
      <c r="A1322" s="3">
        <v>46287.921492997688</v>
      </c>
      <c r="B1322" t="s">
        <v>3</v>
      </c>
      <c r="C1322" t="s">
        <v>4</v>
      </c>
      <c r="D1322" t="s">
        <v>5</v>
      </c>
      <c r="E1322">
        <v>0</v>
      </c>
      <c r="F1322">
        <v>0</v>
      </c>
      <c r="G1322" t="s">
        <v>2</v>
      </c>
      <c r="H1322" cm="1">
        <f t="array" ref="H1322">-isDup(B1322,B1323,0.7)</f>
        <v>0</v>
      </c>
    </row>
    <row r="1323" spans="1:8" x14ac:dyDescent="0.2">
      <c r="A1323" s="3">
        <v>46288.921492997688</v>
      </c>
      <c r="B1323" t="s">
        <v>1510</v>
      </c>
      <c r="C1323" t="s">
        <v>24</v>
      </c>
      <c r="E1323">
        <v>0</v>
      </c>
      <c r="F1323">
        <v>0</v>
      </c>
      <c r="G1323" t="s">
        <v>2</v>
      </c>
      <c r="H1323" cm="1">
        <f t="array" ref="H1323">-isDup(B1323,B1324,0.7)</f>
        <v>0</v>
      </c>
    </row>
    <row r="1324" spans="1:8" x14ac:dyDescent="0.2">
      <c r="A1324" s="3">
        <v>46289.921492997688</v>
      </c>
      <c r="B1324" t="s">
        <v>408</v>
      </c>
      <c r="C1324" t="s">
        <v>480</v>
      </c>
      <c r="E1324">
        <v>1</v>
      </c>
      <c r="F1324">
        <v>4</v>
      </c>
      <c r="G1324" t="s">
        <v>2</v>
      </c>
      <c r="H1324" cm="1">
        <f t="array" ref="H1324">-isDup(B1324,B1325,0.7)</f>
        <v>0</v>
      </c>
    </row>
    <row r="1325" spans="1:8" x14ac:dyDescent="0.2">
      <c r="A1325" s="3">
        <v>46290.921492997688</v>
      </c>
      <c r="B1325" t="s">
        <v>1511</v>
      </c>
      <c r="C1325" t="s">
        <v>98</v>
      </c>
      <c r="D1325" t="s">
        <v>13</v>
      </c>
      <c r="E1325">
        <v>0</v>
      </c>
      <c r="F1325">
        <v>0</v>
      </c>
      <c r="G1325" t="s">
        <v>2</v>
      </c>
      <c r="H1325" cm="1">
        <f t="array" ref="H1325">-isDup(B1325,B1326,0.7)</f>
        <v>0</v>
      </c>
    </row>
    <row r="1326" spans="1:8" x14ac:dyDescent="0.2">
      <c r="A1326" s="3">
        <v>46291.921492997688</v>
      </c>
      <c r="B1326" t="s">
        <v>889</v>
      </c>
      <c r="C1326" t="s">
        <v>1512</v>
      </c>
      <c r="D1326" t="s">
        <v>1513</v>
      </c>
      <c r="E1326">
        <v>0</v>
      </c>
      <c r="F1326">
        <v>0</v>
      </c>
      <c r="G1326" t="s">
        <v>2</v>
      </c>
      <c r="H1326" cm="1">
        <f t="array" ref="H1326">-isDup(B1326,B1327,0.7)</f>
        <v>-1</v>
      </c>
    </row>
    <row r="1327" spans="1:8" x14ac:dyDescent="0.2">
      <c r="A1327" s="3">
        <v>46292.921492997688</v>
      </c>
      <c r="B1327" t="s">
        <v>889</v>
      </c>
      <c r="C1327" t="s">
        <v>1512</v>
      </c>
      <c r="D1327" t="s">
        <v>1513</v>
      </c>
      <c r="E1327">
        <v>0</v>
      </c>
      <c r="F1327">
        <v>0</v>
      </c>
      <c r="G1327" t="s">
        <v>2</v>
      </c>
      <c r="H1327" cm="1">
        <f t="array" ref="H1327">-isDup(B1327,B1328,0.7)</f>
        <v>0</v>
      </c>
    </row>
    <row r="1328" spans="1:8" x14ac:dyDescent="0.2">
      <c r="A1328" s="3">
        <v>46293.921492997688</v>
      </c>
      <c r="B1328" t="s">
        <v>1514</v>
      </c>
      <c r="C1328" t="s">
        <v>1515</v>
      </c>
      <c r="D1328" t="s">
        <v>1516</v>
      </c>
      <c r="E1328">
        <v>0</v>
      </c>
      <c r="F1328">
        <v>0</v>
      </c>
      <c r="G1328" t="s">
        <v>2</v>
      </c>
      <c r="H1328" cm="1">
        <f t="array" ref="H1328">-isDup(B1328,B1329,0.7)</f>
        <v>0</v>
      </c>
    </row>
    <row r="1329" spans="1:8" x14ac:dyDescent="0.2">
      <c r="A1329" s="3">
        <v>46294.921492997688</v>
      </c>
      <c r="B1329" t="s">
        <v>475</v>
      </c>
      <c r="C1329" t="s">
        <v>143</v>
      </c>
      <c r="D1329" t="s">
        <v>129</v>
      </c>
      <c r="E1329">
        <v>0</v>
      </c>
      <c r="F1329">
        <v>0</v>
      </c>
      <c r="G1329" t="s">
        <v>2</v>
      </c>
      <c r="H1329" cm="1">
        <f t="array" ref="H1329">-isDup(B1329,B1330,0.7)</f>
        <v>0</v>
      </c>
    </row>
    <row r="1330" spans="1:8" x14ac:dyDescent="0.2">
      <c r="A1330" s="3">
        <v>46295.921492997688</v>
      </c>
      <c r="B1330" t="s">
        <v>1517</v>
      </c>
      <c r="C1330" t="s">
        <v>1518</v>
      </c>
      <c r="E1330">
        <v>0</v>
      </c>
      <c r="F1330">
        <v>2</v>
      </c>
      <c r="G1330" t="s">
        <v>2</v>
      </c>
      <c r="H1330" cm="1">
        <f t="array" ref="H1330">-isDup(B1330,B1331,0.7)</f>
        <v>0</v>
      </c>
    </row>
    <row r="1331" spans="1:8" x14ac:dyDescent="0.2">
      <c r="A1331" s="3">
        <v>46296.921492997688</v>
      </c>
      <c r="B1331" t="s">
        <v>1519</v>
      </c>
      <c r="C1331" t="s">
        <v>7</v>
      </c>
      <c r="E1331">
        <v>0</v>
      </c>
      <c r="F1331">
        <v>0</v>
      </c>
      <c r="G1331" t="s">
        <v>2</v>
      </c>
      <c r="H1331" cm="1">
        <f t="array" ref="H1331">-isDup(B1331,B1332,0.7)</f>
        <v>0</v>
      </c>
    </row>
    <row r="1332" spans="1:8" x14ac:dyDescent="0.2">
      <c r="A1332" s="3">
        <v>46297.921492997688</v>
      </c>
      <c r="B1332" t="s">
        <v>1520</v>
      </c>
      <c r="C1332" t="s">
        <v>1521</v>
      </c>
      <c r="E1332">
        <v>0</v>
      </c>
      <c r="F1332">
        <v>0</v>
      </c>
      <c r="G1332" t="s">
        <v>2</v>
      </c>
      <c r="H1332" cm="1">
        <f t="array" ref="H1332">-isDup(B1332,B1333,0.7)</f>
        <v>0</v>
      </c>
    </row>
    <row r="1333" spans="1:8" x14ac:dyDescent="0.2">
      <c r="A1333" s="3">
        <v>46298.921492997688</v>
      </c>
      <c r="B1333" t="s">
        <v>1522</v>
      </c>
      <c r="C1333" t="s">
        <v>461</v>
      </c>
      <c r="D1333" t="s">
        <v>462</v>
      </c>
      <c r="E1333">
        <v>0</v>
      </c>
      <c r="F1333">
        <v>1</v>
      </c>
      <c r="G1333" t="s">
        <v>2</v>
      </c>
      <c r="H1333" cm="1">
        <f t="array" ref="H1333">-isDup(B1333,B1334,0.7)</f>
        <v>0</v>
      </c>
    </row>
    <row r="1334" spans="1:8" x14ac:dyDescent="0.2">
      <c r="A1334" s="3">
        <v>46299.921492997688</v>
      </c>
      <c r="B1334" t="s">
        <v>1523</v>
      </c>
      <c r="C1334" t="s">
        <v>7</v>
      </c>
      <c r="E1334">
        <v>0</v>
      </c>
      <c r="F1334">
        <v>0</v>
      </c>
      <c r="G1334" t="s">
        <v>2</v>
      </c>
      <c r="H1334" cm="1">
        <f t="array" ref="H1334">-isDup(B1334,B1335,0.7)</f>
        <v>0</v>
      </c>
    </row>
    <row r="1335" spans="1:8" x14ac:dyDescent="0.2">
      <c r="A1335" s="3">
        <v>46300.921492997688</v>
      </c>
      <c r="B1335" t="s">
        <v>476</v>
      </c>
      <c r="C1335" t="s">
        <v>143</v>
      </c>
      <c r="D1335" t="s">
        <v>129</v>
      </c>
      <c r="E1335">
        <v>0</v>
      </c>
      <c r="F1335">
        <v>0</v>
      </c>
      <c r="G1335" t="s">
        <v>2</v>
      </c>
      <c r="H1335" cm="1">
        <f t="array" ref="H1335">-isDup(B1335,B1336,0.7)</f>
        <v>0</v>
      </c>
    </row>
    <row r="1336" spans="1:8" x14ac:dyDescent="0.2">
      <c r="A1336" s="3">
        <v>46301.921492997688</v>
      </c>
      <c r="B1336" t="s">
        <v>1524</v>
      </c>
      <c r="C1336" t="s">
        <v>400</v>
      </c>
      <c r="D1336" t="s">
        <v>103</v>
      </c>
      <c r="E1336">
        <v>3</v>
      </c>
      <c r="F1336">
        <v>18</v>
      </c>
      <c r="G1336" t="s">
        <v>2</v>
      </c>
      <c r="H1336" cm="1">
        <f t="array" ref="H1336">-isDup(B1336,B1337,0.7)</f>
        <v>0</v>
      </c>
    </row>
    <row r="1337" spans="1:8" x14ac:dyDescent="0.2">
      <c r="A1337" s="3">
        <v>46302.921492997688</v>
      </c>
      <c r="B1337" t="s">
        <v>1525</v>
      </c>
      <c r="C1337" t="s">
        <v>7</v>
      </c>
      <c r="E1337">
        <v>0</v>
      </c>
      <c r="F1337">
        <v>0</v>
      </c>
      <c r="G1337" t="s">
        <v>2</v>
      </c>
      <c r="H1337" cm="1">
        <f t="array" ref="H1337">-isDup(B1337,B1338,0.7)</f>
        <v>0</v>
      </c>
    </row>
    <row r="1338" spans="1:8" x14ac:dyDescent="0.2">
      <c r="A1338" s="3">
        <v>46303.921492997688</v>
      </c>
      <c r="B1338" t="s">
        <v>1526</v>
      </c>
      <c r="C1338" t="s">
        <v>1527</v>
      </c>
      <c r="E1338">
        <v>0</v>
      </c>
      <c r="F1338">
        <v>0</v>
      </c>
      <c r="G1338" t="s">
        <v>2</v>
      </c>
      <c r="H1338" cm="1">
        <f t="array" ref="H1338">-isDup(B1338,B1339,0.7)</f>
        <v>0</v>
      </c>
    </row>
    <row r="1339" spans="1:8" x14ac:dyDescent="0.2">
      <c r="A1339" s="3">
        <v>46304.921492997688</v>
      </c>
      <c r="B1339" t="s">
        <v>35</v>
      </c>
      <c r="C1339" t="s">
        <v>33</v>
      </c>
      <c r="D1339" t="s">
        <v>34</v>
      </c>
      <c r="E1339">
        <v>0</v>
      </c>
      <c r="F1339">
        <v>0</v>
      </c>
      <c r="G1339" t="s">
        <v>2</v>
      </c>
      <c r="H1339" cm="1">
        <f t="array" ref="H1339">-isDup(B1339,B1340,0.7)</f>
        <v>-1</v>
      </c>
    </row>
    <row r="1340" spans="1:8" x14ac:dyDescent="0.2">
      <c r="A1340" s="3">
        <v>46305.921492997688</v>
      </c>
      <c r="B1340" t="s">
        <v>37</v>
      </c>
      <c r="C1340" t="s">
        <v>33</v>
      </c>
      <c r="D1340" t="s">
        <v>34</v>
      </c>
      <c r="E1340">
        <v>0</v>
      </c>
      <c r="F1340">
        <v>0</v>
      </c>
      <c r="G1340" t="s">
        <v>2</v>
      </c>
      <c r="H1340" cm="1">
        <f t="array" ref="H1340">-isDup(B1340,B1341,0.7)</f>
        <v>0</v>
      </c>
    </row>
    <row r="1341" spans="1:8" x14ac:dyDescent="0.2">
      <c r="A1341" s="3">
        <v>46306.921492997688</v>
      </c>
      <c r="B1341" t="s">
        <v>36</v>
      </c>
      <c r="C1341" t="s">
        <v>33</v>
      </c>
      <c r="D1341" t="s">
        <v>34</v>
      </c>
      <c r="E1341">
        <v>0</v>
      </c>
      <c r="F1341">
        <v>0</v>
      </c>
      <c r="G1341" t="s">
        <v>2</v>
      </c>
      <c r="H1341" cm="1">
        <f t="array" ref="H1341">-isDup(B1341,B1342,0.7)</f>
        <v>0</v>
      </c>
    </row>
    <row r="1342" spans="1:8" x14ac:dyDescent="0.2">
      <c r="A1342" s="3">
        <v>46307.921492997688</v>
      </c>
      <c r="B1342" t="s">
        <v>1528</v>
      </c>
      <c r="C1342" t="s">
        <v>33</v>
      </c>
      <c r="D1342" t="s">
        <v>34</v>
      </c>
      <c r="E1342">
        <v>0</v>
      </c>
      <c r="F1342">
        <v>0</v>
      </c>
      <c r="G1342" t="s">
        <v>2</v>
      </c>
      <c r="H1342" cm="1">
        <f t="array" ref="H1342">-isDup(B1342,B1343,0.7)</f>
        <v>0</v>
      </c>
    </row>
    <row r="1343" spans="1:8" x14ac:dyDescent="0.2">
      <c r="A1343" s="3">
        <v>46308.921492997688</v>
      </c>
      <c r="B1343" t="s">
        <v>326</v>
      </c>
      <c r="C1343" t="s">
        <v>128</v>
      </c>
      <c r="D1343" t="s">
        <v>129</v>
      </c>
      <c r="E1343">
        <v>0</v>
      </c>
      <c r="F1343">
        <v>1</v>
      </c>
      <c r="G1343" t="s">
        <v>2</v>
      </c>
      <c r="H1343" cm="1">
        <f t="array" ref="H1343">-isDup(B1343,B1344,0.7)</f>
        <v>-1</v>
      </c>
    </row>
    <row r="1344" spans="1:8" x14ac:dyDescent="0.2">
      <c r="A1344" s="3">
        <v>46309.921492997688</v>
      </c>
      <c r="B1344" t="s">
        <v>326</v>
      </c>
      <c r="C1344" t="s">
        <v>143</v>
      </c>
      <c r="D1344" t="s">
        <v>129</v>
      </c>
      <c r="E1344">
        <v>0</v>
      </c>
      <c r="F1344">
        <v>0</v>
      </c>
      <c r="G1344" t="s">
        <v>2</v>
      </c>
      <c r="H1344" cm="1">
        <f t="array" ref="H1344">-isDup(B1344,B1345,0.7)</f>
        <v>0</v>
      </c>
    </row>
    <row r="1345" spans="1:8" x14ac:dyDescent="0.2">
      <c r="A1345" s="3">
        <v>46310.921492997688</v>
      </c>
      <c r="B1345" t="s">
        <v>1529</v>
      </c>
      <c r="C1345" t="s">
        <v>7</v>
      </c>
      <c r="E1345">
        <v>0</v>
      </c>
      <c r="F1345">
        <v>0</v>
      </c>
      <c r="G1345" t="s">
        <v>2</v>
      </c>
      <c r="H1345" cm="1">
        <f t="array" ref="H1345">-isDup(B1345,B1346,0.7)</f>
        <v>0</v>
      </c>
    </row>
    <row r="1346" spans="1:8" x14ac:dyDescent="0.2">
      <c r="A1346" s="3">
        <v>46311.921492997688</v>
      </c>
      <c r="B1346" t="s">
        <v>1530</v>
      </c>
      <c r="C1346" t="s">
        <v>1531</v>
      </c>
      <c r="D1346" t="s">
        <v>1532</v>
      </c>
      <c r="E1346">
        <v>0</v>
      </c>
      <c r="F1346">
        <v>1</v>
      </c>
      <c r="G1346" t="s">
        <v>2</v>
      </c>
      <c r="H1346" cm="1">
        <f t="array" ref="H1346">-isDup(B1346,B1347,0.7)</f>
        <v>0</v>
      </c>
    </row>
    <row r="1347" spans="1:8" x14ac:dyDescent="0.2">
      <c r="A1347" s="3">
        <v>46312.921492997688</v>
      </c>
      <c r="B1347" t="s">
        <v>1533</v>
      </c>
      <c r="C1347" t="s">
        <v>98</v>
      </c>
      <c r="D1347" t="s">
        <v>13</v>
      </c>
      <c r="E1347">
        <v>0</v>
      </c>
      <c r="F1347">
        <v>0</v>
      </c>
      <c r="G1347" t="s">
        <v>2</v>
      </c>
      <c r="H1347" cm="1">
        <f t="array" ref="H1347">-isDup(B1347,B1348,0.7)</f>
        <v>0</v>
      </c>
    </row>
    <row r="1348" spans="1:8" x14ac:dyDescent="0.2">
      <c r="A1348" s="3">
        <v>46313.921492997688</v>
      </c>
      <c r="B1348" t="s">
        <v>336</v>
      </c>
      <c r="C1348" t="s">
        <v>143</v>
      </c>
      <c r="D1348" t="s">
        <v>129</v>
      </c>
      <c r="E1348">
        <v>0</v>
      </c>
      <c r="F1348">
        <v>0</v>
      </c>
      <c r="G1348" t="s">
        <v>2</v>
      </c>
      <c r="H1348" cm="1">
        <f t="array" ref="H1348">-isDup(B1348,B1349,0.7)</f>
        <v>0</v>
      </c>
    </row>
    <row r="1349" spans="1:8" x14ac:dyDescent="0.2">
      <c r="A1349" s="3">
        <v>46314.921492997688</v>
      </c>
      <c r="B1349" t="s">
        <v>1534</v>
      </c>
      <c r="C1349" t="s">
        <v>7</v>
      </c>
      <c r="E1349">
        <v>0</v>
      </c>
      <c r="F1349">
        <v>0</v>
      </c>
      <c r="G1349" t="s">
        <v>2</v>
      </c>
      <c r="H1349" cm="1">
        <f t="array" ref="H1349">-isDup(B1349,B1350,0.7)</f>
        <v>0</v>
      </c>
    </row>
    <row r="1350" spans="1:8" x14ac:dyDescent="0.2">
      <c r="A1350" s="3">
        <v>46315.921492997688</v>
      </c>
      <c r="B1350" t="s">
        <v>1535</v>
      </c>
      <c r="C1350" t="s">
        <v>699</v>
      </c>
      <c r="D1350" t="s">
        <v>1536</v>
      </c>
      <c r="E1350">
        <v>1</v>
      </c>
      <c r="F1350">
        <v>0</v>
      </c>
      <c r="G1350" t="s">
        <v>2</v>
      </c>
      <c r="H1350" cm="1">
        <f t="array" ref="H1350">-isDup(B1350,B1351,0.7)</f>
        <v>0</v>
      </c>
    </row>
    <row r="1351" spans="1:8" x14ac:dyDescent="0.2">
      <c r="A1351" s="3">
        <v>46316.921492997688</v>
      </c>
      <c r="B1351" t="s">
        <v>1537</v>
      </c>
      <c r="C1351" t="s">
        <v>1538</v>
      </c>
      <c r="E1351">
        <v>0</v>
      </c>
      <c r="F1351">
        <v>0</v>
      </c>
      <c r="G1351" t="s">
        <v>2</v>
      </c>
      <c r="H1351" cm="1">
        <f t="array" ref="H1351">-isDup(B1351,B1352,0.7)</f>
        <v>0</v>
      </c>
    </row>
    <row r="1352" spans="1:8" x14ac:dyDescent="0.2">
      <c r="A1352" s="3">
        <v>46317.921492997688</v>
      </c>
      <c r="B1352" t="s">
        <v>1539</v>
      </c>
      <c r="C1352" t="s">
        <v>727</v>
      </c>
      <c r="E1352">
        <v>0</v>
      </c>
      <c r="F1352">
        <v>0</v>
      </c>
      <c r="G1352" t="s">
        <v>2</v>
      </c>
      <c r="H1352" cm="1">
        <f t="array" ref="H1352">-isDup(B1352,B1353,0.7)</f>
        <v>0</v>
      </c>
    </row>
    <row r="1353" spans="1:8" x14ac:dyDescent="0.2">
      <c r="A1353" s="3">
        <v>46318.921492997688</v>
      </c>
      <c r="B1353" t="s">
        <v>646</v>
      </c>
      <c r="C1353" t="s">
        <v>143</v>
      </c>
      <c r="D1353" t="s">
        <v>129</v>
      </c>
      <c r="E1353">
        <v>0</v>
      </c>
      <c r="F1353">
        <v>0</v>
      </c>
      <c r="G1353" t="s">
        <v>2</v>
      </c>
      <c r="H1353" cm="1">
        <f t="array" ref="H1353">-isDup(B1353,B1354,0.7)</f>
        <v>0</v>
      </c>
    </row>
    <row r="1354" spans="1:8" x14ac:dyDescent="0.2">
      <c r="A1354" s="3">
        <v>46319.921492997688</v>
      </c>
      <c r="B1354" t="s">
        <v>1540</v>
      </c>
      <c r="C1354" t="s">
        <v>57</v>
      </c>
      <c r="D1354" t="s">
        <v>69</v>
      </c>
      <c r="E1354">
        <v>0</v>
      </c>
      <c r="F1354">
        <v>0</v>
      </c>
      <c r="G1354" t="s">
        <v>2</v>
      </c>
      <c r="H1354" cm="1">
        <f t="array" ref="H1354">-isDup(B1354,B1355,0.7)</f>
        <v>0</v>
      </c>
    </row>
    <row r="1355" spans="1:8" x14ac:dyDescent="0.2">
      <c r="A1355" s="3">
        <v>46320.921492997688</v>
      </c>
      <c r="B1355" t="s">
        <v>368</v>
      </c>
      <c r="C1355" t="s">
        <v>143</v>
      </c>
      <c r="D1355" t="s">
        <v>129</v>
      </c>
      <c r="E1355">
        <v>0</v>
      </c>
      <c r="F1355">
        <v>0</v>
      </c>
      <c r="G1355" t="s">
        <v>2</v>
      </c>
      <c r="H1355" cm="1">
        <f t="array" ref="H1355">-isDup(B1355,B1356,0.7)</f>
        <v>0</v>
      </c>
    </row>
    <row r="1356" spans="1:8" x14ac:dyDescent="0.2">
      <c r="A1356" s="3">
        <v>46321.921492997688</v>
      </c>
      <c r="B1356" t="s">
        <v>1541</v>
      </c>
      <c r="C1356" t="s">
        <v>7</v>
      </c>
      <c r="E1356">
        <v>0</v>
      </c>
      <c r="F1356">
        <v>0</v>
      </c>
      <c r="G1356" t="s">
        <v>2</v>
      </c>
      <c r="H1356" cm="1">
        <f t="array" ref="H1356">-isDup(B1356,B1357,0.7)</f>
        <v>0</v>
      </c>
    </row>
    <row r="1357" spans="1:8" x14ac:dyDescent="0.2">
      <c r="A1357" s="3">
        <v>46322.921492997688</v>
      </c>
      <c r="B1357" t="s">
        <v>1542</v>
      </c>
      <c r="C1357" t="s">
        <v>33</v>
      </c>
      <c r="E1357">
        <v>0</v>
      </c>
      <c r="F1357">
        <v>0</v>
      </c>
      <c r="G1357" t="s">
        <v>2</v>
      </c>
      <c r="H1357" cm="1">
        <f t="array" ref="H1357">-isDup(B1357,B1358,0.7)</f>
        <v>0</v>
      </c>
    </row>
    <row r="1358" spans="1:8" x14ac:dyDescent="0.2">
      <c r="A1358" s="3">
        <v>46323.921492997688</v>
      </c>
      <c r="B1358" t="s">
        <v>1543</v>
      </c>
      <c r="C1358" t="s">
        <v>12</v>
      </c>
      <c r="D1358" t="s">
        <v>13</v>
      </c>
      <c r="E1358">
        <v>0</v>
      </c>
      <c r="F1358">
        <v>1</v>
      </c>
      <c r="G1358" t="s">
        <v>2</v>
      </c>
      <c r="H1358" cm="1">
        <f t="array" ref="H1358">-isDup(B1358,B1359,0.7)</f>
        <v>0</v>
      </c>
    </row>
    <row r="1359" spans="1:8" x14ac:dyDescent="0.2">
      <c r="A1359" s="3">
        <v>46324.921492997688</v>
      </c>
      <c r="B1359" t="s">
        <v>1544</v>
      </c>
      <c r="C1359" t="s">
        <v>1120</v>
      </c>
      <c r="D1359" t="s">
        <v>1545</v>
      </c>
      <c r="E1359">
        <v>0</v>
      </c>
      <c r="F1359">
        <v>1</v>
      </c>
      <c r="G1359" t="s">
        <v>2</v>
      </c>
      <c r="H1359" cm="1">
        <f t="array" ref="H1359">-isDup(B1359,B1360,0.7)</f>
        <v>0</v>
      </c>
    </row>
    <row r="1360" spans="1:8" x14ac:dyDescent="0.2">
      <c r="A1360" s="3">
        <v>46325.921492997688</v>
      </c>
      <c r="B1360" t="s">
        <v>3</v>
      </c>
      <c r="C1360" t="s">
        <v>4</v>
      </c>
      <c r="D1360" t="s">
        <v>5</v>
      </c>
      <c r="E1360">
        <v>0</v>
      </c>
      <c r="F1360">
        <v>0</v>
      </c>
      <c r="G1360" t="s">
        <v>2</v>
      </c>
      <c r="H1360" cm="1">
        <f t="array" ref="H1360">-isDup(B1360,B1361,0.7)</f>
        <v>0</v>
      </c>
    </row>
    <row r="1361" spans="1:8" x14ac:dyDescent="0.2">
      <c r="A1361" s="3">
        <v>46326.921492997688</v>
      </c>
      <c r="B1361" t="s">
        <v>1546</v>
      </c>
      <c r="C1361" t="s">
        <v>1547</v>
      </c>
      <c r="E1361">
        <v>0</v>
      </c>
      <c r="F1361">
        <v>0</v>
      </c>
      <c r="G1361" t="s">
        <v>2</v>
      </c>
      <c r="H1361" cm="1">
        <f t="array" ref="H1361">-isDup(B1361,B1362,0.7)</f>
        <v>0</v>
      </c>
    </row>
    <row r="1362" spans="1:8" x14ac:dyDescent="0.2">
      <c r="A1362" s="3">
        <v>46327.921492997688</v>
      </c>
      <c r="B1362" t="s">
        <v>1548</v>
      </c>
      <c r="C1362" t="s">
        <v>7</v>
      </c>
      <c r="E1362">
        <v>0</v>
      </c>
      <c r="F1362">
        <v>0</v>
      </c>
      <c r="G1362" t="s">
        <v>2</v>
      </c>
      <c r="H1362" cm="1">
        <f t="array" ref="H1362">-isDup(B1362,B1363,0.7)</f>
        <v>0</v>
      </c>
    </row>
    <row r="1363" spans="1:8" x14ac:dyDescent="0.2">
      <c r="A1363" s="3">
        <v>46328.921492997688</v>
      </c>
      <c r="B1363" t="s">
        <v>1549</v>
      </c>
      <c r="C1363" t="s">
        <v>1550</v>
      </c>
      <c r="D1363" t="s">
        <v>1551</v>
      </c>
      <c r="E1363">
        <v>0</v>
      </c>
      <c r="F1363">
        <v>0</v>
      </c>
      <c r="G1363" t="s">
        <v>2</v>
      </c>
      <c r="H1363" cm="1">
        <f t="array" ref="H1363">-isDup(B1363,B1364,0.7)</f>
        <v>0</v>
      </c>
    </row>
    <row r="1364" spans="1:8" x14ac:dyDescent="0.2">
      <c r="A1364" s="3">
        <v>46329.921492997688</v>
      </c>
      <c r="B1364" t="s">
        <v>337</v>
      </c>
      <c r="C1364" t="s">
        <v>143</v>
      </c>
      <c r="D1364" t="s">
        <v>129</v>
      </c>
      <c r="E1364">
        <v>0</v>
      </c>
      <c r="F1364">
        <v>0</v>
      </c>
      <c r="G1364" t="s">
        <v>2</v>
      </c>
      <c r="H1364" cm="1">
        <f t="array" ref="H1364">-isDup(B1364,B1365,0.7)</f>
        <v>0</v>
      </c>
    </row>
    <row r="1365" spans="1:8" x14ac:dyDescent="0.2">
      <c r="A1365" s="3">
        <v>46330.921492997688</v>
      </c>
      <c r="B1365" t="s">
        <v>1552</v>
      </c>
      <c r="C1365" t="s">
        <v>7</v>
      </c>
      <c r="E1365">
        <v>0</v>
      </c>
      <c r="F1365">
        <v>0</v>
      </c>
      <c r="G1365" t="s">
        <v>2</v>
      </c>
      <c r="H1365" cm="1">
        <f t="array" ref="H1365">-isDup(B1365,B1366,0.7)</f>
        <v>0</v>
      </c>
    </row>
    <row r="1366" spans="1:8" x14ac:dyDescent="0.2">
      <c r="A1366" s="3">
        <v>46331.921492997688</v>
      </c>
      <c r="B1366" t="s">
        <v>1553</v>
      </c>
      <c r="C1366" t="s">
        <v>1554</v>
      </c>
      <c r="D1366" t="s">
        <v>1555</v>
      </c>
      <c r="E1366">
        <v>0</v>
      </c>
      <c r="F1366">
        <v>3</v>
      </c>
      <c r="G1366" t="s">
        <v>2</v>
      </c>
      <c r="H1366" cm="1">
        <f t="array" ref="H1366">-isDup(B1366,B1367,0.7)</f>
        <v>0</v>
      </c>
    </row>
    <row r="1367" spans="1:8" x14ac:dyDescent="0.2">
      <c r="A1367" s="3">
        <v>46332.921492997688</v>
      </c>
      <c r="B1367" t="s">
        <v>94</v>
      </c>
      <c r="C1367" t="s">
        <v>22</v>
      </c>
      <c r="E1367">
        <v>0</v>
      </c>
      <c r="F1367">
        <v>0</v>
      </c>
      <c r="G1367" t="s">
        <v>2</v>
      </c>
      <c r="H1367" cm="1">
        <f t="array" ref="H1367">-isDup(B1367,B1368,0.7)</f>
        <v>0</v>
      </c>
    </row>
    <row r="1368" spans="1:8" x14ac:dyDescent="0.2">
      <c r="A1368" s="3">
        <v>46333.921492997688</v>
      </c>
      <c r="B1368" t="s">
        <v>1556</v>
      </c>
      <c r="C1368" t="s">
        <v>1557</v>
      </c>
      <c r="D1368" t="s">
        <v>1558</v>
      </c>
      <c r="E1368">
        <v>0</v>
      </c>
      <c r="F1368">
        <v>1</v>
      </c>
      <c r="G1368" t="s">
        <v>2</v>
      </c>
      <c r="H1368" cm="1">
        <f t="array" ref="H1368">-isDup(B1368,B1369,0.7)</f>
        <v>0</v>
      </c>
    </row>
    <row r="1369" spans="1:8" x14ac:dyDescent="0.2">
      <c r="A1369" s="3">
        <v>46334.921492997688</v>
      </c>
      <c r="B1369" t="s">
        <v>1559</v>
      </c>
      <c r="C1369" t="s">
        <v>512</v>
      </c>
      <c r="E1369">
        <v>0</v>
      </c>
      <c r="F1369">
        <v>0</v>
      </c>
      <c r="G1369" t="s">
        <v>2</v>
      </c>
      <c r="H1369" cm="1">
        <f t="array" ref="H1369">-isDup(B1369,B1370,0.7)</f>
        <v>0</v>
      </c>
    </row>
    <row r="1370" spans="1:8" x14ac:dyDescent="0.2">
      <c r="A1370" s="3">
        <v>46335.921492997688</v>
      </c>
      <c r="B1370" t="s">
        <v>432</v>
      </c>
      <c r="C1370" t="s">
        <v>143</v>
      </c>
      <c r="D1370" t="s">
        <v>129</v>
      </c>
      <c r="E1370">
        <v>0</v>
      </c>
      <c r="F1370">
        <v>0</v>
      </c>
      <c r="G1370" t="s">
        <v>2</v>
      </c>
      <c r="H1370" cm="1">
        <f t="array" ref="H1370">-isDup(B1370,B1371,0.7)</f>
        <v>0</v>
      </c>
    </row>
    <row r="1371" spans="1:8" x14ac:dyDescent="0.2">
      <c r="A1371" s="3">
        <v>46336.921492997688</v>
      </c>
      <c r="B1371" t="s">
        <v>396</v>
      </c>
      <c r="C1371" t="s">
        <v>143</v>
      </c>
      <c r="D1371" t="s">
        <v>129</v>
      </c>
      <c r="E1371">
        <v>0</v>
      </c>
      <c r="F1371">
        <v>0</v>
      </c>
      <c r="G1371" t="s">
        <v>2</v>
      </c>
      <c r="H1371" cm="1">
        <f t="array" ref="H1371">-isDup(B1371,B1372,0.7)</f>
        <v>0</v>
      </c>
    </row>
    <row r="1372" spans="1:8" x14ac:dyDescent="0.2">
      <c r="A1372" s="3">
        <v>46337.921492997688</v>
      </c>
      <c r="B1372" t="s">
        <v>1560</v>
      </c>
      <c r="C1372" t="s">
        <v>1561</v>
      </c>
      <c r="D1372" t="s">
        <v>1562</v>
      </c>
      <c r="E1372">
        <v>0</v>
      </c>
      <c r="F1372">
        <v>0</v>
      </c>
      <c r="G1372" t="s">
        <v>2</v>
      </c>
      <c r="H1372" cm="1">
        <f t="array" ref="H1372">-isDup(B1372,B1373,0.7)</f>
        <v>0</v>
      </c>
    </row>
    <row r="1373" spans="1:8" x14ac:dyDescent="0.2">
      <c r="A1373" s="3">
        <v>46338.921492997688</v>
      </c>
      <c r="B1373" t="s">
        <v>1563</v>
      </c>
      <c r="C1373" t="s">
        <v>1564</v>
      </c>
      <c r="E1373">
        <v>0</v>
      </c>
      <c r="F1373">
        <v>0</v>
      </c>
      <c r="G1373" t="s">
        <v>2</v>
      </c>
      <c r="H1373" cm="1">
        <f t="array" ref="H1373">-isDup(B1373,B1374,0.7)</f>
        <v>0</v>
      </c>
    </row>
    <row r="1374" spans="1:8" x14ac:dyDescent="0.2">
      <c r="A1374" s="3">
        <v>46339.921492997688</v>
      </c>
      <c r="B1374" t="s">
        <v>1565</v>
      </c>
      <c r="C1374" t="s">
        <v>1566</v>
      </c>
      <c r="D1374" t="s">
        <v>1567</v>
      </c>
      <c r="E1374">
        <v>0</v>
      </c>
      <c r="F1374">
        <v>0</v>
      </c>
      <c r="G1374" t="s">
        <v>2</v>
      </c>
      <c r="H1374" cm="1">
        <f t="array" ref="H1374">-isDup(B1374,B1375,0.7)</f>
        <v>0</v>
      </c>
    </row>
    <row r="1375" spans="1:8" x14ac:dyDescent="0.2">
      <c r="A1375" s="3">
        <v>46340.921492997688</v>
      </c>
      <c r="B1375" t="s">
        <v>1568</v>
      </c>
      <c r="C1375" t="s">
        <v>106</v>
      </c>
      <c r="E1375">
        <v>0</v>
      </c>
      <c r="F1375">
        <v>0</v>
      </c>
      <c r="G1375" t="s">
        <v>2</v>
      </c>
      <c r="H1375" cm="1">
        <f t="array" ref="H1375">-isDup(B1375,B1376,0.7)</f>
        <v>0</v>
      </c>
    </row>
    <row r="1376" spans="1:8" x14ac:dyDescent="0.2">
      <c r="A1376" s="3">
        <v>46341.921492997688</v>
      </c>
      <c r="B1376" t="s">
        <v>1569</v>
      </c>
      <c r="C1376" t="s">
        <v>33</v>
      </c>
      <c r="D1376" t="s">
        <v>34</v>
      </c>
      <c r="E1376">
        <v>0</v>
      </c>
      <c r="F1376">
        <v>0</v>
      </c>
      <c r="G1376" t="s">
        <v>2</v>
      </c>
      <c r="H1376" cm="1">
        <f t="array" ref="H1376">-isDup(B1376,B1377,0.7)</f>
        <v>0</v>
      </c>
    </row>
    <row r="1377" spans="1:8" x14ac:dyDescent="0.2">
      <c r="A1377" s="3">
        <v>46342.921492997688</v>
      </c>
      <c r="B1377" t="s">
        <v>36</v>
      </c>
      <c r="C1377" t="s">
        <v>33</v>
      </c>
      <c r="D1377" t="s">
        <v>34</v>
      </c>
      <c r="E1377">
        <v>0</v>
      </c>
      <c r="F1377">
        <v>0</v>
      </c>
      <c r="G1377" t="s">
        <v>2</v>
      </c>
      <c r="H1377" cm="1">
        <f t="array" ref="H1377">-isDup(B1377,B1378,0.7)</f>
        <v>0</v>
      </c>
    </row>
    <row r="1378" spans="1:8" x14ac:dyDescent="0.2">
      <c r="A1378" s="3">
        <v>46343.921492997688</v>
      </c>
      <c r="B1378" t="s">
        <v>37</v>
      </c>
      <c r="C1378" t="s">
        <v>33</v>
      </c>
      <c r="D1378" t="s">
        <v>34</v>
      </c>
      <c r="E1378">
        <v>0</v>
      </c>
      <c r="F1378">
        <v>0</v>
      </c>
      <c r="G1378" t="s">
        <v>2</v>
      </c>
      <c r="H1378" cm="1">
        <f t="array" ref="H1378">-isDup(B1378,B1379,0.7)</f>
        <v>-1</v>
      </c>
    </row>
    <row r="1379" spans="1:8" x14ac:dyDescent="0.2">
      <c r="A1379" s="3">
        <v>46344.921492997688</v>
      </c>
      <c r="B1379" t="s">
        <v>35</v>
      </c>
      <c r="C1379" t="s">
        <v>33</v>
      </c>
      <c r="D1379" t="s">
        <v>34</v>
      </c>
      <c r="E1379">
        <v>0</v>
      </c>
      <c r="F1379">
        <v>0</v>
      </c>
      <c r="G1379" t="s">
        <v>2</v>
      </c>
      <c r="H1379" cm="1">
        <f t="array" ref="H1379">-isDup(B1379,B1380,0.7)</f>
        <v>0</v>
      </c>
    </row>
    <row r="1380" spans="1:8" x14ac:dyDescent="0.2">
      <c r="A1380" s="3">
        <v>46345.921492997688</v>
      </c>
      <c r="B1380" t="s">
        <v>1570</v>
      </c>
      <c r="C1380" t="s">
        <v>1276</v>
      </c>
      <c r="E1380">
        <v>0</v>
      </c>
      <c r="F1380">
        <v>0</v>
      </c>
      <c r="G1380" t="s">
        <v>2</v>
      </c>
      <c r="H1380" cm="1">
        <f t="array" ref="H1380">-isDup(B1380,B1381,0.7)</f>
        <v>0</v>
      </c>
    </row>
    <row r="1381" spans="1:8" x14ac:dyDescent="0.2">
      <c r="A1381" s="3">
        <v>46346.921492997688</v>
      </c>
      <c r="B1381" t="s">
        <v>1571</v>
      </c>
      <c r="C1381" t="s">
        <v>7</v>
      </c>
      <c r="E1381">
        <v>0</v>
      </c>
      <c r="F1381">
        <v>0</v>
      </c>
      <c r="G1381" t="s">
        <v>2</v>
      </c>
      <c r="H1381" cm="1">
        <f t="array" ref="H1381">-isDup(B1381,B1382,0.7)</f>
        <v>0</v>
      </c>
    </row>
    <row r="1382" spans="1:8" x14ac:dyDescent="0.2">
      <c r="A1382" s="3">
        <v>46347.921492997688</v>
      </c>
      <c r="B1382" t="s">
        <v>1572</v>
      </c>
      <c r="C1382" t="s">
        <v>1573</v>
      </c>
      <c r="D1382" t="s">
        <v>1574</v>
      </c>
      <c r="E1382">
        <v>0</v>
      </c>
      <c r="F1382">
        <v>0</v>
      </c>
      <c r="G1382" t="s">
        <v>2</v>
      </c>
      <c r="H1382" cm="1">
        <f t="array" ref="H1382">-isDup(B1382,B1383,0.7)</f>
        <v>0</v>
      </c>
    </row>
    <row r="1383" spans="1:8" x14ac:dyDescent="0.2">
      <c r="A1383" s="3">
        <v>46348.921492997688</v>
      </c>
      <c r="B1383" t="s">
        <v>408</v>
      </c>
      <c r="C1383" t="s">
        <v>316</v>
      </c>
      <c r="D1383" t="s">
        <v>189</v>
      </c>
      <c r="E1383">
        <v>0</v>
      </c>
      <c r="F1383">
        <v>0</v>
      </c>
      <c r="G1383" t="s">
        <v>2</v>
      </c>
      <c r="H1383" cm="1">
        <f t="array" ref="H1383">-isDup(B1383,B1384,0.7)</f>
        <v>0</v>
      </c>
    </row>
    <row r="1384" spans="1:8" x14ac:dyDescent="0.2">
      <c r="A1384" s="3">
        <v>46349.921492997688</v>
      </c>
      <c r="B1384" t="s">
        <v>1575</v>
      </c>
      <c r="C1384" t="s">
        <v>1576</v>
      </c>
      <c r="D1384" t="s">
        <v>1577</v>
      </c>
      <c r="E1384">
        <v>1</v>
      </c>
      <c r="F1384">
        <v>6</v>
      </c>
      <c r="G1384" t="s">
        <v>2</v>
      </c>
      <c r="H1384" cm="1">
        <f t="array" ref="H1384">-isDup(B1384,B1385,0.7)</f>
        <v>0</v>
      </c>
    </row>
    <row r="1385" spans="1:8" x14ac:dyDescent="0.2">
      <c r="A1385" s="3">
        <v>46350.921492997688</v>
      </c>
      <c r="B1385" t="s">
        <v>23</v>
      </c>
      <c r="C1385" t="s">
        <v>1240</v>
      </c>
      <c r="E1385">
        <v>0</v>
      </c>
      <c r="F1385">
        <v>0</v>
      </c>
      <c r="G1385" t="s">
        <v>2</v>
      </c>
      <c r="H1385" cm="1">
        <f t="array" ref="H1385">-isDup(B1385,B1386,0.7)</f>
        <v>0</v>
      </c>
    </row>
    <row r="1386" spans="1:8" x14ac:dyDescent="0.2">
      <c r="A1386" s="3">
        <v>46351.921492997688</v>
      </c>
      <c r="B1386" t="s">
        <v>1578</v>
      </c>
      <c r="C1386" t="s">
        <v>7</v>
      </c>
      <c r="E1386">
        <v>1</v>
      </c>
      <c r="F1386">
        <v>1</v>
      </c>
      <c r="G1386" t="s">
        <v>2</v>
      </c>
      <c r="H1386" cm="1">
        <f t="array" ref="H1386">-isDup(B1386,B1387,0.7)</f>
        <v>0</v>
      </c>
    </row>
    <row r="1387" spans="1:8" x14ac:dyDescent="0.2">
      <c r="A1387" s="3">
        <v>46352.921492997688</v>
      </c>
      <c r="B1387" t="s">
        <v>1579</v>
      </c>
      <c r="C1387" t="s">
        <v>1580</v>
      </c>
      <c r="E1387">
        <v>0</v>
      </c>
      <c r="F1387">
        <v>0</v>
      </c>
      <c r="G1387" t="s">
        <v>2</v>
      </c>
      <c r="H1387" cm="1">
        <f t="array" ref="H1387">-isDup(B1387,B1388,0.7)</f>
        <v>0</v>
      </c>
    </row>
    <row r="1388" spans="1:8" x14ac:dyDescent="0.2">
      <c r="A1388" s="3">
        <v>46353.921492997688</v>
      </c>
      <c r="B1388" t="s">
        <v>1581</v>
      </c>
      <c r="C1388" t="s">
        <v>1582</v>
      </c>
      <c r="D1388" t="s">
        <v>1583</v>
      </c>
      <c r="E1388">
        <v>0</v>
      </c>
      <c r="F1388">
        <v>0</v>
      </c>
      <c r="G1388" t="s">
        <v>2</v>
      </c>
      <c r="H1388" cm="1">
        <f t="array" ref="H1388">-isDup(B1388,B1389,0.7)</f>
        <v>0</v>
      </c>
    </row>
    <row r="1389" spans="1:8" x14ac:dyDescent="0.2">
      <c r="A1389" s="3">
        <v>46354.921492997688</v>
      </c>
      <c r="B1389" t="s">
        <v>1584</v>
      </c>
      <c r="C1389" t="s">
        <v>1476</v>
      </c>
      <c r="E1389">
        <v>0</v>
      </c>
      <c r="F1389">
        <v>0</v>
      </c>
      <c r="G1389" t="s">
        <v>2</v>
      </c>
      <c r="H1389" cm="1">
        <f t="array" ref="H1389">-isDup(B1389,B1390,0.7)</f>
        <v>0</v>
      </c>
    </row>
    <row r="1390" spans="1:8" x14ac:dyDescent="0.2">
      <c r="A1390" s="3">
        <v>46355.921492997688</v>
      </c>
      <c r="B1390" t="s">
        <v>1585</v>
      </c>
      <c r="C1390" t="s">
        <v>1586</v>
      </c>
      <c r="E1390">
        <v>0</v>
      </c>
      <c r="F1390">
        <v>1</v>
      </c>
      <c r="G1390" t="s">
        <v>2</v>
      </c>
      <c r="H1390" cm="1">
        <f t="array" ref="H1390">-isDup(B1390,B1391,0.7)</f>
        <v>0</v>
      </c>
    </row>
    <row r="1391" spans="1:8" x14ac:dyDescent="0.2">
      <c r="A1391" s="3">
        <v>46356.921492997688</v>
      </c>
      <c r="B1391" t="s">
        <v>1587</v>
      </c>
      <c r="C1391" t="s">
        <v>290</v>
      </c>
      <c r="D1391" t="s">
        <v>291</v>
      </c>
      <c r="E1391">
        <v>0</v>
      </c>
      <c r="F1391">
        <v>0</v>
      </c>
      <c r="G1391" t="s">
        <v>2</v>
      </c>
      <c r="H1391" cm="1">
        <f t="array" ref="H1391">-isDup(B1391,B1392,0.7)</f>
        <v>0</v>
      </c>
    </row>
    <row r="1392" spans="1:8" x14ac:dyDescent="0.2">
      <c r="A1392" s="3">
        <v>46357.921492997688</v>
      </c>
      <c r="B1392" t="s">
        <v>371</v>
      </c>
      <c r="C1392" t="s">
        <v>143</v>
      </c>
      <c r="D1392" t="s">
        <v>129</v>
      </c>
      <c r="E1392">
        <v>0</v>
      </c>
      <c r="F1392">
        <v>0</v>
      </c>
      <c r="G1392" t="s">
        <v>2</v>
      </c>
      <c r="H1392" cm="1">
        <f t="array" ref="H1392">-isDup(B1392,B1393,0.7)</f>
        <v>0</v>
      </c>
    </row>
    <row r="1393" spans="1:8" x14ac:dyDescent="0.2">
      <c r="A1393" s="3">
        <v>46358.921492997688</v>
      </c>
      <c r="B1393" t="s">
        <v>1588</v>
      </c>
      <c r="C1393" t="s">
        <v>12</v>
      </c>
      <c r="D1393" t="s">
        <v>13</v>
      </c>
      <c r="E1393">
        <v>0</v>
      </c>
      <c r="F1393">
        <v>0</v>
      </c>
      <c r="G1393" t="s">
        <v>2</v>
      </c>
      <c r="H1393" cm="1">
        <f t="array" ref="H1393">-isDup(B1393,B1394,0.7)</f>
        <v>0</v>
      </c>
    </row>
    <row r="1394" spans="1:8" x14ac:dyDescent="0.2">
      <c r="A1394" s="3">
        <v>46359.921492997688</v>
      </c>
      <c r="B1394" t="s">
        <v>1589</v>
      </c>
      <c r="C1394" t="s">
        <v>7</v>
      </c>
      <c r="E1394">
        <v>0</v>
      </c>
      <c r="F1394">
        <v>0</v>
      </c>
      <c r="G1394" t="s">
        <v>2</v>
      </c>
      <c r="H1394" cm="1">
        <f t="array" ref="H1394">-isDup(B1394,B1395,0.7)</f>
        <v>0</v>
      </c>
    </row>
    <row r="1395" spans="1:8" x14ac:dyDescent="0.2">
      <c r="A1395" s="3">
        <v>46360.921492997688</v>
      </c>
      <c r="B1395" t="s">
        <v>1590</v>
      </c>
      <c r="C1395" t="s">
        <v>1591</v>
      </c>
      <c r="E1395">
        <v>0</v>
      </c>
      <c r="F1395">
        <v>0</v>
      </c>
      <c r="G1395" t="s">
        <v>2</v>
      </c>
      <c r="H1395" cm="1">
        <f t="array" ref="H1395">-isDup(B1395,B1396,0.7)</f>
        <v>0</v>
      </c>
    </row>
    <row r="1396" spans="1:8" x14ac:dyDescent="0.2">
      <c r="A1396" s="3">
        <v>46361.921492997688</v>
      </c>
      <c r="B1396" t="s">
        <v>889</v>
      </c>
      <c r="C1396" t="s">
        <v>1592</v>
      </c>
      <c r="E1396">
        <v>0</v>
      </c>
      <c r="F1396">
        <v>0</v>
      </c>
      <c r="G1396" t="s">
        <v>2</v>
      </c>
      <c r="H1396" cm="1">
        <f t="array" ref="H1396">-isDup(B1396,B1397,0.7)</f>
        <v>0</v>
      </c>
    </row>
    <row r="1397" spans="1:8" x14ac:dyDescent="0.2">
      <c r="A1397" s="3">
        <v>46362.921492997688</v>
      </c>
      <c r="B1397" t="s">
        <v>1593</v>
      </c>
      <c r="C1397" t="s">
        <v>1594</v>
      </c>
      <c r="D1397" t="s">
        <v>1390</v>
      </c>
      <c r="E1397">
        <v>0</v>
      </c>
      <c r="F1397">
        <v>0</v>
      </c>
      <c r="G1397" t="s">
        <v>2</v>
      </c>
      <c r="H1397" cm="1">
        <f t="array" ref="H1397">-isDup(B1397,B1398,0.7)</f>
        <v>0</v>
      </c>
    </row>
    <row r="1398" spans="1:8" x14ac:dyDescent="0.2">
      <c r="A1398" s="3">
        <v>46363.921492997688</v>
      </c>
      <c r="B1398" t="s">
        <v>431</v>
      </c>
      <c r="C1398" t="s">
        <v>143</v>
      </c>
      <c r="D1398" t="s">
        <v>129</v>
      </c>
      <c r="E1398">
        <v>0</v>
      </c>
      <c r="F1398">
        <v>0</v>
      </c>
      <c r="G1398" t="s">
        <v>2</v>
      </c>
      <c r="H1398" cm="1">
        <f t="array" ref="H1398">-isDup(B1398,B1399,0.7)</f>
        <v>0</v>
      </c>
    </row>
    <row r="1399" spans="1:8" x14ac:dyDescent="0.2">
      <c r="A1399" s="3">
        <v>46364.921492997688</v>
      </c>
      <c r="B1399" t="s">
        <v>138</v>
      </c>
      <c r="C1399" t="s">
        <v>22</v>
      </c>
      <c r="E1399">
        <v>0</v>
      </c>
      <c r="F1399">
        <v>0</v>
      </c>
      <c r="G1399" t="s">
        <v>2</v>
      </c>
      <c r="H1399" cm="1">
        <f t="array" ref="H1399">-isDup(B1399,B1400,0.7)</f>
        <v>0</v>
      </c>
    </row>
    <row r="1400" spans="1:8" x14ac:dyDescent="0.2">
      <c r="A1400" s="3">
        <v>46365.921492997688</v>
      </c>
      <c r="B1400" t="s">
        <v>193</v>
      </c>
      <c r="C1400" t="s">
        <v>143</v>
      </c>
      <c r="D1400" t="s">
        <v>129</v>
      </c>
      <c r="E1400">
        <v>0</v>
      </c>
      <c r="F1400">
        <v>0</v>
      </c>
      <c r="G1400" t="s">
        <v>2</v>
      </c>
      <c r="H1400" cm="1">
        <f t="array" ref="H1400">-isDup(B1400,B1401,0.7)</f>
        <v>0</v>
      </c>
    </row>
    <row r="1401" spans="1:8" x14ac:dyDescent="0.2">
      <c r="A1401" s="3">
        <v>46366.921492997688</v>
      </c>
      <c r="B1401" t="s">
        <v>144</v>
      </c>
      <c r="C1401" t="s">
        <v>22</v>
      </c>
      <c r="E1401">
        <v>0</v>
      </c>
      <c r="F1401">
        <v>0</v>
      </c>
      <c r="G1401" t="s">
        <v>2</v>
      </c>
      <c r="H1401" cm="1">
        <f t="array" ref="H1401">-isDup(B1401,B1402,0.7)</f>
        <v>0</v>
      </c>
    </row>
    <row r="1402" spans="1:8" x14ac:dyDescent="0.2">
      <c r="A1402" s="3">
        <v>46367.921492997688</v>
      </c>
      <c r="B1402" t="s">
        <v>152</v>
      </c>
      <c r="C1402" t="s">
        <v>22</v>
      </c>
      <c r="E1402">
        <v>0</v>
      </c>
      <c r="F1402">
        <v>0</v>
      </c>
      <c r="G1402" t="s">
        <v>2</v>
      </c>
      <c r="H1402" cm="1">
        <f t="array" ref="H1402">-isDup(B1402,B1403,0.7)</f>
        <v>0</v>
      </c>
    </row>
    <row r="1403" spans="1:8" x14ac:dyDescent="0.2">
      <c r="A1403" s="3">
        <v>46368.921492997688</v>
      </c>
      <c r="B1403" t="s">
        <v>1595</v>
      </c>
      <c r="C1403" t="s">
        <v>1596</v>
      </c>
      <c r="D1403" t="s">
        <v>1597</v>
      </c>
      <c r="E1403">
        <v>0</v>
      </c>
      <c r="F1403">
        <v>0</v>
      </c>
      <c r="G1403" t="s">
        <v>2</v>
      </c>
      <c r="H1403" cm="1">
        <f t="array" ref="H1403">-isDup(B1403,B1404,0.7)</f>
        <v>0</v>
      </c>
    </row>
    <row r="1404" spans="1:8" x14ac:dyDescent="0.2">
      <c r="A1404" s="3">
        <v>46369.921492997688</v>
      </c>
      <c r="B1404" t="s">
        <v>1598</v>
      </c>
      <c r="C1404" t="s">
        <v>294</v>
      </c>
      <c r="E1404">
        <v>0</v>
      </c>
      <c r="F1404">
        <v>5</v>
      </c>
      <c r="G1404" t="s">
        <v>2</v>
      </c>
      <c r="H1404" cm="1">
        <f t="array" ref="H1404">-isDup(B1404,B1405,0.7)</f>
        <v>0</v>
      </c>
    </row>
    <row r="1405" spans="1:8" x14ac:dyDescent="0.2">
      <c r="A1405" s="3">
        <v>46370.921492997688</v>
      </c>
      <c r="B1405" t="s">
        <v>151</v>
      </c>
      <c r="C1405" t="s">
        <v>22</v>
      </c>
      <c r="E1405">
        <v>0</v>
      </c>
      <c r="F1405">
        <v>0</v>
      </c>
      <c r="G1405" t="s">
        <v>2</v>
      </c>
      <c r="H1405" cm="1">
        <f t="array" ref="H1405">-isDup(B1405,B1406,0.7)</f>
        <v>-1</v>
      </c>
    </row>
    <row r="1406" spans="1:8" x14ac:dyDescent="0.2">
      <c r="A1406" s="3">
        <v>46371.921492997688</v>
      </c>
      <c r="B1406" t="s">
        <v>151</v>
      </c>
      <c r="C1406" t="s">
        <v>22</v>
      </c>
      <c r="E1406">
        <v>0</v>
      </c>
      <c r="F1406">
        <v>0</v>
      </c>
      <c r="G1406" t="s">
        <v>2</v>
      </c>
      <c r="H1406" cm="1">
        <f t="array" ref="H1406">-isDup(B1406,B1407,0.7)</f>
        <v>0</v>
      </c>
    </row>
    <row r="1407" spans="1:8" x14ac:dyDescent="0.2">
      <c r="A1407" s="3">
        <v>46372.921492997688</v>
      </c>
      <c r="B1407" t="s">
        <v>1599</v>
      </c>
      <c r="C1407" t="s">
        <v>1476</v>
      </c>
      <c r="E1407">
        <v>0</v>
      </c>
      <c r="F1407">
        <v>3</v>
      </c>
      <c r="G1407" t="s">
        <v>2</v>
      </c>
      <c r="H1407" cm="1">
        <f t="array" ref="H1407">-isDup(B1407,B1408,0.7)</f>
        <v>0</v>
      </c>
    </row>
    <row r="1408" spans="1:8" x14ac:dyDescent="0.2">
      <c r="A1408" s="3">
        <v>46373.921492997688</v>
      </c>
      <c r="B1408" t="s">
        <v>3</v>
      </c>
      <c r="C1408" t="s">
        <v>4</v>
      </c>
      <c r="D1408" t="s">
        <v>5</v>
      </c>
      <c r="E1408">
        <v>0</v>
      </c>
      <c r="F1408">
        <v>0</v>
      </c>
      <c r="G1408" t="s">
        <v>2</v>
      </c>
      <c r="H1408" cm="1">
        <f t="array" ref="H1408">-isDup(B1408,B1409,0.7)</f>
        <v>0</v>
      </c>
    </row>
    <row r="1409" spans="1:8" x14ac:dyDescent="0.2">
      <c r="A1409" s="3">
        <v>46374.921492997688</v>
      </c>
      <c r="B1409" t="s">
        <v>153</v>
      </c>
      <c r="C1409" t="s">
        <v>22</v>
      </c>
      <c r="E1409">
        <v>0</v>
      </c>
      <c r="F1409">
        <v>0</v>
      </c>
      <c r="G1409" t="s">
        <v>2</v>
      </c>
      <c r="H1409" cm="1">
        <f t="array" ref="H1409">-isDup(B1409,B1410,0.7)</f>
        <v>0</v>
      </c>
    </row>
    <row r="1410" spans="1:8" x14ac:dyDescent="0.2">
      <c r="A1410" s="3">
        <v>46375.921492997688</v>
      </c>
      <c r="B1410" t="s">
        <v>1600</v>
      </c>
      <c r="C1410" t="s">
        <v>1527</v>
      </c>
      <c r="E1410">
        <v>0</v>
      </c>
      <c r="F1410">
        <v>0</v>
      </c>
      <c r="G1410" t="s">
        <v>2</v>
      </c>
      <c r="H1410" cm="1">
        <f t="array" ref="H1410">-isDup(B1410,B1411,0.7)</f>
        <v>0</v>
      </c>
    </row>
    <row r="1411" spans="1:8" x14ac:dyDescent="0.2">
      <c r="A1411" s="3">
        <v>46376.921492997688</v>
      </c>
      <c r="B1411" t="s">
        <v>459</v>
      </c>
      <c r="C1411" t="s">
        <v>290</v>
      </c>
      <c r="D1411" t="s">
        <v>291</v>
      </c>
      <c r="E1411">
        <v>0</v>
      </c>
      <c r="F1411">
        <v>0</v>
      </c>
      <c r="G1411" t="s">
        <v>2</v>
      </c>
      <c r="H1411" cm="1">
        <f t="array" ref="H1411">-isDup(B1411,B1412,0.7)</f>
        <v>0</v>
      </c>
    </row>
    <row r="1412" spans="1:8" x14ac:dyDescent="0.2">
      <c r="A1412" s="3">
        <v>46377.921492997688</v>
      </c>
      <c r="B1412" t="s">
        <v>1601</v>
      </c>
      <c r="C1412" t="s">
        <v>1602</v>
      </c>
      <c r="E1412">
        <v>0</v>
      </c>
      <c r="F1412">
        <v>0</v>
      </c>
      <c r="G1412" t="s">
        <v>2</v>
      </c>
      <c r="H1412" cm="1">
        <f t="array" ref="H1412">-isDup(B1412,B1413,0.7)</f>
        <v>0</v>
      </c>
    </row>
    <row r="1413" spans="1:8" x14ac:dyDescent="0.2">
      <c r="A1413" s="3">
        <v>46378.921492997688</v>
      </c>
      <c r="B1413" t="s">
        <v>154</v>
      </c>
      <c r="C1413" t="s">
        <v>22</v>
      </c>
      <c r="E1413">
        <v>0</v>
      </c>
      <c r="F1413">
        <v>0</v>
      </c>
      <c r="G1413" t="s">
        <v>2</v>
      </c>
      <c r="H1413" cm="1">
        <f t="array" ref="H1413">-isDup(B1413,B1414,0.7)</f>
        <v>0</v>
      </c>
    </row>
    <row r="1414" spans="1:8" x14ac:dyDescent="0.2">
      <c r="A1414" s="3">
        <v>46379.921492997688</v>
      </c>
      <c r="B1414" t="s">
        <v>46</v>
      </c>
      <c r="C1414" t="s">
        <v>22</v>
      </c>
      <c r="E1414">
        <v>0</v>
      </c>
      <c r="F1414">
        <v>0</v>
      </c>
      <c r="G1414" t="s">
        <v>2</v>
      </c>
      <c r="H1414" cm="1">
        <f t="array" ref="H1414">-isDup(B1414,B1415,0.7)</f>
        <v>0</v>
      </c>
    </row>
    <row r="1415" spans="1:8" x14ac:dyDescent="0.2">
      <c r="A1415" s="3">
        <v>46380.921492997688</v>
      </c>
      <c r="B1415" t="s">
        <v>1603</v>
      </c>
      <c r="C1415" t="s">
        <v>1604</v>
      </c>
      <c r="D1415" t="s">
        <v>1605</v>
      </c>
      <c r="E1415">
        <v>0</v>
      </c>
      <c r="F1415">
        <v>0</v>
      </c>
      <c r="G1415" t="s">
        <v>2</v>
      </c>
      <c r="H1415" cm="1">
        <f t="array" ref="H1415">-isDup(B1415,B1416,0.7)</f>
        <v>0</v>
      </c>
    </row>
    <row r="1416" spans="1:8" x14ac:dyDescent="0.2">
      <c r="A1416" s="3">
        <v>46381.921492997688</v>
      </c>
      <c r="B1416" t="s">
        <v>1606</v>
      </c>
      <c r="C1416" t="s">
        <v>1527</v>
      </c>
      <c r="E1416">
        <v>0</v>
      </c>
      <c r="F1416">
        <v>0</v>
      </c>
      <c r="G1416" t="s">
        <v>2</v>
      </c>
      <c r="H1416" cm="1">
        <f t="array" ref="H1416">-isDup(B1416,B1417,0.7)</f>
        <v>0</v>
      </c>
    </row>
    <row r="1417" spans="1:8" x14ac:dyDescent="0.2">
      <c r="A1417" s="3">
        <v>46382.921492997688</v>
      </c>
      <c r="B1417" t="s">
        <v>159</v>
      </c>
      <c r="C1417" t="s">
        <v>22</v>
      </c>
      <c r="E1417">
        <v>0</v>
      </c>
      <c r="F1417">
        <v>0</v>
      </c>
      <c r="G1417" t="s">
        <v>2</v>
      </c>
      <c r="H1417" cm="1">
        <f t="array" ref="H1417">-isDup(B1417,B1418,0.7)</f>
        <v>-1</v>
      </c>
    </row>
    <row r="1418" spans="1:8" x14ac:dyDescent="0.2">
      <c r="A1418" s="3">
        <v>46383.921492997688</v>
      </c>
      <c r="B1418" t="s">
        <v>159</v>
      </c>
      <c r="C1418" t="s">
        <v>22</v>
      </c>
      <c r="E1418">
        <v>0</v>
      </c>
      <c r="F1418">
        <v>0</v>
      </c>
      <c r="G1418" t="s">
        <v>2</v>
      </c>
      <c r="H1418" cm="1">
        <f t="array" ref="H1418">-isDup(B1418,B1419,0.7)</f>
        <v>0</v>
      </c>
    </row>
    <row r="1419" spans="1:8" x14ac:dyDescent="0.2">
      <c r="A1419" s="3">
        <v>46384.921492997688</v>
      </c>
      <c r="B1419" t="s">
        <v>1607</v>
      </c>
      <c r="C1419" t="s">
        <v>1608</v>
      </c>
      <c r="E1419">
        <v>0</v>
      </c>
      <c r="F1419">
        <v>0</v>
      </c>
      <c r="G1419" t="s">
        <v>2</v>
      </c>
      <c r="H1419" cm="1">
        <f t="array" ref="H1419">-isDup(B1419,B1420,0.7)</f>
        <v>0</v>
      </c>
    </row>
    <row r="1420" spans="1:8" x14ac:dyDescent="0.2">
      <c r="A1420" s="3">
        <v>46385.921492997688</v>
      </c>
      <c r="B1420" t="s">
        <v>1272</v>
      </c>
      <c r="C1420" t="s">
        <v>286</v>
      </c>
      <c r="E1420">
        <v>0</v>
      </c>
      <c r="F1420">
        <v>0</v>
      </c>
      <c r="G1420" t="s">
        <v>2</v>
      </c>
      <c r="H1420" cm="1">
        <f t="array" ref="H1420">-isDup(B1420,B1421,0.7)</f>
        <v>0</v>
      </c>
    </row>
    <row r="1421" spans="1:8" x14ac:dyDescent="0.2">
      <c r="A1421" s="3">
        <v>46386.921492997688</v>
      </c>
      <c r="B1421" t="s">
        <v>1609</v>
      </c>
      <c r="C1421" t="s">
        <v>1610</v>
      </c>
      <c r="D1421" t="s">
        <v>1611</v>
      </c>
      <c r="E1421">
        <v>0</v>
      </c>
      <c r="F1421">
        <v>0</v>
      </c>
      <c r="G1421" t="s">
        <v>2</v>
      </c>
      <c r="H1421" cm="1">
        <f t="array" ref="H1421">-isDup(B1421,B1422,0.7)</f>
        <v>0</v>
      </c>
    </row>
    <row r="1422" spans="1:8" x14ac:dyDescent="0.2">
      <c r="A1422" s="3">
        <v>46387.921492997688</v>
      </c>
      <c r="B1422" t="s">
        <v>1612</v>
      </c>
      <c r="C1422" t="s">
        <v>664</v>
      </c>
      <c r="D1422" t="s">
        <v>1613</v>
      </c>
      <c r="E1422">
        <v>0</v>
      </c>
      <c r="F1422">
        <v>0</v>
      </c>
      <c r="G1422" t="s">
        <v>2</v>
      </c>
      <c r="H1422" cm="1">
        <f t="array" ref="H1422">-isDup(B1422,B1423,0.7)</f>
        <v>0</v>
      </c>
    </row>
    <row r="1423" spans="1:8" x14ac:dyDescent="0.2">
      <c r="A1423" s="3">
        <v>46388.921492997688</v>
      </c>
      <c r="B1423" t="s">
        <v>165</v>
      </c>
      <c r="C1423" t="s">
        <v>22</v>
      </c>
      <c r="E1423">
        <v>0</v>
      </c>
      <c r="F1423">
        <v>0</v>
      </c>
      <c r="G1423" t="s">
        <v>2</v>
      </c>
      <c r="H1423" cm="1">
        <f t="array" ref="H1423">-isDup(B1423,B1424,0.7)</f>
        <v>-1</v>
      </c>
    </row>
    <row r="1424" spans="1:8" x14ac:dyDescent="0.2">
      <c r="A1424" s="3">
        <v>46389.921492997688</v>
      </c>
      <c r="B1424" t="s">
        <v>165</v>
      </c>
      <c r="C1424" t="s">
        <v>22</v>
      </c>
      <c r="E1424">
        <v>0</v>
      </c>
      <c r="F1424">
        <v>0</v>
      </c>
      <c r="G1424" t="s">
        <v>2</v>
      </c>
      <c r="H1424" cm="1">
        <f t="array" ref="H1424">-isDup(B1424,B1425,0.7)</f>
        <v>0</v>
      </c>
    </row>
    <row r="1425" spans="1:8" x14ac:dyDescent="0.2">
      <c r="A1425" s="3">
        <v>46390.921492997688</v>
      </c>
      <c r="B1425" t="s">
        <v>1614</v>
      </c>
      <c r="C1425" t="s">
        <v>1615</v>
      </c>
      <c r="D1425" t="s">
        <v>1616</v>
      </c>
      <c r="E1425">
        <v>0</v>
      </c>
      <c r="F1425">
        <v>0</v>
      </c>
      <c r="G1425" t="s">
        <v>2</v>
      </c>
      <c r="H1425" cm="1">
        <f t="array" ref="H1425">-isDup(B1425,B1426,0.7)</f>
        <v>0</v>
      </c>
    </row>
    <row r="1426" spans="1:8" x14ac:dyDescent="0.2">
      <c r="A1426" s="3">
        <v>46391.921492997688</v>
      </c>
      <c r="B1426" t="s">
        <v>1617</v>
      </c>
      <c r="C1426" t="s">
        <v>1618</v>
      </c>
      <c r="D1426" t="s">
        <v>1619</v>
      </c>
      <c r="E1426">
        <v>3</v>
      </c>
      <c r="F1426">
        <v>4</v>
      </c>
      <c r="G1426" t="s">
        <v>2</v>
      </c>
      <c r="H1426" cm="1">
        <f t="array" ref="H1426">-isDup(B1426,B1427,0.7)</f>
        <v>0</v>
      </c>
    </row>
    <row r="1427" spans="1:8" x14ac:dyDescent="0.2">
      <c r="A1427" s="3">
        <v>46392.921492997688</v>
      </c>
      <c r="B1427" t="s">
        <v>1620</v>
      </c>
      <c r="C1427" t="s">
        <v>7</v>
      </c>
      <c r="E1427">
        <v>0</v>
      </c>
      <c r="F1427">
        <v>0</v>
      </c>
      <c r="G1427" t="s">
        <v>2</v>
      </c>
      <c r="H1427" cm="1">
        <f t="array" ref="H1427">-isDup(B1427,B1428,0.7)</f>
        <v>0</v>
      </c>
    </row>
    <row r="1428" spans="1:8" x14ac:dyDescent="0.2">
      <c r="A1428" s="3">
        <v>46393.921492997688</v>
      </c>
      <c r="B1428" t="s">
        <v>1621</v>
      </c>
      <c r="C1428" t="s">
        <v>286</v>
      </c>
      <c r="E1428">
        <v>0</v>
      </c>
      <c r="F1428">
        <v>0</v>
      </c>
      <c r="G1428" t="s">
        <v>2</v>
      </c>
      <c r="H1428" cm="1">
        <f t="array" ref="H1428">-isDup(B1428,B1429,0.7)</f>
        <v>0</v>
      </c>
    </row>
    <row r="1429" spans="1:8" x14ac:dyDescent="0.2">
      <c r="A1429" s="3">
        <v>46394.921492997688</v>
      </c>
      <c r="B1429" t="s">
        <v>1622</v>
      </c>
      <c r="C1429" t="s">
        <v>1623</v>
      </c>
      <c r="D1429" t="s">
        <v>1624</v>
      </c>
      <c r="E1429">
        <v>1</v>
      </c>
      <c r="F1429">
        <v>1</v>
      </c>
      <c r="G1429" t="s">
        <v>2</v>
      </c>
      <c r="H1429" cm="1">
        <f t="array" ref="H1429">-isDup(B1429,B1430,0.7)</f>
        <v>0</v>
      </c>
    </row>
    <row r="1430" spans="1:8" x14ac:dyDescent="0.2">
      <c r="A1430" s="3">
        <v>46395.921492997688</v>
      </c>
      <c r="B1430" t="s">
        <v>1625</v>
      </c>
      <c r="C1430" t="s">
        <v>7</v>
      </c>
      <c r="E1430">
        <v>0</v>
      </c>
      <c r="F1430">
        <v>0</v>
      </c>
      <c r="G1430" t="s">
        <v>2</v>
      </c>
      <c r="H1430" cm="1">
        <f t="array" ref="H1430">-isDup(B1430,B1431,0.7)</f>
        <v>0</v>
      </c>
    </row>
    <row r="1431" spans="1:8" x14ac:dyDescent="0.2">
      <c r="A1431" s="3">
        <v>46396.921492997688</v>
      </c>
      <c r="B1431" t="s">
        <v>1626</v>
      </c>
      <c r="C1431" t="s">
        <v>7</v>
      </c>
      <c r="E1431">
        <v>0</v>
      </c>
      <c r="F1431">
        <v>0</v>
      </c>
      <c r="G1431" t="s">
        <v>2</v>
      </c>
      <c r="H1431" cm="1">
        <f t="array" ref="H1431">-isDup(B1431,B1432,0.7)</f>
        <v>0</v>
      </c>
    </row>
    <row r="1432" spans="1:8" x14ac:dyDescent="0.2">
      <c r="A1432" s="3">
        <v>46397.921492997688</v>
      </c>
      <c r="B1432" t="s">
        <v>35</v>
      </c>
      <c r="C1432" t="s">
        <v>33</v>
      </c>
      <c r="D1432" t="s">
        <v>34</v>
      </c>
      <c r="E1432">
        <v>0</v>
      </c>
      <c r="F1432">
        <v>0</v>
      </c>
      <c r="G1432" t="s">
        <v>2</v>
      </c>
      <c r="H1432" cm="1">
        <f t="array" ref="H1432">-isDup(B1432,B1433,0.7)</f>
        <v>-1</v>
      </c>
    </row>
    <row r="1433" spans="1:8" x14ac:dyDescent="0.2">
      <c r="A1433" s="3">
        <v>46398.921492997688</v>
      </c>
      <c r="B1433" t="s">
        <v>37</v>
      </c>
      <c r="C1433" t="s">
        <v>33</v>
      </c>
      <c r="D1433" t="s">
        <v>34</v>
      </c>
      <c r="E1433">
        <v>0</v>
      </c>
      <c r="F1433">
        <v>0</v>
      </c>
      <c r="G1433" t="s">
        <v>2</v>
      </c>
      <c r="H1433" cm="1">
        <f t="array" ref="H1433">-isDup(B1433,B1434,0.7)</f>
        <v>0</v>
      </c>
    </row>
    <row r="1434" spans="1:8" x14ac:dyDescent="0.2">
      <c r="A1434" s="3">
        <v>46399.921492997688</v>
      </c>
      <c r="B1434" t="s">
        <v>36</v>
      </c>
      <c r="C1434" t="s">
        <v>33</v>
      </c>
      <c r="D1434" t="s">
        <v>34</v>
      </c>
      <c r="E1434">
        <v>0</v>
      </c>
      <c r="F1434">
        <v>0</v>
      </c>
      <c r="G1434" t="s">
        <v>2</v>
      </c>
      <c r="H1434" cm="1">
        <f t="array" ref="H1434">-isDup(B1434,B1435,0.7)</f>
        <v>0</v>
      </c>
    </row>
    <row r="1435" spans="1:8" x14ac:dyDescent="0.2">
      <c r="A1435" s="3">
        <v>46400.921492997688</v>
      </c>
      <c r="B1435" t="s">
        <v>1627</v>
      </c>
      <c r="C1435" t="s">
        <v>33</v>
      </c>
      <c r="D1435" t="s">
        <v>34</v>
      </c>
      <c r="E1435">
        <v>0</v>
      </c>
      <c r="F1435">
        <v>0</v>
      </c>
      <c r="G1435" t="s">
        <v>2</v>
      </c>
      <c r="H1435" cm="1">
        <f t="array" ref="H1435">-isDup(B1435,B1436,0.7)</f>
        <v>0</v>
      </c>
    </row>
    <row r="1436" spans="1:8" x14ac:dyDescent="0.2">
      <c r="A1436" s="3">
        <v>46401.921492997688</v>
      </c>
      <c r="B1436" t="s">
        <v>333</v>
      </c>
      <c r="C1436" t="s">
        <v>128</v>
      </c>
      <c r="D1436" t="s">
        <v>129</v>
      </c>
      <c r="E1436">
        <v>0</v>
      </c>
      <c r="F1436">
        <v>0</v>
      </c>
      <c r="G1436" t="s">
        <v>2</v>
      </c>
      <c r="H1436" cm="1">
        <f t="array" ref="H1436">-isDup(B1436,B1437,0.7)</f>
        <v>0</v>
      </c>
    </row>
    <row r="1437" spans="1:8" x14ac:dyDescent="0.2">
      <c r="A1437" s="3">
        <v>46402.921492997688</v>
      </c>
      <c r="B1437" t="s">
        <v>1628</v>
      </c>
      <c r="C1437" t="s">
        <v>1629</v>
      </c>
      <c r="D1437" t="s">
        <v>1630</v>
      </c>
      <c r="E1437">
        <v>0</v>
      </c>
      <c r="F1437">
        <v>0</v>
      </c>
      <c r="G1437" t="s">
        <v>2</v>
      </c>
      <c r="H1437" cm="1">
        <f t="array" ref="H1437">-isDup(B1437,B1438,0.7)</f>
        <v>0</v>
      </c>
    </row>
    <row r="1438" spans="1:8" x14ac:dyDescent="0.2">
      <c r="A1438" s="3">
        <v>46403.921492997688</v>
      </c>
      <c r="B1438" t="s">
        <v>1631</v>
      </c>
      <c r="C1438" t="s">
        <v>33</v>
      </c>
      <c r="D1438" t="s">
        <v>34</v>
      </c>
      <c r="E1438">
        <v>0</v>
      </c>
      <c r="F1438">
        <v>0</v>
      </c>
      <c r="G1438" t="s">
        <v>2</v>
      </c>
      <c r="H1438" cm="1">
        <f t="array" ref="H1438">-isDup(B1438,B1439,0.7)</f>
        <v>-1</v>
      </c>
    </row>
    <row r="1439" spans="1:8" x14ac:dyDescent="0.2">
      <c r="A1439" s="3">
        <v>46404.921492997688</v>
      </c>
      <c r="B1439" t="s">
        <v>1632</v>
      </c>
      <c r="C1439" t="s">
        <v>33</v>
      </c>
      <c r="D1439" t="s">
        <v>34</v>
      </c>
      <c r="E1439">
        <v>0</v>
      </c>
      <c r="F1439">
        <v>0</v>
      </c>
      <c r="G1439" t="s">
        <v>2</v>
      </c>
      <c r="H1439" cm="1">
        <f t="array" ref="H1439">-isDup(B1439,B1440,0.7)</f>
        <v>-1</v>
      </c>
    </row>
    <row r="1440" spans="1:8" x14ac:dyDescent="0.2">
      <c r="A1440" s="3">
        <v>46405.921492997688</v>
      </c>
      <c r="B1440" t="s">
        <v>1633</v>
      </c>
      <c r="C1440" t="s">
        <v>33</v>
      </c>
      <c r="D1440" t="s">
        <v>34</v>
      </c>
      <c r="E1440">
        <v>0</v>
      </c>
      <c r="F1440">
        <v>0</v>
      </c>
      <c r="G1440" t="s">
        <v>2</v>
      </c>
      <c r="H1440" cm="1">
        <f t="array" ref="H1440">-isDup(B1440,B1441,0.7)</f>
        <v>-1</v>
      </c>
    </row>
    <row r="1441" spans="1:8" x14ac:dyDescent="0.2">
      <c r="A1441" s="3">
        <v>46406.921492997688</v>
      </c>
      <c r="B1441" t="s">
        <v>1634</v>
      </c>
      <c r="C1441" t="s">
        <v>33</v>
      </c>
      <c r="D1441" t="s">
        <v>34</v>
      </c>
      <c r="E1441">
        <v>0</v>
      </c>
      <c r="F1441">
        <v>0</v>
      </c>
      <c r="G1441" t="s">
        <v>2</v>
      </c>
      <c r="H1441" cm="1">
        <f t="array" ref="H1441">-isDup(B1441,B1442,0.7)</f>
        <v>-1</v>
      </c>
    </row>
    <row r="1442" spans="1:8" x14ac:dyDescent="0.2">
      <c r="A1442" s="3">
        <v>46407.921492997688</v>
      </c>
      <c r="B1442" t="s">
        <v>1635</v>
      </c>
      <c r="C1442" t="s">
        <v>33</v>
      </c>
      <c r="D1442" t="s">
        <v>34</v>
      </c>
      <c r="E1442">
        <v>0</v>
      </c>
      <c r="F1442">
        <v>0</v>
      </c>
      <c r="G1442" t="s">
        <v>2</v>
      </c>
      <c r="H1442" cm="1">
        <f t="array" ref="H1442">-isDup(B1442,B1443,0.7)</f>
        <v>-1</v>
      </c>
    </row>
    <row r="1443" spans="1:8" x14ac:dyDescent="0.2">
      <c r="A1443" s="3">
        <v>46408.921492997688</v>
      </c>
      <c r="B1443" t="s">
        <v>1636</v>
      </c>
      <c r="C1443" t="s">
        <v>33</v>
      </c>
      <c r="D1443" t="s">
        <v>34</v>
      </c>
      <c r="E1443">
        <v>0</v>
      </c>
      <c r="F1443">
        <v>0</v>
      </c>
      <c r="G1443" t="s">
        <v>2</v>
      </c>
      <c r="H1443" cm="1">
        <f t="array" ref="H1443">-isDup(B1443,B1444,0.7)</f>
        <v>0</v>
      </c>
    </row>
    <row r="1444" spans="1:8" x14ac:dyDescent="0.2">
      <c r="A1444" s="3">
        <v>46409.921492997688</v>
      </c>
      <c r="B1444" t="s">
        <v>1637</v>
      </c>
      <c r="C1444" t="s">
        <v>1638</v>
      </c>
      <c r="E1444">
        <v>0</v>
      </c>
      <c r="F1444">
        <v>0</v>
      </c>
      <c r="G1444" t="s">
        <v>2</v>
      </c>
      <c r="H1444" cm="1">
        <f t="array" ref="H1444">-isDup(B1444,B1445,0.7)</f>
        <v>0</v>
      </c>
    </row>
    <row r="1445" spans="1:8" x14ac:dyDescent="0.2">
      <c r="A1445" s="3">
        <v>46410.921492997688</v>
      </c>
      <c r="B1445" t="s">
        <v>1639</v>
      </c>
      <c r="C1445" t="s">
        <v>1591</v>
      </c>
      <c r="E1445">
        <v>0</v>
      </c>
      <c r="F1445">
        <v>0</v>
      </c>
      <c r="G1445" t="s">
        <v>2</v>
      </c>
      <c r="H1445" cm="1">
        <f t="array" ref="H1445">-isDup(B1445,B1446,0.7)</f>
        <v>0</v>
      </c>
    </row>
    <row r="1446" spans="1:8" x14ac:dyDescent="0.2">
      <c r="A1446" s="3">
        <v>46411.921492997688</v>
      </c>
      <c r="B1446" t="s">
        <v>1640</v>
      </c>
      <c r="C1446" t="s">
        <v>7</v>
      </c>
      <c r="E1446">
        <v>0</v>
      </c>
      <c r="F1446">
        <v>0</v>
      </c>
      <c r="G1446" t="s">
        <v>2</v>
      </c>
      <c r="H1446" cm="1">
        <f t="array" ref="H1446">-isDup(B1446,B1447,0.7)</f>
        <v>0</v>
      </c>
    </row>
    <row r="1447" spans="1:8" x14ac:dyDescent="0.2">
      <c r="A1447" s="3">
        <v>46412.921492997688</v>
      </c>
      <c r="B1447" t="s">
        <v>1641</v>
      </c>
      <c r="C1447" t="s">
        <v>1642</v>
      </c>
      <c r="D1447" t="s">
        <v>55</v>
      </c>
      <c r="E1447">
        <v>0</v>
      </c>
      <c r="F1447">
        <v>0</v>
      </c>
      <c r="G1447" t="s">
        <v>2</v>
      </c>
      <c r="H1447" cm="1">
        <f t="array" ref="H1447">-isDup(B1447,B1448,0.7)</f>
        <v>0</v>
      </c>
    </row>
    <row r="1448" spans="1:8" x14ac:dyDescent="0.2">
      <c r="A1448" s="3">
        <v>46413.921492997688</v>
      </c>
      <c r="B1448" t="s">
        <v>1643</v>
      </c>
      <c r="C1448" t="s">
        <v>7</v>
      </c>
      <c r="E1448">
        <v>0</v>
      </c>
      <c r="F1448">
        <v>0</v>
      </c>
      <c r="G1448" t="s">
        <v>2</v>
      </c>
      <c r="H1448" cm="1">
        <f t="array" ref="H1448">-isDup(B1448,B1449,0.7)</f>
        <v>0</v>
      </c>
    </row>
    <row r="1449" spans="1:8" x14ac:dyDescent="0.2">
      <c r="A1449" s="3">
        <v>46414.921492997688</v>
      </c>
      <c r="B1449" t="s">
        <v>1644</v>
      </c>
      <c r="C1449" t="s">
        <v>12</v>
      </c>
      <c r="D1449" t="s">
        <v>13</v>
      </c>
      <c r="E1449">
        <v>0</v>
      </c>
      <c r="F1449">
        <v>0</v>
      </c>
      <c r="G1449" t="s">
        <v>2</v>
      </c>
      <c r="H1449" cm="1">
        <f t="array" ref="H1449">-isDup(B1449,B1450,0.7)</f>
        <v>0</v>
      </c>
    </row>
    <row r="1450" spans="1:8" x14ac:dyDescent="0.2">
      <c r="A1450" s="3">
        <v>46415.921492997688</v>
      </c>
      <c r="B1450" t="s">
        <v>3</v>
      </c>
      <c r="C1450" t="s">
        <v>4</v>
      </c>
      <c r="D1450" t="s">
        <v>5</v>
      </c>
      <c r="E1450">
        <v>0</v>
      </c>
      <c r="F1450">
        <v>0</v>
      </c>
      <c r="G1450" t="s">
        <v>2</v>
      </c>
      <c r="H1450" cm="1">
        <f t="array" ref="H1450">-isDup(B1450,B1451,0.7)</f>
        <v>0</v>
      </c>
    </row>
    <row r="1451" spans="1:8" x14ac:dyDescent="0.2">
      <c r="A1451" s="3">
        <v>46416.921492997688</v>
      </c>
      <c r="B1451" t="s">
        <v>1645</v>
      </c>
      <c r="C1451" t="s">
        <v>24</v>
      </c>
      <c r="D1451" t="s">
        <v>1646</v>
      </c>
      <c r="E1451">
        <v>0</v>
      </c>
      <c r="F1451">
        <v>0</v>
      </c>
      <c r="G1451" t="s">
        <v>2</v>
      </c>
      <c r="H1451" cm="1">
        <f t="array" ref="H1451">-isDup(B1451,B1452,0.7)</f>
        <v>0</v>
      </c>
    </row>
    <row r="1452" spans="1:8" x14ac:dyDescent="0.2">
      <c r="A1452" s="3">
        <v>46417.921492997688</v>
      </c>
      <c r="B1452" t="s">
        <v>1647</v>
      </c>
      <c r="C1452" t="s">
        <v>7</v>
      </c>
      <c r="E1452">
        <v>0</v>
      </c>
      <c r="F1452">
        <v>0</v>
      </c>
      <c r="G1452" t="s">
        <v>2</v>
      </c>
      <c r="H1452" cm="1">
        <f t="array" ref="H1452">-isDup(B1452,B1453,0.7)</f>
        <v>0</v>
      </c>
    </row>
    <row r="1453" spans="1:8" x14ac:dyDescent="0.2">
      <c r="A1453" s="3">
        <v>46418.921492997688</v>
      </c>
      <c r="B1453" t="s">
        <v>1648</v>
      </c>
      <c r="C1453" t="s">
        <v>1649</v>
      </c>
      <c r="D1453" t="s">
        <v>1650</v>
      </c>
      <c r="E1453">
        <v>0</v>
      </c>
      <c r="F1453">
        <v>0</v>
      </c>
      <c r="G1453" t="s">
        <v>2</v>
      </c>
      <c r="H1453" cm="1">
        <f t="array" ref="H1453">-isDup(B1453,B1454,0.7)</f>
        <v>0</v>
      </c>
    </row>
    <row r="1454" spans="1:8" x14ac:dyDescent="0.2">
      <c r="A1454" s="3">
        <v>46419.921492997688</v>
      </c>
      <c r="B1454" t="s">
        <v>1651</v>
      </c>
      <c r="C1454" t="s">
        <v>1652</v>
      </c>
      <c r="E1454">
        <v>0</v>
      </c>
      <c r="F1454">
        <v>0</v>
      </c>
      <c r="G1454" t="s">
        <v>2</v>
      </c>
      <c r="H1454" cm="1">
        <f t="array" ref="H1454">-isDup(B1454,B1455,0.7)</f>
        <v>0</v>
      </c>
    </row>
    <row r="1455" spans="1:8" x14ac:dyDescent="0.2">
      <c r="A1455" s="3">
        <v>46420.921492997688</v>
      </c>
      <c r="B1455" t="s">
        <v>1653</v>
      </c>
      <c r="C1455" t="s">
        <v>643</v>
      </c>
      <c r="E1455">
        <v>0</v>
      </c>
      <c r="F1455">
        <v>0</v>
      </c>
      <c r="G1455" t="s">
        <v>2</v>
      </c>
      <c r="H1455" cm="1">
        <f t="array" ref="H1455">-isDup(B1455,B1456,0.7)</f>
        <v>0</v>
      </c>
    </row>
    <row r="1456" spans="1:8" x14ac:dyDescent="0.2">
      <c r="A1456" s="3">
        <v>46421.921492997688</v>
      </c>
      <c r="B1456" t="s">
        <v>1654</v>
      </c>
      <c r="C1456" t="s">
        <v>412</v>
      </c>
      <c r="D1456" t="s">
        <v>413</v>
      </c>
      <c r="E1456">
        <v>0</v>
      </c>
      <c r="F1456">
        <v>0</v>
      </c>
      <c r="G1456" t="s">
        <v>2</v>
      </c>
      <c r="H1456" cm="1">
        <f t="array" ref="H1456">-isDup(B1456,B1457,0.7)</f>
        <v>0</v>
      </c>
    </row>
    <row r="1457" spans="1:8" x14ac:dyDescent="0.2">
      <c r="A1457" s="3">
        <v>46422.921492997688</v>
      </c>
      <c r="B1457" t="s">
        <v>1655</v>
      </c>
      <c r="C1457" t="s">
        <v>7</v>
      </c>
      <c r="E1457">
        <v>0</v>
      </c>
      <c r="F1457">
        <v>0</v>
      </c>
      <c r="G1457" t="s">
        <v>2</v>
      </c>
      <c r="H1457" cm="1">
        <f t="array" ref="H1457">-isDup(B1457,B1458,0.7)</f>
        <v>0</v>
      </c>
    </row>
    <row r="1458" spans="1:8" x14ac:dyDescent="0.2">
      <c r="A1458" s="3">
        <v>46423.921492997688</v>
      </c>
      <c r="B1458" t="s">
        <v>1656</v>
      </c>
      <c r="C1458" t="s">
        <v>7</v>
      </c>
      <c r="E1458">
        <v>0</v>
      </c>
      <c r="F1458">
        <v>0</v>
      </c>
      <c r="G1458" t="s">
        <v>2</v>
      </c>
      <c r="H1458" cm="1">
        <f t="array" ref="H1458">-isDup(B1458,B1459,0.7)</f>
        <v>0</v>
      </c>
    </row>
    <row r="1459" spans="1:8" x14ac:dyDescent="0.2">
      <c r="A1459" s="3">
        <v>46424.921492997688</v>
      </c>
      <c r="B1459" t="s">
        <v>1657</v>
      </c>
      <c r="C1459" t="s">
        <v>1658</v>
      </c>
      <c r="E1459">
        <v>0</v>
      </c>
      <c r="F1459">
        <v>0</v>
      </c>
      <c r="G1459" t="s">
        <v>2</v>
      </c>
      <c r="H1459" cm="1">
        <f t="array" ref="H1459">-isDup(B1459,B1460,0.7)</f>
        <v>0</v>
      </c>
    </row>
    <row r="1460" spans="1:8" x14ac:dyDescent="0.2">
      <c r="A1460" s="3">
        <v>46425.921492997688</v>
      </c>
      <c r="B1460" t="s">
        <v>1659</v>
      </c>
      <c r="C1460" t="s">
        <v>7</v>
      </c>
      <c r="E1460">
        <v>0</v>
      </c>
      <c r="F1460">
        <v>0</v>
      </c>
      <c r="G1460" t="s">
        <v>2</v>
      </c>
      <c r="H1460" cm="1">
        <f t="array" ref="H1460">-isDup(B1460,B1461,0.7)</f>
        <v>0</v>
      </c>
    </row>
    <row r="1461" spans="1:8" x14ac:dyDescent="0.2">
      <c r="A1461" s="3">
        <v>46426.921492997688</v>
      </c>
      <c r="B1461" t="s">
        <v>1255</v>
      </c>
      <c r="C1461" t="s">
        <v>143</v>
      </c>
      <c r="D1461" t="s">
        <v>129</v>
      </c>
      <c r="E1461">
        <v>0</v>
      </c>
      <c r="F1461">
        <v>0</v>
      </c>
      <c r="G1461" t="s">
        <v>2</v>
      </c>
      <c r="H1461" cm="1">
        <f t="array" ref="H1461">-isDup(B1461,B1462,0.7)</f>
        <v>0</v>
      </c>
    </row>
    <row r="1462" spans="1:8" x14ac:dyDescent="0.2">
      <c r="A1462" s="3">
        <v>46427.921492997688</v>
      </c>
      <c r="B1462" t="s">
        <v>339</v>
      </c>
      <c r="C1462" t="s">
        <v>143</v>
      </c>
      <c r="D1462" t="s">
        <v>129</v>
      </c>
      <c r="E1462">
        <v>0</v>
      </c>
      <c r="F1462">
        <v>0</v>
      </c>
      <c r="G1462" t="s">
        <v>2</v>
      </c>
      <c r="H1462" cm="1">
        <f t="array" ref="H1462">-isDup(B1462,B1463,0.7)</f>
        <v>0</v>
      </c>
    </row>
    <row r="1463" spans="1:8" x14ac:dyDescent="0.2">
      <c r="A1463" s="3">
        <v>46428.921492997688</v>
      </c>
      <c r="B1463" t="s">
        <v>1278</v>
      </c>
      <c r="C1463" t="s">
        <v>143</v>
      </c>
      <c r="D1463" t="s">
        <v>129</v>
      </c>
      <c r="E1463">
        <v>0</v>
      </c>
      <c r="F1463">
        <v>0</v>
      </c>
      <c r="G1463" t="s">
        <v>2</v>
      </c>
      <c r="H1463" cm="1">
        <f t="array" ref="H1463">-isDup(B1463,B1464,0.7)</f>
        <v>0</v>
      </c>
    </row>
    <row r="1464" spans="1:8" x14ac:dyDescent="0.2">
      <c r="A1464" s="3">
        <v>46429.921492997688</v>
      </c>
      <c r="B1464" t="s">
        <v>1660</v>
      </c>
      <c r="C1464" t="s">
        <v>879</v>
      </c>
      <c r="E1464">
        <v>0</v>
      </c>
      <c r="F1464">
        <v>0</v>
      </c>
      <c r="G1464" t="s">
        <v>2</v>
      </c>
      <c r="H1464" cm="1">
        <f t="array" ref="H1464">-isDup(B1464,B1465,0.7)</f>
        <v>0</v>
      </c>
    </row>
    <row r="1465" spans="1:8" x14ac:dyDescent="0.2">
      <c r="A1465" s="3">
        <v>46430.921492997688</v>
      </c>
      <c r="B1465" t="s">
        <v>37</v>
      </c>
      <c r="C1465" t="s">
        <v>33</v>
      </c>
      <c r="D1465" t="s">
        <v>34</v>
      </c>
      <c r="E1465">
        <v>0</v>
      </c>
      <c r="F1465">
        <v>0</v>
      </c>
      <c r="G1465" t="s">
        <v>2</v>
      </c>
      <c r="H1465" cm="1">
        <f t="array" ref="H1465">-isDup(B1465,B1466,0.7)</f>
        <v>0</v>
      </c>
    </row>
    <row r="1466" spans="1:8" x14ac:dyDescent="0.2">
      <c r="A1466" s="3">
        <v>46431.921492997688</v>
      </c>
      <c r="B1466" t="s">
        <v>36</v>
      </c>
      <c r="C1466" t="s">
        <v>33</v>
      </c>
      <c r="D1466" t="s">
        <v>34</v>
      </c>
      <c r="E1466">
        <v>0</v>
      </c>
      <c r="F1466">
        <v>0</v>
      </c>
      <c r="G1466" t="s">
        <v>2</v>
      </c>
      <c r="H1466" cm="1">
        <f t="array" ref="H1466">-isDup(B1466,B1467,0.7)</f>
        <v>0</v>
      </c>
    </row>
    <row r="1467" spans="1:8" x14ac:dyDescent="0.2">
      <c r="A1467" s="3">
        <v>46432.921492997688</v>
      </c>
      <c r="B1467" t="s">
        <v>35</v>
      </c>
      <c r="C1467" t="s">
        <v>33</v>
      </c>
      <c r="D1467" t="s">
        <v>34</v>
      </c>
      <c r="E1467">
        <v>0</v>
      </c>
      <c r="F1467">
        <v>0</v>
      </c>
      <c r="G1467" t="s">
        <v>2</v>
      </c>
      <c r="H1467" cm="1">
        <f t="array" ref="H1467">-isDup(B1467,B1468,0.7)</f>
        <v>-1</v>
      </c>
    </row>
    <row r="1468" spans="1:8" x14ac:dyDescent="0.2">
      <c r="A1468" s="3">
        <v>46433.921492997688</v>
      </c>
      <c r="B1468" t="s">
        <v>1661</v>
      </c>
      <c r="C1468" t="s">
        <v>33</v>
      </c>
      <c r="D1468" t="s">
        <v>34</v>
      </c>
      <c r="E1468">
        <v>0</v>
      </c>
      <c r="F1468">
        <v>0</v>
      </c>
      <c r="G1468" t="s">
        <v>2</v>
      </c>
      <c r="H1468" cm="1">
        <f t="array" ref="H1468">-isDup(B1468,B1469,0.7)</f>
        <v>0</v>
      </c>
    </row>
    <row r="1469" spans="1:8" x14ac:dyDescent="0.2">
      <c r="A1469" s="3">
        <v>46434.921492997688</v>
      </c>
      <c r="B1469" t="s">
        <v>1662</v>
      </c>
      <c r="C1469" t="s">
        <v>7</v>
      </c>
      <c r="E1469">
        <v>0</v>
      </c>
      <c r="F1469">
        <v>0</v>
      </c>
      <c r="G1469" t="s">
        <v>2</v>
      </c>
      <c r="H1469" cm="1">
        <f t="array" ref="H1469">-isDup(B1469,B1470,0.7)</f>
        <v>0</v>
      </c>
    </row>
    <row r="1470" spans="1:8" x14ac:dyDescent="0.2">
      <c r="A1470" s="3">
        <v>46435.921492997688</v>
      </c>
      <c r="B1470" t="s">
        <v>1663</v>
      </c>
      <c r="C1470" t="s">
        <v>1664</v>
      </c>
      <c r="D1470" t="s">
        <v>254</v>
      </c>
      <c r="E1470">
        <v>0</v>
      </c>
      <c r="F1470">
        <v>0</v>
      </c>
      <c r="G1470" t="s">
        <v>2</v>
      </c>
      <c r="H1470" cm="1">
        <f t="array" ref="H1470">-isDup(B1470,B1471,0.7)</f>
        <v>0</v>
      </c>
    </row>
    <row r="1471" spans="1:8" x14ac:dyDescent="0.2">
      <c r="A1471" s="3">
        <v>46436.921492997688</v>
      </c>
      <c r="B1471" t="s">
        <v>1665</v>
      </c>
      <c r="C1471" t="s">
        <v>1666</v>
      </c>
      <c r="D1471" t="s">
        <v>1104</v>
      </c>
      <c r="E1471">
        <v>0</v>
      </c>
      <c r="F1471">
        <v>1</v>
      </c>
      <c r="G1471" t="s">
        <v>2</v>
      </c>
      <c r="H1471" cm="1">
        <f t="array" ref="H1471">-isDup(B1471,B1472,0.7)</f>
        <v>0</v>
      </c>
    </row>
    <row r="1472" spans="1:8" x14ac:dyDescent="0.2">
      <c r="A1472" s="3">
        <v>46437.921492997688</v>
      </c>
      <c r="B1472" t="s">
        <v>1667</v>
      </c>
      <c r="C1472" t="s">
        <v>7</v>
      </c>
      <c r="E1472">
        <v>0</v>
      </c>
      <c r="F1472">
        <v>0</v>
      </c>
      <c r="G1472" t="s">
        <v>2</v>
      </c>
      <c r="H1472" cm="1">
        <f t="array" ref="H1472">-isDup(B1472,B1473,0.7)</f>
        <v>0</v>
      </c>
    </row>
    <row r="1473" spans="1:8" x14ac:dyDescent="0.2">
      <c r="A1473" s="3">
        <v>46438.921492997688</v>
      </c>
      <c r="B1473" t="s">
        <v>1668</v>
      </c>
      <c r="C1473" t="s">
        <v>1669</v>
      </c>
      <c r="D1473" t="s">
        <v>1670</v>
      </c>
      <c r="E1473">
        <v>0</v>
      </c>
      <c r="F1473">
        <v>0</v>
      </c>
      <c r="G1473" t="s">
        <v>2</v>
      </c>
      <c r="H1473" cm="1">
        <f t="array" ref="H1473">-isDup(B1473,B1474,0.7)</f>
        <v>0</v>
      </c>
    </row>
    <row r="1474" spans="1:8" x14ac:dyDescent="0.2">
      <c r="A1474" s="3">
        <v>46439.921492997688</v>
      </c>
      <c r="B1474" t="s">
        <v>429</v>
      </c>
      <c r="C1474" t="s">
        <v>143</v>
      </c>
      <c r="D1474" t="s">
        <v>129</v>
      </c>
      <c r="E1474">
        <v>0</v>
      </c>
      <c r="F1474">
        <v>0</v>
      </c>
      <c r="G1474" t="s">
        <v>2</v>
      </c>
      <c r="H1474" cm="1">
        <f t="array" ref="H1474">-isDup(B1474,B1475,0.7)</f>
        <v>0</v>
      </c>
    </row>
    <row r="1475" spans="1:8" x14ac:dyDescent="0.2">
      <c r="A1475" s="3">
        <v>46440.921492997688</v>
      </c>
      <c r="B1475" t="s">
        <v>902</v>
      </c>
      <c r="C1475" t="s">
        <v>143</v>
      </c>
      <c r="D1475" t="s">
        <v>129</v>
      </c>
      <c r="E1475">
        <v>0</v>
      </c>
      <c r="F1475">
        <v>0</v>
      </c>
      <c r="G1475" t="s">
        <v>2</v>
      </c>
      <c r="H1475" cm="1">
        <f t="array" ref="H1475">-isDup(B1475,B1476,0.7)</f>
        <v>0</v>
      </c>
    </row>
    <row r="1476" spans="1:8" x14ac:dyDescent="0.2">
      <c r="A1476" s="3">
        <v>46441.921492997688</v>
      </c>
      <c r="B1476" t="s">
        <v>169</v>
      </c>
      <c r="C1476" t="s">
        <v>143</v>
      </c>
      <c r="D1476" t="s">
        <v>129</v>
      </c>
      <c r="E1476">
        <v>0</v>
      </c>
      <c r="F1476">
        <v>0</v>
      </c>
      <c r="G1476" t="s">
        <v>2</v>
      </c>
      <c r="H1476" cm="1">
        <f t="array" ref="H1476">-isDup(B1476,B1477,0.7)</f>
        <v>0</v>
      </c>
    </row>
    <row r="1477" spans="1:8" x14ac:dyDescent="0.2">
      <c r="A1477" s="3">
        <v>46442.921492997688</v>
      </c>
      <c r="B1477" t="s">
        <v>1671</v>
      </c>
      <c r="C1477" t="s">
        <v>7</v>
      </c>
      <c r="E1477">
        <v>0</v>
      </c>
      <c r="F1477">
        <v>1</v>
      </c>
      <c r="G1477" t="s">
        <v>2</v>
      </c>
      <c r="H1477" cm="1">
        <f t="array" ref="H1477">-isDup(B1477,B1478,0.7)</f>
        <v>0</v>
      </c>
    </row>
    <row r="1478" spans="1:8" x14ac:dyDescent="0.2">
      <c r="A1478" s="3">
        <v>46443.921492997688</v>
      </c>
      <c r="B1478" t="s">
        <v>336</v>
      </c>
      <c r="C1478" t="s">
        <v>143</v>
      </c>
      <c r="D1478" t="s">
        <v>129</v>
      </c>
      <c r="E1478">
        <v>0</v>
      </c>
      <c r="F1478">
        <v>0</v>
      </c>
      <c r="G1478" t="s">
        <v>2</v>
      </c>
      <c r="H1478" cm="1">
        <f t="array" ref="H1478">-isDup(B1478,B1479,0.7)</f>
        <v>0</v>
      </c>
    </row>
    <row r="1479" spans="1:8" x14ac:dyDescent="0.2">
      <c r="A1479" s="3">
        <v>46444.921492997688</v>
      </c>
      <c r="B1479" t="s">
        <v>1672</v>
      </c>
      <c r="C1479" t="s">
        <v>1652</v>
      </c>
      <c r="E1479">
        <v>0</v>
      </c>
      <c r="F1479">
        <v>0</v>
      </c>
      <c r="G1479" t="s">
        <v>2</v>
      </c>
      <c r="H1479" cm="1">
        <f t="array" ref="H1479">-isDup(B1479,B1480,0.7)</f>
        <v>0</v>
      </c>
    </row>
    <row r="1480" spans="1:8" x14ac:dyDescent="0.2">
      <c r="A1480" s="3">
        <v>46445.921492997688</v>
      </c>
      <c r="B1480" t="s">
        <v>1673</v>
      </c>
      <c r="C1480" t="s">
        <v>237</v>
      </c>
      <c r="E1480">
        <v>0</v>
      </c>
      <c r="F1480">
        <v>1</v>
      </c>
      <c r="G1480" t="s">
        <v>2</v>
      </c>
      <c r="H1480" cm="1">
        <f t="array" ref="H1480">-isDup(B1480,B1481,0.7)</f>
        <v>0</v>
      </c>
    </row>
    <row r="1481" spans="1:8" x14ac:dyDescent="0.2">
      <c r="A1481" s="3">
        <v>46446.921492997688</v>
      </c>
      <c r="B1481" t="s">
        <v>3</v>
      </c>
      <c r="C1481" t="s">
        <v>4</v>
      </c>
      <c r="D1481" t="s">
        <v>5</v>
      </c>
      <c r="E1481">
        <v>0</v>
      </c>
      <c r="F1481">
        <v>0</v>
      </c>
      <c r="G1481" t="s">
        <v>2</v>
      </c>
      <c r="H1481" cm="1">
        <f t="array" ref="H1481">-isDup(B1481,B1482,0.7)</f>
        <v>0</v>
      </c>
    </row>
    <row r="1482" spans="1:8" x14ac:dyDescent="0.2">
      <c r="A1482" s="3">
        <v>46447.921492997688</v>
      </c>
      <c r="B1482" t="s">
        <v>1674</v>
      </c>
      <c r="C1482" t="s">
        <v>1675</v>
      </c>
      <c r="D1482" t="s">
        <v>1676</v>
      </c>
      <c r="E1482">
        <v>0</v>
      </c>
      <c r="F1482">
        <v>1</v>
      </c>
      <c r="G1482" t="s">
        <v>2</v>
      </c>
      <c r="H1482" cm="1">
        <f t="array" ref="H1482">-isDup(B1482,B1483,0.7)</f>
        <v>0</v>
      </c>
    </row>
    <row r="1483" spans="1:8" x14ac:dyDescent="0.2">
      <c r="A1483" s="3">
        <v>46448.921492997688</v>
      </c>
      <c r="B1483" t="s">
        <v>1677</v>
      </c>
      <c r="C1483" t="s">
        <v>1215</v>
      </c>
      <c r="E1483">
        <v>0</v>
      </c>
      <c r="F1483">
        <v>0</v>
      </c>
      <c r="G1483" t="s">
        <v>2</v>
      </c>
      <c r="H1483" cm="1">
        <f t="array" ref="H1483">-isDup(B1483,B1484,0.7)</f>
        <v>0</v>
      </c>
    </row>
    <row r="1484" spans="1:8" x14ac:dyDescent="0.2">
      <c r="A1484" s="3">
        <v>46449.921492997688</v>
      </c>
      <c r="B1484" t="s">
        <v>1678</v>
      </c>
      <c r="C1484" t="s">
        <v>7</v>
      </c>
      <c r="E1484">
        <v>0</v>
      </c>
      <c r="F1484">
        <v>0</v>
      </c>
      <c r="G1484" t="s">
        <v>2</v>
      </c>
      <c r="H1484" cm="1">
        <f t="array" ref="H1484">-isDup(B1484,B1485,0.7)</f>
        <v>0</v>
      </c>
    </row>
    <row r="1485" spans="1:8" x14ac:dyDescent="0.2">
      <c r="A1485" s="3">
        <v>46450.921492997688</v>
      </c>
      <c r="B1485" t="s">
        <v>1679</v>
      </c>
      <c r="C1485" t="s">
        <v>7</v>
      </c>
      <c r="E1485">
        <v>0</v>
      </c>
      <c r="F1485">
        <v>0</v>
      </c>
      <c r="G1485" t="s">
        <v>2</v>
      </c>
      <c r="H1485" cm="1">
        <f t="array" ref="H1485">-isDup(B1485,B1486,0.7)</f>
        <v>0</v>
      </c>
    </row>
    <row r="1486" spans="1:8" x14ac:dyDescent="0.2">
      <c r="A1486" s="3">
        <v>46451.921492997688</v>
      </c>
      <c r="B1486" t="s">
        <v>1680</v>
      </c>
      <c r="C1486" t="s">
        <v>12</v>
      </c>
      <c r="D1486" t="s">
        <v>13</v>
      </c>
      <c r="E1486">
        <v>0</v>
      </c>
      <c r="F1486">
        <v>0</v>
      </c>
      <c r="G1486" t="s">
        <v>2</v>
      </c>
      <c r="H1486" cm="1">
        <f t="array" ref="H1486">-isDup(B1486,B1487,0.7)</f>
        <v>0</v>
      </c>
    </row>
    <row r="1487" spans="1:8" x14ac:dyDescent="0.2">
      <c r="A1487" s="3">
        <v>46452.921492997688</v>
      </c>
      <c r="B1487" t="s">
        <v>1681</v>
      </c>
      <c r="C1487" t="s">
        <v>1682</v>
      </c>
      <c r="D1487" t="s">
        <v>1683</v>
      </c>
      <c r="E1487">
        <v>0</v>
      </c>
      <c r="F1487">
        <v>1</v>
      </c>
      <c r="G1487" t="s">
        <v>2</v>
      </c>
      <c r="H1487" cm="1">
        <f t="array" ref="H1487">-isDup(B1487,B1488,0.7)</f>
        <v>0</v>
      </c>
    </row>
    <row r="1488" spans="1:8" x14ac:dyDescent="0.2">
      <c r="A1488" s="3">
        <v>46453.921492997688</v>
      </c>
      <c r="B1488" t="s">
        <v>1096</v>
      </c>
      <c r="C1488" t="s">
        <v>198</v>
      </c>
      <c r="E1488">
        <v>0</v>
      </c>
      <c r="F1488">
        <v>0</v>
      </c>
      <c r="G1488" t="s">
        <v>2</v>
      </c>
      <c r="H1488" cm="1">
        <f t="array" ref="H1488">-isDup(B1488,B1489,0.7)</f>
        <v>0</v>
      </c>
    </row>
    <row r="1489" spans="1:8" x14ac:dyDescent="0.2">
      <c r="A1489" s="3">
        <v>46454.921492997688</v>
      </c>
      <c r="B1489" t="s">
        <v>993</v>
      </c>
      <c r="C1489" t="s">
        <v>461</v>
      </c>
      <c r="D1489" t="s">
        <v>462</v>
      </c>
      <c r="E1489">
        <v>0</v>
      </c>
      <c r="F1489">
        <v>0</v>
      </c>
      <c r="G1489" t="s">
        <v>2</v>
      </c>
      <c r="H1489" cm="1">
        <f t="array" ref="H1489">-isDup(B1489,B1490,0.7)</f>
        <v>0</v>
      </c>
    </row>
    <row r="1490" spans="1:8" x14ac:dyDescent="0.2">
      <c r="A1490" s="3">
        <v>46455.921492997688</v>
      </c>
      <c r="B1490" t="s">
        <v>1684</v>
      </c>
      <c r="C1490" t="s">
        <v>7</v>
      </c>
      <c r="E1490">
        <v>0</v>
      </c>
      <c r="F1490">
        <v>0</v>
      </c>
      <c r="G1490" t="s">
        <v>2</v>
      </c>
      <c r="H1490" cm="1">
        <f t="array" ref="H1490">-isDup(B1490,B1491,0.7)</f>
        <v>0</v>
      </c>
    </row>
    <row r="1491" spans="1:8" x14ac:dyDescent="0.2">
      <c r="A1491" s="3">
        <v>46456.921492997688</v>
      </c>
      <c r="B1491" t="s">
        <v>1685</v>
      </c>
      <c r="C1491" t="s">
        <v>1686</v>
      </c>
      <c r="D1491" t="s">
        <v>1687</v>
      </c>
      <c r="E1491">
        <v>0</v>
      </c>
      <c r="F1491">
        <v>1</v>
      </c>
      <c r="G1491" t="s">
        <v>2</v>
      </c>
      <c r="H1491" cm="1">
        <f t="array" ref="H1491">-isDup(B1491,B1492,0.7)</f>
        <v>0</v>
      </c>
    </row>
    <row r="1492" spans="1:8" x14ac:dyDescent="0.2">
      <c r="A1492" s="3">
        <v>46457.921492997688</v>
      </c>
      <c r="B1492" t="s">
        <v>1688</v>
      </c>
      <c r="C1492" t="s">
        <v>1689</v>
      </c>
      <c r="D1492" t="s">
        <v>1690</v>
      </c>
      <c r="E1492">
        <v>0</v>
      </c>
      <c r="F1492">
        <v>38</v>
      </c>
      <c r="G1492" t="s">
        <v>2</v>
      </c>
      <c r="H1492" cm="1">
        <f t="array" ref="H1492">-isDup(B1492,B1493,0.7)</f>
        <v>0</v>
      </c>
    </row>
    <row r="1493" spans="1:8" x14ac:dyDescent="0.2">
      <c r="A1493" s="3">
        <v>46458.921492997688</v>
      </c>
      <c r="B1493" t="s">
        <v>1691</v>
      </c>
      <c r="C1493" t="s">
        <v>1692</v>
      </c>
      <c r="D1493" t="s">
        <v>1693</v>
      </c>
      <c r="E1493">
        <v>0</v>
      </c>
      <c r="F1493">
        <v>0</v>
      </c>
      <c r="G1493" t="s">
        <v>2</v>
      </c>
      <c r="H1493" cm="1">
        <f t="array" ref="H1493">-isDup(B1493,B1494,0.7)</f>
        <v>0</v>
      </c>
    </row>
    <row r="1494" spans="1:8" x14ac:dyDescent="0.2">
      <c r="A1494" s="3">
        <v>46459.921492997688</v>
      </c>
      <c r="B1494" t="s">
        <v>1694</v>
      </c>
      <c r="C1494" t="s">
        <v>542</v>
      </c>
      <c r="D1494" t="s">
        <v>1695</v>
      </c>
      <c r="E1494">
        <v>1</v>
      </c>
      <c r="F1494">
        <v>1</v>
      </c>
      <c r="G1494" t="s">
        <v>2</v>
      </c>
      <c r="H1494" cm="1">
        <f t="array" ref="H1494">-isDup(B1494,B1495,0.7)</f>
        <v>0</v>
      </c>
    </row>
    <row r="1495" spans="1:8" x14ac:dyDescent="0.2">
      <c r="A1495" s="3">
        <v>46460.921492997688</v>
      </c>
      <c r="B1495" t="s">
        <v>1696</v>
      </c>
      <c r="C1495" t="s">
        <v>7</v>
      </c>
      <c r="E1495">
        <v>0</v>
      </c>
      <c r="F1495">
        <v>0</v>
      </c>
      <c r="G1495" t="s">
        <v>2</v>
      </c>
      <c r="H1495" cm="1">
        <f t="array" ref="H1495">-isDup(B1495,B1496,0.7)</f>
        <v>0</v>
      </c>
    </row>
    <row r="1496" spans="1:8" x14ac:dyDescent="0.2">
      <c r="A1496" s="3">
        <v>46461.921492997688</v>
      </c>
      <c r="B1496" t="s">
        <v>1697</v>
      </c>
      <c r="C1496" t="s">
        <v>7</v>
      </c>
      <c r="E1496">
        <v>0</v>
      </c>
      <c r="F1496">
        <v>0</v>
      </c>
      <c r="G1496" t="s">
        <v>2</v>
      </c>
      <c r="H1496" cm="1">
        <f t="array" ref="H1496">-isDup(B1496,B1497,0.7)</f>
        <v>0</v>
      </c>
    </row>
    <row r="1497" spans="1:8" x14ac:dyDescent="0.2">
      <c r="A1497" s="3">
        <v>46462.921492997688</v>
      </c>
      <c r="B1497" t="s">
        <v>1096</v>
      </c>
      <c r="C1497" t="s">
        <v>198</v>
      </c>
      <c r="E1497">
        <v>0</v>
      </c>
      <c r="F1497">
        <v>0</v>
      </c>
      <c r="G1497" t="s">
        <v>2</v>
      </c>
      <c r="H1497" cm="1">
        <f t="array" ref="H1497">-isDup(B1497,B1498,0.7)</f>
        <v>0</v>
      </c>
    </row>
    <row r="1498" spans="1:8" x14ac:dyDescent="0.2">
      <c r="A1498" s="3">
        <v>46463.921492997688</v>
      </c>
      <c r="B1498" t="s">
        <v>1698</v>
      </c>
      <c r="C1498" t="s">
        <v>108</v>
      </c>
      <c r="E1498">
        <v>0</v>
      </c>
      <c r="F1498">
        <v>0</v>
      </c>
      <c r="G1498" t="s">
        <v>2</v>
      </c>
      <c r="H1498" cm="1">
        <f t="array" ref="H1498">-isDup(B1498,B1499,0.7)</f>
        <v>0</v>
      </c>
    </row>
    <row r="1499" spans="1:8" x14ac:dyDescent="0.2">
      <c r="A1499" s="3">
        <v>46464.921492997688</v>
      </c>
      <c r="B1499" t="s">
        <v>1699</v>
      </c>
      <c r="C1499" t="s">
        <v>461</v>
      </c>
      <c r="D1499" t="s">
        <v>1700</v>
      </c>
      <c r="E1499">
        <v>0</v>
      </c>
      <c r="F1499">
        <v>0</v>
      </c>
      <c r="G1499" t="s">
        <v>2</v>
      </c>
      <c r="H1499" cm="1">
        <f t="array" ref="H1499">-isDup(B1499,B1500,0.7)</f>
        <v>0</v>
      </c>
    </row>
    <row r="1500" spans="1:8" x14ac:dyDescent="0.2">
      <c r="A1500" s="3">
        <v>46465.921492997688</v>
      </c>
      <c r="B1500" t="s">
        <v>1701</v>
      </c>
      <c r="C1500" t="s">
        <v>1702</v>
      </c>
      <c r="D1500" t="s">
        <v>1703</v>
      </c>
      <c r="E1500">
        <v>0</v>
      </c>
      <c r="F1500">
        <v>0</v>
      </c>
      <c r="G1500" t="s">
        <v>2</v>
      </c>
      <c r="H1500" cm="1">
        <f t="array" ref="H1500">-isDup(B1500,B1501,0.7)</f>
        <v>0</v>
      </c>
    </row>
    <row r="1501" spans="1:8" x14ac:dyDescent="0.2">
      <c r="A1501" s="3">
        <v>46466.921492997688</v>
      </c>
      <c r="B1501" t="s">
        <v>1704</v>
      </c>
      <c r="C1501" t="s">
        <v>382</v>
      </c>
      <c r="E1501">
        <v>0</v>
      </c>
      <c r="F1501">
        <v>0</v>
      </c>
      <c r="G1501" t="s">
        <v>2</v>
      </c>
      <c r="H1501" cm="1">
        <f t="array" ref="H1501">-isDup(B1501,B1502,0.7)</f>
        <v>0</v>
      </c>
    </row>
    <row r="1502" spans="1:8" x14ac:dyDescent="0.2">
      <c r="A1502" s="3">
        <v>46467.921492997688</v>
      </c>
      <c r="B1502" t="s">
        <v>973</v>
      </c>
      <c r="C1502" t="s">
        <v>128</v>
      </c>
      <c r="D1502" t="s">
        <v>129</v>
      </c>
      <c r="E1502">
        <v>0</v>
      </c>
      <c r="F1502">
        <v>0</v>
      </c>
      <c r="G1502" t="s">
        <v>2</v>
      </c>
      <c r="H1502" cm="1">
        <f t="array" ref="H1502">-isDup(B1502,B1503,0.7)</f>
        <v>-1</v>
      </c>
    </row>
    <row r="1503" spans="1:8" x14ac:dyDescent="0.2">
      <c r="A1503" s="3">
        <v>46468.921492997688</v>
      </c>
      <c r="B1503" t="s">
        <v>973</v>
      </c>
      <c r="C1503" t="s">
        <v>143</v>
      </c>
      <c r="D1503" t="s">
        <v>129</v>
      </c>
      <c r="E1503">
        <v>0</v>
      </c>
      <c r="F1503">
        <v>0</v>
      </c>
      <c r="G1503" t="s">
        <v>2</v>
      </c>
      <c r="H1503" cm="1">
        <f t="array" ref="H1503">-isDup(B1503,B1504,0.7)</f>
        <v>0</v>
      </c>
    </row>
    <row r="1504" spans="1:8" x14ac:dyDescent="0.2">
      <c r="A1504" s="3">
        <v>46469.921492997688</v>
      </c>
      <c r="B1504" t="s">
        <v>1705</v>
      </c>
      <c r="C1504" t="s">
        <v>33</v>
      </c>
      <c r="D1504" t="s">
        <v>34</v>
      </c>
      <c r="E1504">
        <v>0</v>
      </c>
      <c r="F1504">
        <v>0</v>
      </c>
      <c r="G1504" t="s">
        <v>2</v>
      </c>
      <c r="H1504" cm="1">
        <f t="array" ref="H1504">-isDup(B1504,B1505,0.7)</f>
        <v>0</v>
      </c>
    </row>
    <row r="1505" spans="1:8" x14ac:dyDescent="0.2">
      <c r="A1505" s="3">
        <v>46470.921492997688</v>
      </c>
      <c r="B1505" t="s">
        <v>35</v>
      </c>
      <c r="C1505" t="s">
        <v>33</v>
      </c>
      <c r="D1505" t="s">
        <v>34</v>
      </c>
      <c r="E1505">
        <v>0</v>
      </c>
      <c r="F1505">
        <v>0</v>
      </c>
      <c r="G1505" t="s">
        <v>2</v>
      </c>
      <c r="H1505" cm="1">
        <f t="array" ref="H1505">-isDup(B1505,B1506,0.7)</f>
        <v>0</v>
      </c>
    </row>
    <row r="1506" spans="1:8" x14ac:dyDescent="0.2">
      <c r="A1506" s="3">
        <v>46471.921492997688</v>
      </c>
      <c r="B1506" t="s">
        <v>36</v>
      </c>
      <c r="C1506" t="s">
        <v>33</v>
      </c>
      <c r="D1506" t="s">
        <v>34</v>
      </c>
      <c r="E1506">
        <v>0</v>
      </c>
      <c r="F1506">
        <v>0</v>
      </c>
      <c r="G1506" t="s">
        <v>2</v>
      </c>
      <c r="H1506" cm="1">
        <f t="array" ref="H1506">-isDup(B1506,B1507,0.7)</f>
        <v>0</v>
      </c>
    </row>
    <row r="1507" spans="1:8" x14ac:dyDescent="0.2">
      <c r="A1507" s="3">
        <v>46472.921492997688</v>
      </c>
      <c r="B1507" t="s">
        <v>37</v>
      </c>
      <c r="C1507" t="s">
        <v>33</v>
      </c>
      <c r="D1507" t="s">
        <v>34</v>
      </c>
      <c r="E1507">
        <v>0</v>
      </c>
      <c r="F1507">
        <v>0</v>
      </c>
      <c r="G1507" t="s">
        <v>2</v>
      </c>
      <c r="H1507" cm="1">
        <f t="array" ref="H1507">-isDup(B1507,B1508,0.7)</f>
        <v>0</v>
      </c>
    </row>
    <row r="1508" spans="1:8" x14ac:dyDescent="0.2">
      <c r="A1508" s="3">
        <v>46473.921492997688</v>
      </c>
      <c r="B1508" t="s">
        <v>370</v>
      </c>
      <c r="C1508" t="s">
        <v>128</v>
      </c>
      <c r="D1508" t="s">
        <v>129</v>
      </c>
      <c r="E1508">
        <v>0</v>
      </c>
      <c r="F1508">
        <v>0</v>
      </c>
      <c r="G1508" t="s">
        <v>2</v>
      </c>
      <c r="H1508" cm="1">
        <f t="array" ref="H1508">-isDup(B1508,B1509,0.7)</f>
        <v>-1</v>
      </c>
    </row>
    <row r="1509" spans="1:8" x14ac:dyDescent="0.2">
      <c r="A1509" s="3">
        <v>46474.921492997688</v>
      </c>
      <c r="B1509" t="s">
        <v>370</v>
      </c>
      <c r="C1509" t="s">
        <v>143</v>
      </c>
      <c r="D1509" t="s">
        <v>129</v>
      </c>
      <c r="E1509">
        <v>0</v>
      </c>
      <c r="F1509">
        <v>0</v>
      </c>
      <c r="G1509" t="s">
        <v>2</v>
      </c>
      <c r="H1509" cm="1">
        <f t="array" ref="H1509">-isDup(B1509,B1510,0.7)</f>
        <v>0</v>
      </c>
    </row>
    <row r="1510" spans="1:8" x14ac:dyDescent="0.2">
      <c r="A1510" s="3">
        <v>46475.921492997688</v>
      </c>
      <c r="B1510" t="s">
        <v>1706</v>
      </c>
      <c r="C1510" t="s">
        <v>1488</v>
      </c>
      <c r="E1510">
        <v>0</v>
      </c>
      <c r="F1510">
        <v>0</v>
      </c>
      <c r="G1510" t="s">
        <v>2</v>
      </c>
      <c r="H1510" cm="1">
        <f t="array" ref="H1510">-isDup(B1510,B1511,0.7)</f>
        <v>0</v>
      </c>
    </row>
    <row r="1511" spans="1:8" x14ac:dyDescent="0.2">
      <c r="A1511" s="3">
        <v>46476.921492997688</v>
      </c>
      <c r="B1511" t="s">
        <v>1707</v>
      </c>
      <c r="C1511" t="s">
        <v>1708</v>
      </c>
      <c r="D1511" t="s">
        <v>1709</v>
      </c>
      <c r="E1511">
        <v>5</v>
      </c>
      <c r="F1511">
        <v>17</v>
      </c>
      <c r="G1511" t="s">
        <v>2</v>
      </c>
      <c r="H1511" cm="1">
        <f t="array" ref="H1511">-isDup(B1511,B1512,0.7)</f>
        <v>0</v>
      </c>
    </row>
    <row r="1512" spans="1:8" x14ac:dyDescent="0.2">
      <c r="A1512" s="3">
        <v>46477.921492997688</v>
      </c>
      <c r="B1512" t="s">
        <v>326</v>
      </c>
      <c r="C1512" t="s">
        <v>143</v>
      </c>
      <c r="D1512" t="s">
        <v>129</v>
      </c>
      <c r="E1512">
        <v>0</v>
      </c>
      <c r="F1512">
        <v>0</v>
      </c>
      <c r="G1512" t="s">
        <v>2</v>
      </c>
      <c r="H1512" cm="1">
        <f t="array" ref="H1512">-isDup(B1512,B1513,0.7)</f>
        <v>0</v>
      </c>
    </row>
    <row r="1513" spans="1:8" x14ac:dyDescent="0.2">
      <c r="A1513" s="3">
        <v>46478.921492997688</v>
      </c>
      <c r="B1513" t="s">
        <v>1710</v>
      </c>
      <c r="C1513" t="s">
        <v>378</v>
      </c>
      <c r="E1513">
        <v>0</v>
      </c>
      <c r="F1513">
        <v>0</v>
      </c>
      <c r="G1513" t="s">
        <v>2</v>
      </c>
      <c r="H1513" cm="1">
        <f t="array" ref="H1513">-isDup(B1513,B1514,0.7)</f>
        <v>0</v>
      </c>
    </row>
    <row r="1514" spans="1:8" x14ac:dyDescent="0.2">
      <c r="A1514" s="3">
        <v>46479.921492997688</v>
      </c>
      <c r="B1514" t="s">
        <v>1711</v>
      </c>
      <c r="C1514" t="s">
        <v>290</v>
      </c>
      <c r="D1514" t="s">
        <v>291</v>
      </c>
      <c r="E1514">
        <v>0</v>
      </c>
      <c r="F1514">
        <v>0</v>
      </c>
      <c r="G1514" t="s">
        <v>2</v>
      </c>
      <c r="H1514" cm="1">
        <f t="array" ref="H1514">-isDup(B1514,B1515,0.7)</f>
        <v>0</v>
      </c>
    </row>
    <row r="1515" spans="1:8" x14ac:dyDescent="0.2">
      <c r="A1515" s="3">
        <v>46480.921492997688</v>
      </c>
      <c r="B1515" t="s">
        <v>3</v>
      </c>
      <c r="C1515" t="s">
        <v>4</v>
      </c>
      <c r="D1515" t="s">
        <v>5</v>
      </c>
      <c r="E1515">
        <v>0</v>
      </c>
      <c r="F1515">
        <v>0</v>
      </c>
      <c r="G1515" t="s">
        <v>2</v>
      </c>
      <c r="H1515" cm="1">
        <f t="array" ref="H1515">-isDup(B1515,B1516,0.7)</f>
        <v>0</v>
      </c>
    </row>
    <row r="1516" spans="1:8" x14ac:dyDescent="0.2">
      <c r="A1516" s="3">
        <v>46481.921492997688</v>
      </c>
      <c r="B1516" t="s">
        <v>1712</v>
      </c>
      <c r="C1516" t="s">
        <v>759</v>
      </c>
      <c r="D1516" t="s">
        <v>1713</v>
      </c>
      <c r="E1516">
        <v>0</v>
      </c>
      <c r="F1516">
        <v>9</v>
      </c>
      <c r="G1516" t="s">
        <v>2</v>
      </c>
      <c r="H1516" cm="1">
        <f t="array" ref="H1516">-isDup(B1516,B1517,0.7)</f>
        <v>0</v>
      </c>
    </row>
    <row r="1517" spans="1:8" x14ac:dyDescent="0.2">
      <c r="A1517" s="3">
        <v>46482.921492997688</v>
      </c>
      <c r="B1517" t="s">
        <v>1714</v>
      </c>
      <c r="C1517" t="s">
        <v>1547</v>
      </c>
      <c r="E1517">
        <v>0</v>
      </c>
      <c r="F1517">
        <v>0</v>
      </c>
      <c r="G1517" t="s">
        <v>2</v>
      </c>
      <c r="H1517" cm="1">
        <f t="array" ref="H1517">-isDup(B1517,B1518,0.7)</f>
        <v>0</v>
      </c>
    </row>
    <row r="1518" spans="1:8" x14ac:dyDescent="0.2">
      <c r="A1518" s="3">
        <v>46483.921492997688</v>
      </c>
      <c r="B1518" t="s">
        <v>1715</v>
      </c>
      <c r="C1518" t="s">
        <v>7</v>
      </c>
      <c r="E1518">
        <v>0</v>
      </c>
      <c r="F1518">
        <v>0</v>
      </c>
      <c r="G1518" t="s">
        <v>2</v>
      </c>
      <c r="H1518" cm="1">
        <f t="array" ref="H1518">-isDup(B1518,B1519,0.7)</f>
        <v>0</v>
      </c>
    </row>
    <row r="1519" spans="1:8" x14ac:dyDescent="0.2">
      <c r="A1519" s="3">
        <v>46484.921492997688</v>
      </c>
      <c r="B1519" t="s">
        <v>397</v>
      </c>
      <c r="C1519" t="s">
        <v>143</v>
      </c>
      <c r="D1519" t="s">
        <v>129</v>
      </c>
      <c r="E1519">
        <v>0</v>
      </c>
      <c r="F1519">
        <v>0</v>
      </c>
      <c r="G1519" t="s">
        <v>2</v>
      </c>
      <c r="H1519" cm="1">
        <f t="array" ref="H1519">-isDup(B1519,B1520,0.7)</f>
        <v>0</v>
      </c>
    </row>
    <row r="1520" spans="1:8" x14ac:dyDescent="0.2">
      <c r="A1520" s="3">
        <v>46485.921492997688</v>
      </c>
      <c r="B1520" t="s">
        <v>1716</v>
      </c>
      <c r="C1520" t="s">
        <v>1717</v>
      </c>
      <c r="D1520" t="s">
        <v>1718</v>
      </c>
      <c r="E1520">
        <v>0</v>
      </c>
      <c r="F1520">
        <v>0</v>
      </c>
      <c r="G1520" t="s">
        <v>2</v>
      </c>
      <c r="H1520" cm="1">
        <f t="array" ref="H1520">-isDup(B1520,B1521,0.7)</f>
        <v>0</v>
      </c>
    </row>
    <row r="1521" spans="1:8" x14ac:dyDescent="0.2">
      <c r="A1521" s="3">
        <v>46486.921492997688</v>
      </c>
      <c r="B1521" t="s">
        <v>398</v>
      </c>
      <c r="C1521" t="s">
        <v>143</v>
      </c>
      <c r="D1521" t="s">
        <v>129</v>
      </c>
      <c r="E1521">
        <v>0</v>
      </c>
      <c r="F1521">
        <v>0</v>
      </c>
      <c r="G1521" t="s">
        <v>2</v>
      </c>
      <c r="H1521" cm="1">
        <f t="array" ref="H1521">-isDup(B1521,B1522,0.7)</f>
        <v>0</v>
      </c>
    </row>
    <row r="1522" spans="1:8" x14ac:dyDescent="0.2">
      <c r="A1522" s="3">
        <v>46487.921492997688</v>
      </c>
      <c r="B1522" t="s">
        <v>368</v>
      </c>
      <c r="C1522" t="s">
        <v>143</v>
      </c>
      <c r="D1522" t="s">
        <v>129</v>
      </c>
      <c r="E1522">
        <v>0</v>
      </c>
      <c r="F1522">
        <v>0</v>
      </c>
      <c r="G1522" t="s">
        <v>2</v>
      </c>
      <c r="H1522" cm="1">
        <f t="array" ref="H1522">-isDup(B1522,B1523,0.7)</f>
        <v>0</v>
      </c>
    </row>
    <row r="1523" spans="1:8" x14ac:dyDescent="0.2">
      <c r="A1523" s="3">
        <v>46488.921492997688</v>
      </c>
      <c r="B1523" t="s">
        <v>1719</v>
      </c>
      <c r="C1523" t="s">
        <v>1720</v>
      </c>
      <c r="D1523" t="s">
        <v>55</v>
      </c>
      <c r="E1523">
        <v>0</v>
      </c>
      <c r="F1523">
        <v>0</v>
      </c>
      <c r="G1523" t="s">
        <v>2</v>
      </c>
      <c r="H1523" cm="1">
        <f t="array" ref="H1523">-isDup(B1523,B1524,0.7)</f>
        <v>0</v>
      </c>
    </row>
    <row r="1524" spans="1:8" x14ac:dyDescent="0.2">
      <c r="A1524" s="3">
        <v>46489.921492997688</v>
      </c>
      <c r="B1524" t="s">
        <v>1721</v>
      </c>
      <c r="C1524" t="s">
        <v>178</v>
      </c>
      <c r="D1524" t="s">
        <v>291</v>
      </c>
      <c r="E1524">
        <v>0</v>
      </c>
      <c r="F1524">
        <v>0</v>
      </c>
      <c r="G1524" t="s">
        <v>2</v>
      </c>
      <c r="H1524" cm="1">
        <f t="array" ref="H1524">-isDup(B1524,B1525,0.7)</f>
        <v>0</v>
      </c>
    </row>
    <row r="1525" spans="1:8" x14ac:dyDescent="0.2">
      <c r="A1525" s="3">
        <v>46490.921492997688</v>
      </c>
      <c r="B1525" t="s">
        <v>1722</v>
      </c>
      <c r="C1525" t="s">
        <v>956</v>
      </c>
      <c r="E1525">
        <v>0</v>
      </c>
      <c r="F1525">
        <v>0</v>
      </c>
      <c r="G1525" t="s">
        <v>2</v>
      </c>
      <c r="H1525" cm="1">
        <f t="array" ref="H1525">-isDup(B1525,B1526,0.7)</f>
        <v>0</v>
      </c>
    </row>
    <row r="1526" spans="1:8" x14ac:dyDescent="0.2">
      <c r="A1526" s="3">
        <v>46491.921492997688</v>
      </c>
      <c r="B1526" t="s">
        <v>1723</v>
      </c>
      <c r="C1526" t="s">
        <v>1724</v>
      </c>
      <c r="D1526" t="s">
        <v>1725</v>
      </c>
      <c r="E1526">
        <v>0</v>
      </c>
      <c r="F1526">
        <v>0</v>
      </c>
      <c r="G1526" t="s">
        <v>2</v>
      </c>
      <c r="H1526" cm="1">
        <f t="array" ref="H1526">-isDup(B1526,B1527,0.7)</f>
        <v>0</v>
      </c>
    </row>
    <row r="1527" spans="1:8" x14ac:dyDescent="0.2">
      <c r="A1527" s="3">
        <v>46492.921492997688</v>
      </c>
      <c r="B1527" t="s">
        <v>21</v>
      </c>
      <c r="C1527" t="s">
        <v>22</v>
      </c>
      <c r="E1527">
        <v>0</v>
      </c>
      <c r="F1527">
        <v>0</v>
      </c>
      <c r="G1527" t="s">
        <v>2</v>
      </c>
      <c r="H1527" cm="1">
        <f t="array" ref="H1527">-isDup(B1527,B1528,0.7)</f>
        <v>0</v>
      </c>
    </row>
    <row r="1528" spans="1:8" x14ac:dyDescent="0.2">
      <c r="A1528" s="3">
        <v>46493.921492997688</v>
      </c>
      <c r="B1528" t="s">
        <v>141</v>
      </c>
      <c r="C1528" t="s">
        <v>143</v>
      </c>
      <c r="D1528" t="s">
        <v>129</v>
      </c>
      <c r="E1528">
        <v>0</v>
      </c>
      <c r="F1528">
        <v>0</v>
      </c>
      <c r="G1528" t="s">
        <v>2</v>
      </c>
      <c r="H1528" cm="1">
        <f t="array" ref="H1528">-isDup(B1528,B1529,0.7)</f>
        <v>0</v>
      </c>
    </row>
    <row r="1529" spans="1:8" x14ac:dyDescent="0.2">
      <c r="A1529" s="3">
        <v>46494.921492997688</v>
      </c>
      <c r="B1529" t="s">
        <v>325</v>
      </c>
      <c r="C1529" t="s">
        <v>143</v>
      </c>
      <c r="D1529" t="s">
        <v>129</v>
      </c>
      <c r="E1529">
        <v>0</v>
      </c>
      <c r="F1529">
        <v>0</v>
      </c>
      <c r="G1529" t="s">
        <v>2</v>
      </c>
      <c r="H1529" cm="1">
        <f t="array" ref="H1529">-isDup(B1529,B1530,0.7)</f>
        <v>0</v>
      </c>
    </row>
    <row r="1530" spans="1:8" x14ac:dyDescent="0.2">
      <c r="A1530" s="3">
        <v>46495.921492997688</v>
      </c>
      <c r="B1530" t="s">
        <v>1726</v>
      </c>
      <c r="C1530" t="s">
        <v>171</v>
      </c>
      <c r="E1530">
        <v>0</v>
      </c>
      <c r="F1530">
        <v>0</v>
      </c>
      <c r="G1530" t="s">
        <v>2</v>
      </c>
      <c r="H1530" cm="1">
        <f t="array" ref="H1530">-isDup(B1530,B1531,0.7)</f>
        <v>0</v>
      </c>
    </row>
    <row r="1531" spans="1:8" x14ac:dyDescent="0.2">
      <c r="A1531" s="3">
        <v>46496.921492997688</v>
      </c>
      <c r="B1531" t="s">
        <v>140</v>
      </c>
      <c r="C1531" t="s">
        <v>128</v>
      </c>
      <c r="D1531" t="s">
        <v>129</v>
      </c>
      <c r="E1531">
        <v>0</v>
      </c>
      <c r="F1531">
        <v>0</v>
      </c>
      <c r="G1531" t="s">
        <v>2</v>
      </c>
      <c r="H1531" cm="1">
        <f t="array" ref="H1531">-isDup(B1531,B1532,0.7)</f>
        <v>0</v>
      </c>
    </row>
    <row r="1532" spans="1:8" x14ac:dyDescent="0.2">
      <c r="A1532" s="3">
        <v>46497.921492997688</v>
      </c>
      <c r="B1532" t="s">
        <v>1727</v>
      </c>
      <c r="C1532" t="s">
        <v>1728</v>
      </c>
      <c r="D1532" t="s">
        <v>1729</v>
      </c>
      <c r="E1532">
        <v>0</v>
      </c>
      <c r="F1532">
        <v>0</v>
      </c>
      <c r="G1532" t="s">
        <v>2</v>
      </c>
      <c r="H1532" cm="1">
        <f t="array" ref="H1532">-isDup(B1532,B1533,0.7)</f>
        <v>0</v>
      </c>
    </row>
    <row r="1533" spans="1:8" x14ac:dyDescent="0.2">
      <c r="A1533" s="3">
        <v>46498.921492997688</v>
      </c>
      <c r="B1533" t="s">
        <v>1730</v>
      </c>
      <c r="C1533" t="s">
        <v>98</v>
      </c>
      <c r="D1533" t="s">
        <v>13</v>
      </c>
      <c r="E1533">
        <v>0</v>
      </c>
      <c r="F1533">
        <v>0</v>
      </c>
      <c r="G1533" t="s">
        <v>2</v>
      </c>
      <c r="H1533" cm="1">
        <f t="array" ref="H1533">-isDup(B1533,B1534,0.7)</f>
        <v>0</v>
      </c>
    </row>
    <row r="1534" spans="1:8" x14ac:dyDescent="0.2">
      <c r="A1534" s="3">
        <v>46499.921492997688</v>
      </c>
      <c r="B1534" t="s">
        <v>1731</v>
      </c>
      <c r="C1534" t="s">
        <v>1732</v>
      </c>
      <c r="E1534">
        <v>0</v>
      </c>
      <c r="F1534">
        <v>0</v>
      </c>
      <c r="G1534" t="s">
        <v>2</v>
      </c>
      <c r="H1534" cm="1">
        <f t="array" ref="H1534">-isDup(B1534,B1535,0.7)</f>
        <v>0</v>
      </c>
    </row>
    <row r="1535" spans="1:8" x14ac:dyDescent="0.2">
      <c r="A1535" s="3">
        <v>46500.921492997688</v>
      </c>
      <c r="B1535" t="s">
        <v>1733</v>
      </c>
      <c r="C1535" t="s">
        <v>819</v>
      </c>
      <c r="D1535" t="s">
        <v>820</v>
      </c>
      <c r="E1535">
        <v>0</v>
      </c>
      <c r="F1535">
        <v>0</v>
      </c>
      <c r="G1535" t="s">
        <v>2</v>
      </c>
      <c r="H1535" cm="1">
        <f t="array" ref="H1535">-isDup(B1535,B1536,0.7)</f>
        <v>0</v>
      </c>
    </row>
    <row r="1536" spans="1:8" x14ac:dyDescent="0.2">
      <c r="A1536" s="3">
        <v>46501.921492997688</v>
      </c>
      <c r="B1536" t="s">
        <v>1734</v>
      </c>
      <c r="C1536" t="s">
        <v>1735</v>
      </c>
      <c r="D1536" t="s">
        <v>1736</v>
      </c>
      <c r="E1536">
        <v>0</v>
      </c>
      <c r="F1536">
        <v>0</v>
      </c>
      <c r="G1536" t="s">
        <v>2</v>
      </c>
      <c r="H1536" cm="1">
        <f t="array" ref="H1536">-isDup(B1536,B1537,0.7)</f>
        <v>0</v>
      </c>
    </row>
    <row r="1537" spans="1:8" x14ac:dyDescent="0.2">
      <c r="A1537" s="3">
        <v>46502.921492997688</v>
      </c>
      <c r="B1537" t="s">
        <v>1737</v>
      </c>
      <c r="C1537" t="s">
        <v>1738</v>
      </c>
      <c r="E1537">
        <v>0</v>
      </c>
      <c r="F1537">
        <v>0</v>
      </c>
      <c r="G1537" t="s">
        <v>2</v>
      </c>
      <c r="H1537" cm="1">
        <f t="array" ref="H1537">-isDup(B1537,B1538,0.7)</f>
        <v>0</v>
      </c>
    </row>
    <row r="1538" spans="1:8" x14ac:dyDescent="0.2">
      <c r="A1538" s="3">
        <v>46503.921492997688</v>
      </c>
      <c r="B1538" t="s">
        <v>1739</v>
      </c>
      <c r="C1538" t="s">
        <v>1740</v>
      </c>
      <c r="D1538" t="s">
        <v>1741</v>
      </c>
      <c r="E1538">
        <v>0</v>
      </c>
      <c r="F1538">
        <v>1</v>
      </c>
      <c r="G1538" t="s">
        <v>2</v>
      </c>
      <c r="H1538" cm="1">
        <f t="array" ref="H1538">-isDup(B1538,B1539,0.7)</f>
        <v>0</v>
      </c>
    </row>
    <row r="1539" spans="1:8" x14ac:dyDescent="0.2">
      <c r="A1539" s="3">
        <v>46504.921492997688</v>
      </c>
      <c r="B1539" t="s">
        <v>1742</v>
      </c>
      <c r="C1539" t="s">
        <v>134</v>
      </c>
      <c r="E1539">
        <v>0</v>
      </c>
      <c r="F1539">
        <v>0</v>
      </c>
      <c r="G1539" t="s">
        <v>2</v>
      </c>
      <c r="H1539" cm="1">
        <f t="array" ref="H1539">-isDup(B1539,B1540,0.7)</f>
        <v>0</v>
      </c>
    </row>
    <row r="1540" spans="1:8" x14ac:dyDescent="0.2">
      <c r="A1540" s="3">
        <v>46505.921492997688</v>
      </c>
      <c r="B1540" t="s">
        <v>1743</v>
      </c>
      <c r="C1540" t="s">
        <v>98</v>
      </c>
      <c r="D1540" t="s">
        <v>13</v>
      </c>
      <c r="E1540">
        <v>0</v>
      </c>
      <c r="F1540">
        <v>0</v>
      </c>
      <c r="G1540" t="s">
        <v>2</v>
      </c>
      <c r="H1540" cm="1">
        <f t="array" ref="H1540">-isDup(B1540,B1541,0.7)</f>
        <v>0</v>
      </c>
    </row>
    <row r="1541" spans="1:8" x14ac:dyDescent="0.2">
      <c r="A1541" s="3">
        <v>46506.921492997688</v>
      </c>
      <c r="B1541" t="s">
        <v>1744</v>
      </c>
      <c r="C1541" t="s">
        <v>1745</v>
      </c>
      <c r="D1541" t="s">
        <v>1746</v>
      </c>
      <c r="E1541">
        <v>0</v>
      </c>
      <c r="F1541">
        <v>0</v>
      </c>
      <c r="G1541" t="s">
        <v>2</v>
      </c>
      <c r="H1541" cm="1">
        <f t="array" ref="H1541">-isDup(B1541,B1542,0.7)</f>
        <v>0</v>
      </c>
    </row>
    <row r="1542" spans="1:8" x14ac:dyDescent="0.2">
      <c r="A1542" s="3">
        <v>46507.921492997688</v>
      </c>
      <c r="B1542" t="s">
        <v>1747</v>
      </c>
      <c r="C1542" t="s">
        <v>7</v>
      </c>
      <c r="E1542">
        <v>0</v>
      </c>
      <c r="F1542">
        <v>0</v>
      </c>
      <c r="G1542" t="s">
        <v>2</v>
      </c>
      <c r="H1542" cm="1">
        <f t="array" ref="H1542">-isDup(B1542,B1543,0.7)</f>
        <v>0</v>
      </c>
    </row>
    <row r="1543" spans="1:8" x14ac:dyDescent="0.2">
      <c r="A1543" s="3">
        <v>46508.921492997688</v>
      </c>
      <c r="B1543" t="s">
        <v>36</v>
      </c>
      <c r="C1543" t="s">
        <v>33</v>
      </c>
      <c r="D1543" t="s">
        <v>34</v>
      </c>
      <c r="E1543">
        <v>0</v>
      </c>
      <c r="F1543">
        <v>0</v>
      </c>
      <c r="G1543" t="s">
        <v>2</v>
      </c>
      <c r="H1543" cm="1">
        <f t="array" ref="H1543">-isDup(B1543,B1544,0.7)</f>
        <v>0</v>
      </c>
    </row>
    <row r="1544" spans="1:8" x14ac:dyDescent="0.2">
      <c r="A1544" s="3">
        <v>46509.921492997688</v>
      </c>
      <c r="B1544" t="s">
        <v>35</v>
      </c>
      <c r="C1544" t="s">
        <v>33</v>
      </c>
      <c r="D1544" t="s">
        <v>34</v>
      </c>
      <c r="E1544">
        <v>0</v>
      </c>
      <c r="F1544">
        <v>0</v>
      </c>
      <c r="G1544" t="s">
        <v>2</v>
      </c>
      <c r="H1544" cm="1">
        <f t="array" ref="H1544">-isDup(B1544,B1545,0.7)</f>
        <v>-1</v>
      </c>
    </row>
    <row r="1545" spans="1:8" x14ac:dyDescent="0.2">
      <c r="A1545" s="3">
        <v>46510.921492997688</v>
      </c>
      <c r="B1545" t="s">
        <v>37</v>
      </c>
      <c r="C1545" t="s">
        <v>33</v>
      </c>
      <c r="D1545" t="s">
        <v>34</v>
      </c>
      <c r="E1545">
        <v>0</v>
      </c>
      <c r="F1545">
        <v>0</v>
      </c>
      <c r="G1545" t="s">
        <v>2</v>
      </c>
      <c r="H1545" cm="1">
        <f t="array" ref="H1545">-isDup(B1545,B1546,0.7)</f>
        <v>0</v>
      </c>
    </row>
    <row r="1546" spans="1:8" x14ac:dyDescent="0.2">
      <c r="A1546" s="3">
        <v>46511.921492997688</v>
      </c>
      <c r="B1546" t="s">
        <v>1748</v>
      </c>
      <c r="C1546" t="s">
        <v>33</v>
      </c>
      <c r="D1546" t="s">
        <v>34</v>
      </c>
      <c r="E1546">
        <v>0</v>
      </c>
      <c r="F1546">
        <v>0</v>
      </c>
      <c r="G1546" t="s">
        <v>2</v>
      </c>
      <c r="H1546" cm="1">
        <f t="array" ref="H1546">-isDup(B1546,B1547,0.7)</f>
        <v>0</v>
      </c>
    </row>
    <row r="1547" spans="1:8" x14ac:dyDescent="0.2">
      <c r="A1547" s="3">
        <v>46512.921492997688</v>
      </c>
      <c r="B1547" t="s">
        <v>226</v>
      </c>
      <c r="C1547" t="s">
        <v>33</v>
      </c>
      <c r="D1547" t="s">
        <v>34</v>
      </c>
      <c r="E1547">
        <v>0</v>
      </c>
      <c r="F1547">
        <v>0</v>
      </c>
      <c r="G1547" t="s">
        <v>2</v>
      </c>
      <c r="H1547" cm="1">
        <f t="array" ref="H1547">-isDup(B1547,B1548,0.7)</f>
        <v>-1</v>
      </c>
    </row>
    <row r="1548" spans="1:8" x14ac:dyDescent="0.2">
      <c r="A1548" s="3">
        <v>46513.921492997688</v>
      </c>
      <c r="B1548" t="s">
        <v>229</v>
      </c>
      <c r="C1548" t="s">
        <v>33</v>
      </c>
      <c r="D1548" t="s">
        <v>34</v>
      </c>
      <c r="E1548">
        <v>0</v>
      </c>
      <c r="F1548">
        <v>0</v>
      </c>
      <c r="G1548" t="s">
        <v>2</v>
      </c>
      <c r="H1548" cm="1">
        <f t="array" ref="H1548">-isDup(B1548,B1549,0.7)</f>
        <v>0</v>
      </c>
    </row>
    <row r="1549" spans="1:8" x14ac:dyDescent="0.2">
      <c r="A1549" s="3">
        <v>46514.921492997688</v>
      </c>
      <c r="B1549" t="s">
        <v>230</v>
      </c>
      <c r="C1549" t="s">
        <v>33</v>
      </c>
      <c r="D1549" t="s">
        <v>34</v>
      </c>
      <c r="E1549">
        <v>0</v>
      </c>
      <c r="F1549">
        <v>0</v>
      </c>
      <c r="G1549" t="s">
        <v>2</v>
      </c>
      <c r="H1549" cm="1">
        <f t="array" ref="H1549">-isDup(B1549,B1550,0.7)</f>
        <v>0</v>
      </c>
    </row>
    <row r="1550" spans="1:8" x14ac:dyDescent="0.2">
      <c r="A1550" s="3">
        <v>46515.921492997688</v>
      </c>
      <c r="B1550" t="s">
        <v>228</v>
      </c>
      <c r="C1550" t="s">
        <v>33</v>
      </c>
      <c r="D1550" t="s">
        <v>34</v>
      </c>
      <c r="E1550">
        <v>0</v>
      </c>
      <c r="F1550">
        <v>0</v>
      </c>
      <c r="G1550" t="s">
        <v>2</v>
      </c>
      <c r="H1550" cm="1">
        <f t="array" ref="H1550">-isDup(B1550,B1551,0.7)</f>
        <v>0</v>
      </c>
    </row>
    <row r="1551" spans="1:8" x14ac:dyDescent="0.2">
      <c r="A1551" s="3">
        <v>46516.921492997688</v>
      </c>
      <c r="B1551" t="s">
        <v>224</v>
      </c>
      <c r="C1551" t="s">
        <v>33</v>
      </c>
      <c r="D1551" t="s">
        <v>34</v>
      </c>
      <c r="E1551">
        <v>0</v>
      </c>
      <c r="F1551">
        <v>0</v>
      </c>
      <c r="G1551" t="s">
        <v>2</v>
      </c>
      <c r="H1551" cm="1">
        <f t="array" ref="H1551">-isDup(B1551,B1552,0.7)</f>
        <v>0</v>
      </c>
    </row>
    <row r="1552" spans="1:8" x14ac:dyDescent="0.2">
      <c r="A1552" s="3">
        <v>46517.921492997688</v>
      </c>
      <c r="B1552" t="s">
        <v>227</v>
      </c>
      <c r="C1552" t="s">
        <v>33</v>
      </c>
      <c r="D1552" t="s">
        <v>34</v>
      </c>
      <c r="E1552">
        <v>0</v>
      </c>
      <c r="F1552">
        <v>0</v>
      </c>
      <c r="G1552" t="s">
        <v>2</v>
      </c>
      <c r="H1552" cm="1">
        <f t="array" ref="H1552">-isDup(B1552,B1553,0.7)</f>
        <v>0</v>
      </c>
    </row>
    <row r="1553" spans="1:8" x14ac:dyDescent="0.2">
      <c r="A1553" s="3">
        <v>46518.921492997688</v>
      </c>
      <c r="B1553" t="s">
        <v>231</v>
      </c>
      <c r="C1553" t="s">
        <v>33</v>
      </c>
      <c r="D1553" t="s">
        <v>34</v>
      </c>
      <c r="E1553">
        <v>0</v>
      </c>
      <c r="F1553">
        <v>0</v>
      </c>
      <c r="G1553" t="s">
        <v>2</v>
      </c>
      <c r="H1553" cm="1">
        <f t="array" ref="H1553">-isDup(B1553,B1554,0.7)</f>
        <v>0</v>
      </c>
    </row>
    <row r="1554" spans="1:8" x14ac:dyDescent="0.2">
      <c r="A1554" s="3">
        <v>46519.921492997688</v>
      </c>
      <c r="B1554" t="s">
        <v>225</v>
      </c>
      <c r="C1554" t="s">
        <v>33</v>
      </c>
      <c r="D1554" t="s">
        <v>34</v>
      </c>
      <c r="E1554">
        <v>0</v>
      </c>
      <c r="F1554">
        <v>0</v>
      </c>
      <c r="G1554" t="s">
        <v>2</v>
      </c>
      <c r="H1554" cm="1">
        <f t="array" ref="H1554">-isDup(B1554,B1555,0.7)</f>
        <v>0</v>
      </c>
    </row>
    <row r="1555" spans="1:8" x14ac:dyDescent="0.2">
      <c r="A1555" s="3">
        <v>46520.921492997688</v>
      </c>
      <c r="B1555" t="s">
        <v>475</v>
      </c>
      <c r="C1555" t="s">
        <v>143</v>
      </c>
      <c r="D1555" t="s">
        <v>129</v>
      </c>
      <c r="E1555">
        <v>0</v>
      </c>
      <c r="F1555">
        <v>0</v>
      </c>
      <c r="G1555" t="s">
        <v>2</v>
      </c>
      <c r="H1555" cm="1">
        <f t="array" ref="H1555">-isDup(B1555,B1556,0.7)</f>
        <v>-1</v>
      </c>
    </row>
    <row r="1556" spans="1:8" x14ac:dyDescent="0.2">
      <c r="A1556" s="3">
        <v>46521.921492997688</v>
      </c>
      <c r="B1556" t="s">
        <v>475</v>
      </c>
      <c r="C1556" t="s">
        <v>128</v>
      </c>
      <c r="D1556" t="s">
        <v>129</v>
      </c>
      <c r="E1556">
        <v>0</v>
      </c>
      <c r="F1556">
        <v>0</v>
      </c>
      <c r="G1556" t="s">
        <v>2</v>
      </c>
      <c r="H1556" cm="1">
        <f t="array" ref="H1556">-isDup(B1556,B1557,0.7)</f>
        <v>0</v>
      </c>
    </row>
    <row r="1557" spans="1:8" x14ac:dyDescent="0.2">
      <c r="A1557" s="3">
        <v>46522.921492997688</v>
      </c>
      <c r="B1557" t="s">
        <v>3</v>
      </c>
      <c r="C1557" t="s">
        <v>4</v>
      </c>
      <c r="D1557" t="s">
        <v>5</v>
      </c>
      <c r="E1557">
        <v>0</v>
      </c>
      <c r="F1557">
        <v>0</v>
      </c>
      <c r="G1557" t="s">
        <v>2</v>
      </c>
      <c r="H1557" cm="1">
        <f t="array" ref="H1557">-isDup(B1557,B1558,0.7)</f>
        <v>0</v>
      </c>
    </row>
    <row r="1558" spans="1:8" x14ac:dyDescent="0.2">
      <c r="A1558" s="3">
        <v>46523.921492997688</v>
      </c>
      <c r="B1558" t="s">
        <v>1749</v>
      </c>
      <c r="C1558" t="s">
        <v>1638</v>
      </c>
      <c r="D1558" t="s">
        <v>1750</v>
      </c>
      <c r="E1558">
        <v>0</v>
      </c>
      <c r="F1558">
        <v>0</v>
      </c>
      <c r="G1558" t="s">
        <v>2</v>
      </c>
      <c r="H1558" cm="1">
        <f t="array" ref="H1558">-isDup(B1558,B1559,0.7)</f>
        <v>0</v>
      </c>
    </row>
    <row r="1559" spans="1:8" x14ac:dyDescent="0.2">
      <c r="A1559" s="3">
        <v>46524.921492997688</v>
      </c>
      <c r="B1559" t="s">
        <v>1751</v>
      </c>
      <c r="C1559" t="s">
        <v>1752</v>
      </c>
      <c r="D1559" t="s">
        <v>1753</v>
      </c>
      <c r="E1559">
        <v>2</v>
      </c>
      <c r="F1559">
        <v>20</v>
      </c>
      <c r="G1559" t="s">
        <v>2</v>
      </c>
      <c r="H1559" cm="1">
        <f t="array" ref="H1559">-isDup(B1559,B1560,0.7)</f>
        <v>0</v>
      </c>
    </row>
    <row r="1560" spans="1:8" x14ac:dyDescent="0.2">
      <c r="A1560" s="3">
        <v>46525.921492997688</v>
      </c>
      <c r="B1560" t="s">
        <v>1754</v>
      </c>
      <c r="C1560" t="s">
        <v>7</v>
      </c>
      <c r="E1560">
        <v>0</v>
      </c>
      <c r="F1560">
        <v>0</v>
      </c>
      <c r="G1560" t="s">
        <v>2</v>
      </c>
      <c r="H1560" cm="1">
        <f t="array" ref="H1560">-isDup(B1560,B1561,0.7)</f>
        <v>0</v>
      </c>
    </row>
    <row r="1561" spans="1:8" x14ac:dyDescent="0.2">
      <c r="A1561" s="3">
        <v>46526.921492997688</v>
      </c>
      <c r="B1561" t="s">
        <v>1755</v>
      </c>
      <c r="C1561" t="s">
        <v>1060</v>
      </c>
      <c r="E1561">
        <v>0</v>
      </c>
      <c r="F1561">
        <v>2</v>
      </c>
      <c r="G1561" t="s">
        <v>2</v>
      </c>
      <c r="H1561" cm="1">
        <f t="array" ref="H1561">-isDup(B1561,B1562,0.7)</f>
        <v>0</v>
      </c>
    </row>
    <row r="1562" spans="1:8" x14ac:dyDescent="0.2">
      <c r="A1562" s="3">
        <v>46527.921492997688</v>
      </c>
      <c r="B1562" t="s">
        <v>1756</v>
      </c>
      <c r="C1562" t="s">
        <v>1757</v>
      </c>
      <c r="D1562" t="s">
        <v>1758</v>
      </c>
      <c r="E1562">
        <v>0</v>
      </c>
      <c r="F1562">
        <v>3</v>
      </c>
      <c r="G1562" t="s">
        <v>2</v>
      </c>
      <c r="H1562" cm="1">
        <f t="array" ref="H1562">-isDup(B1562,B1563,0.7)</f>
        <v>0</v>
      </c>
    </row>
    <row r="1563" spans="1:8" x14ac:dyDescent="0.2">
      <c r="A1563" s="3">
        <v>46528.921492997688</v>
      </c>
      <c r="B1563" t="s">
        <v>1759</v>
      </c>
      <c r="C1563" t="s">
        <v>1760</v>
      </c>
      <c r="E1563">
        <v>0</v>
      </c>
      <c r="F1563">
        <v>1</v>
      </c>
      <c r="G1563" t="s">
        <v>2</v>
      </c>
      <c r="H1563" cm="1">
        <f t="array" ref="H1563">-isDup(B1563,B1564,0.7)</f>
        <v>0</v>
      </c>
    </row>
    <row r="1564" spans="1:8" x14ac:dyDescent="0.2">
      <c r="A1564" s="3">
        <v>46529.921492997688</v>
      </c>
      <c r="B1564" t="s">
        <v>1761</v>
      </c>
      <c r="C1564" t="s">
        <v>1762</v>
      </c>
      <c r="D1564" t="s">
        <v>1763</v>
      </c>
      <c r="E1564">
        <v>0</v>
      </c>
      <c r="F1564">
        <v>1</v>
      </c>
      <c r="G1564" t="s">
        <v>2</v>
      </c>
      <c r="H1564" cm="1">
        <f t="array" ref="H1564">-isDup(B1564,B1565,0.7)</f>
        <v>0</v>
      </c>
    </row>
    <row r="1565" spans="1:8" x14ac:dyDescent="0.2">
      <c r="A1565" s="3">
        <v>46530.921492997688</v>
      </c>
      <c r="B1565" t="s">
        <v>1272</v>
      </c>
      <c r="C1565" t="s">
        <v>286</v>
      </c>
      <c r="E1565">
        <v>0</v>
      </c>
      <c r="F1565">
        <v>0</v>
      </c>
      <c r="G1565" t="s">
        <v>2</v>
      </c>
      <c r="H1565" cm="1">
        <f t="array" ref="H1565">-isDup(B1565,B1566,0.7)</f>
        <v>0</v>
      </c>
    </row>
    <row r="1566" spans="1:8" x14ac:dyDescent="0.2">
      <c r="A1566" s="3">
        <v>46531.921492997688</v>
      </c>
      <c r="B1566" t="s">
        <v>1764</v>
      </c>
      <c r="C1566" t="s">
        <v>1765</v>
      </c>
      <c r="E1566">
        <v>0</v>
      </c>
      <c r="F1566">
        <v>0</v>
      </c>
      <c r="G1566" t="s">
        <v>2</v>
      </c>
      <c r="H1566" cm="1">
        <f t="array" ref="H1566">-isDup(B1566,B1567,0.7)</f>
        <v>0</v>
      </c>
    </row>
    <row r="1567" spans="1:8" x14ac:dyDescent="0.2">
      <c r="A1567" s="3">
        <v>46532.921492997688</v>
      </c>
      <c r="B1567" t="s">
        <v>1766</v>
      </c>
      <c r="C1567" t="s">
        <v>7</v>
      </c>
      <c r="E1567">
        <v>0</v>
      </c>
      <c r="F1567">
        <v>0</v>
      </c>
      <c r="G1567" t="s">
        <v>2</v>
      </c>
      <c r="H1567" cm="1">
        <f t="array" ref="H1567">-isDup(B1567,B1568,0.7)</f>
        <v>0</v>
      </c>
    </row>
    <row r="1568" spans="1:8" x14ac:dyDescent="0.2">
      <c r="A1568" s="3">
        <v>46533.921492997688</v>
      </c>
      <c r="B1568" t="s">
        <v>1767</v>
      </c>
      <c r="C1568" t="s">
        <v>1550</v>
      </c>
      <c r="E1568">
        <v>0</v>
      </c>
      <c r="F1568">
        <v>0</v>
      </c>
      <c r="G1568" t="s">
        <v>2</v>
      </c>
      <c r="H1568" cm="1">
        <f t="array" ref="H1568">-isDup(B1568,B1569,0.7)</f>
        <v>-1</v>
      </c>
    </row>
    <row r="1569" spans="1:8" x14ac:dyDescent="0.2">
      <c r="A1569" s="3">
        <v>46534.921492997688</v>
      </c>
      <c r="B1569" t="s">
        <v>1768</v>
      </c>
      <c r="C1569" t="s">
        <v>1550</v>
      </c>
      <c r="E1569">
        <v>0</v>
      </c>
      <c r="F1569">
        <v>0</v>
      </c>
      <c r="G1569" t="s">
        <v>2</v>
      </c>
      <c r="H1569" cm="1">
        <f t="array" ref="H1569">-isDup(B1569,B1570,0.7)</f>
        <v>0</v>
      </c>
    </row>
    <row r="1570" spans="1:8" x14ac:dyDescent="0.2">
      <c r="A1570" s="3">
        <v>46535.921492997688</v>
      </c>
      <c r="B1570" t="s">
        <v>1769</v>
      </c>
      <c r="C1570" t="s">
        <v>1770</v>
      </c>
      <c r="D1570" t="s">
        <v>1771</v>
      </c>
      <c r="E1570">
        <v>0</v>
      </c>
      <c r="F1570">
        <v>1</v>
      </c>
      <c r="G1570" t="s">
        <v>2</v>
      </c>
      <c r="H1570" cm="1">
        <f t="array" ref="H1570">-isDup(B1570,B1571,0.7)</f>
        <v>0</v>
      </c>
    </row>
    <row r="1571" spans="1:8" x14ac:dyDescent="0.2">
      <c r="A1571" s="3">
        <v>46536.921492997688</v>
      </c>
      <c r="B1571" t="s">
        <v>885</v>
      </c>
      <c r="C1571" t="s">
        <v>149</v>
      </c>
      <c r="D1571" t="s">
        <v>150</v>
      </c>
      <c r="E1571">
        <v>0</v>
      </c>
      <c r="F1571">
        <v>0</v>
      </c>
      <c r="G1571" t="s">
        <v>2</v>
      </c>
      <c r="H1571" cm="1">
        <f t="array" ref="H1571">-isDup(B1571,B1572,0.7)</f>
        <v>0</v>
      </c>
    </row>
    <row r="1572" spans="1:8" x14ac:dyDescent="0.2">
      <c r="A1572" s="3">
        <v>46537.921492997688</v>
      </c>
      <c r="B1572" t="s">
        <v>1772</v>
      </c>
      <c r="C1572" t="s">
        <v>164</v>
      </c>
      <c r="D1572" t="s">
        <v>55</v>
      </c>
      <c r="E1572">
        <v>1</v>
      </c>
      <c r="F1572">
        <v>0</v>
      </c>
      <c r="G1572" t="s">
        <v>2</v>
      </c>
      <c r="H1572" cm="1">
        <f t="array" ref="H1572">-isDup(B1572,B1573,0.7)</f>
        <v>0</v>
      </c>
    </row>
    <row r="1573" spans="1:8" x14ac:dyDescent="0.2">
      <c r="A1573" s="3">
        <v>46538.921492997688</v>
      </c>
      <c r="B1573" t="s">
        <v>1773</v>
      </c>
      <c r="C1573" t="s">
        <v>178</v>
      </c>
      <c r="D1573" t="s">
        <v>291</v>
      </c>
      <c r="E1573">
        <v>0</v>
      </c>
      <c r="F1573">
        <v>0</v>
      </c>
      <c r="G1573" t="s">
        <v>2</v>
      </c>
      <c r="H1573" cm="1">
        <f t="array" ref="H1573">-isDup(B1573,B1574,0.7)</f>
        <v>0</v>
      </c>
    </row>
    <row r="1574" spans="1:8" x14ac:dyDescent="0.2">
      <c r="A1574" s="3">
        <v>46539.921492997688</v>
      </c>
      <c r="B1574" t="s">
        <v>1774</v>
      </c>
      <c r="C1574" t="s">
        <v>1120</v>
      </c>
      <c r="D1574" t="s">
        <v>1775</v>
      </c>
      <c r="E1574">
        <v>0</v>
      </c>
      <c r="F1574">
        <v>1</v>
      </c>
      <c r="G1574" t="s">
        <v>2</v>
      </c>
      <c r="H1574" cm="1">
        <f t="array" ref="H1574">-isDup(B1574,B1575,0.7)</f>
        <v>0</v>
      </c>
    </row>
    <row r="1575" spans="1:8" x14ac:dyDescent="0.2">
      <c r="A1575" s="3">
        <v>46540.921492997688</v>
      </c>
      <c r="B1575" t="s">
        <v>1776</v>
      </c>
      <c r="C1575" t="s">
        <v>206</v>
      </c>
      <c r="D1575" t="s">
        <v>1777</v>
      </c>
      <c r="E1575">
        <v>0</v>
      </c>
      <c r="F1575">
        <v>1</v>
      </c>
      <c r="G1575" t="s">
        <v>2</v>
      </c>
      <c r="H1575" cm="1">
        <f t="array" ref="H1575">-isDup(B1575,B1576,0.7)</f>
        <v>0</v>
      </c>
    </row>
    <row r="1576" spans="1:8" x14ac:dyDescent="0.2">
      <c r="A1576" s="3">
        <v>46541.921492997688</v>
      </c>
      <c r="B1576" t="s">
        <v>1778</v>
      </c>
      <c r="C1576" t="s">
        <v>1779</v>
      </c>
      <c r="E1576">
        <v>0</v>
      </c>
      <c r="F1576">
        <v>0</v>
      </c>
      <c r="G1576" t="s">
        <v>2</v>
      </c>
      <c r="H1576" cm="1">
        <f t="array" ref="H1576">-isDup(B1576,B1577,0.7)</f>
        <v>0</v>
      </c>
    </row>
    <row r="1577" spans="1:8" x14ac:dyDescent="0.2">
      <c r="A1577" s="3">
        <v>46542.921492997688</v>
      </c>
      <c r="B1577" t="s">
        <v>1780</v>
      </c>
      <c r="C1577" t="s">
        <v>842</v>
      </c>
      <c r="E1577">
        <v>32</v>
      </c>
      <c r="F1577">
        <v>146</v>
      </c>
      <c r="G1577" t="s">
        <v>2</v>
      </c>
      <c r="H1577" cm="1">
        <f t="array" ref="H1577">-isDup(B1577,B1578,0.7)</f>
        <v>0</v>
      </c>
    </row>
    <row r="1578" spans="1:8" x14ac:dyDescent="0.2">
      <c r="A1578" s="3">
        <v>46543.921492997688</v>
      </c>
      <c r="B1578" t="s">
        <v>289</v>
      </c>
      <c r="C1578" t="s">
        <v>290</v>
      </c>
      <c r="D1578" t="s">
        <v>291</v>
      </c>
      <c r="E1578">
        <v>0</v>
      </c>
      <c r="F1578">
        <v>0</v>
      </c>
      <c r="G1578" t="s">
        <v>2</v>
      </c>
      <c r="H1578" cm="1">
        <f t="array" ref="H1578">-isDup(B1578,B1579,0.7)</f>
        <v>0</v>
      </c>
    </row>
    <row r="1579" spans="1:8" x14ac:dyDescent="0.2">
      <c r="A1579" s="3">
        <v>46544.921492997688</v>
      </c>
      <c r="B1579" t="s">
        <v>1781</v>
      </c>
      <c r="C1579" t="s">
        <v>669</v>
      </c>
      <c r="E1579">
        <v>0</v>
      </c>
      <c r="F1579">
        <v>0</v>
      </c>
      <c r="G1579" t="s">
        <v>2</v>
      </c>
      <c r="H1579" cm="1">
        <f t="array" ref="H1579">-isDup(B1579,B1580,0.7)</f>
        <v>0</v>
      </c>
    </row>
    <row r="1580" spans="1:8" x14ac:dyDescent="0.2">
      <c r="A1580" s="3">
        <v>46545.921492997688</v>
      </c>
      <c r="B1580" t="s">
        <v>1782</v>
      </c>
      <c r="C1580" t="s">
        <v>164</v>
      </c>
      <c r="D1580" t="s">
        <v>55</v>
      </c>
      <c r="E1580">
        <v>0</v>
      </c>
      <c r="F1580">
        <v>0</v>
      </c>
      <c r="G1580" t="s">
        <v>2</v>
      </c>
      <c r="H1580" cm="1">
        <f t="array" ref="H1580">-isDup(B1580,B1581,0.7)</f>
        <v>0</v>
      </c>
    </row>
    <row r="1581" spans="1:8" x14ac:dyDescent="0.2">
      <c r="A1581" s="3">
        <v>46546.921492997688</v>
      </c>
      <c r="B1581" t="s">
        <v>674</v>
      </c>
      <c r="C1581" t="s">
        <v>98</v>
      </c>
      <c r="D1581" t="s">
        <v>13</v>
      </c>
      <c r="E1581">
        <v>0</v>
      </c>
      <c r="F1581">
        <v>0</v>
      </c>
      <c r="G1581" t="s">
        <v>2</v>
      </c>
      <c r="H1581" cm="1">
        <f t="array" ref="H1581">-isDup(B1581,B1582,0.7)</f>
        <v>0</v>
      </c>
    </row>
    <row r="1582" spans="1:8" x14ac:dyDescent="0.2">
      <c r="A1582" s="3">
        <v>46547.921492997688</v>
      </c>
      <c r="B1582" t="s">
        <v>37</v>
      </c>
      <c r="C1582" t="s">
        <v>33</v>
      </c>
      <c r="D1582" t="s">
        <v>34</v>
      </c>
      <c r="E1582">
        <v>0</v>
      </c>
      <c r="F1582">
        <v>0</v>
      </c>
      <c r="G1582" t="s">
        <v>2</v>
      </c>
      <c r="H1582" cm="1">
        <f t="array" ref="H1582">-isDup(B1582,B1583,0.7)</f>
        <v>0</v>
      </c>
    </row>
    <row r="1583" spans="1:8" x14ac:dyDescent="0.2">
      <c r="A1583" s="3">
        <v>46548.921492997688</v>
      </c>
      <c r="B1583" t="s">
        <v>1783</v>
      </c>
      <c r="C1583" t="s">
        <v>33</v>
      </c>
      <c r="D1583" t="s">
        <v>34</v>
      </c>
      <c r="E1583">
        <v>0</v>
      </c>
      <c r="F1583">
        <v>0</v>
      </c>
      <c r="G1583" t="s">
        <v>2</v>
      </c>
      <c r="H1583" cm="1">
        <f t="array" ref="H1583">-isDup(B1583,B1584,0.7)</f>
        <v>0</v>
      </c>
    </row>
    <row r="1584" spans="1:8" x14ac:dyDescent="0.2">
      <c r="A1584" s="3">
        <v>46549.921492997688</v>
      </c>
      <c r="B1584" t="s">
        <v>35</v>
      </c>
      <c r="C1584" t="s">
        <v>33</v>
      </c>
      <c r="D1584" t="s">
        <v>34</v>
      </c>
      <c r="E1584">
        <v>0</v>
      </c>
      <c r="F1584">
        <v>0</v>
      </c>
      <c r="G1584" t="s">
        <v>2</v>
      </c>
      <c r="H1584" cm="1">
        <f t="array" ref="H1584">-isDup(B1584,B1585,0.7)</f>
        <v>0</v>
      </c>
    </row>
    <row r="1585" spans="1:8" x14ac:dyDescent="0.2">
      <c r="A1585" s="3">
        <v>46550.921492997688</v>
      </c>
      <c r="B1585" t="s">
        <v>36</v>
      </c>
      <c r="C1585" t="s">
        <v>33</v>
      </c>
      <c r="D1585" t="s">
        <v>34</v>
      </c>
      <c r="E1585">
        <v>0</v>
      </c>
      <c r="F1585">
        <v>0</v>
      </c>
      <c r="G1585" t="s">
        <v>2</v>
      </c>
      <c r="H1585" cm="1">
        <f t="array" ref="H1585">-isDup(B1585,B1586,0.7)</f>
        <v>0</v>
      </c>
    </row>
    <row r="1586" spans="1:8" x14ac:dyDescent="0.2">
      <c r="A1586" s="3">
        <v>46551.921492997688</v>
      </c>
      <c r="B1586" t="s">
        <v>1784</v>
      </c>
      <c r="C1586" t="s">
        <v>7</v>
      </c>
      <c r="E1586">
        <v>0</v>
      </c>
      <c r="F1586">
        <v>0</v>
      </c>
      <c r="G1586" t="s">
        <v>2</v>
      </c>
      <c r="H1586" cm="1">
        <f t="array" ref="H1586">-isDup(B1586,B1587,0.7)</f>
        <v>0</v>
      </c>
    </row>
    <row r="1587" spans="1:8" x14ac:dyDescent="0.2">
      <c r="A1587" s="3">
        <v>46552.921492997688</v>
      </c>
      <c r="B1587" t="s">
        <v>3</v>
      </c>
      <c r="C1587" t="s">
        <v>4</v>
      </c>
      <c r="D1587" t="s">
        <v>5</v>
      </c>
      <c r="E1587">
        <v>0</v>
      </c>
      <c r="F1587">
        <v>0</v>
      </c>
      <c r="G1587" t="s">
        <v>2</v>
      </c>
      <c r="H1587" cm="1">
        <f t="array" ref="H1587">-isDup(B1587,B1588,0.7)</f>
        <v>0</v>
      </c>
    </row>
    <row r="1588" spans="1:8" x14ac:dyDescent="0.2">
      <c r="A1588" s="3">
        <v>46553.921492997688</v>
      </c>
      <c r="B1588" t="s">
        <v>1785</v>
      </c>
      <c r="C1588" t="s">
        <v>7</v>
      </c>
      <c r="E1588">
        <v>0</v>
      </c>
      <c r="F1588">
        <v>0</v>
      </c>
      <c r="G1588" t="s">
        <v>2</v>
      </c>
      <c r="H1588" cm="1">
        <f t="array" ref="H1588">-isDup(B1588,B1589,0.7)</f>
        <v>0</v>
      </c>
    </row>
    <row r="1589" spans="1:8" x14ac:dyDescent="0.2">
      <c r="A1589" s="3">
        <v>46554.921492997688</v>
      </c>
      <c r="B1589" t="s">
        <v>94</v>
      </c>
      <c r="C1589" t="s">
        <v>22</v>
      </c>
      <c r="E1589">
        <v>0</v>
      </c>
      <c r="F1589">
        <v>0</v>
      </c>
      <c r="G1589" t="s">
        <v>2</v>
      </c>
      <c r="H1589" cm="1">
        <f t="array" ref="H1589">-isDup(B1589,B1590,0.7)</f>
        <v>0</v>
      </c>
    </row>
    <row r="1590" spans="1:8" x14ac:dyDescent="0.2">
      <c r="A1590" s="3">
        <v>46555.921492997688</v>
      </c>
      <c r="B1590" t="s">
        <v>1786</v>
      </c>
      <c r="C1590" t="s">
        <v>7</v>
      </c>
      <c r="E1590">
        <v>0</v>
      </c>
      <c r="F1590">
        <v>0</v>
      </c>
      <c r="G1590" t="s">
        <v>2</v>
      </c>
      <c r="H1590" cm="1">
        <f t="array" ref="H1590">-isDup(B1590,B1591,0.7)</f>
        <v>0</v>
      </c>
    </row>
    <row r="1591" spans="1:8" x14ac:dyDescent="0.2">
      <c r="A1591" s="3">
        <v>46556.921492997688</v>
      </c>
      <c r="B1591" t="s">
        <v>1787</v>
      </c>
      <c r="C1591" t="s">
        <v>128</v>
      </c>
      <c r="D1591" t="s">
        <v>129</v>
      </c>
      <c r="E1591">
        <v>0</v>
      </c>
      <c r="F1591">
        <v>0</v>
      </c>
      <c r="G1591" t="s">
        <v>2</v>
      </c>
      <c r="H1591" cm="1">
        <f t="array" ref="H1591">-isDup(B1591,B1592,0.7)</f>
        <v>0</v>
      </c>
    </row>
    <row r="1592" spans="1:8" x14ac:dyDescent="0.2">
      <c r="A1592" s="3">
        <v>46557.921492997688</v>
      </c>
      <c r="B1592" t="s">
        <v>1788</v>
      </c>
      <c r="C1592" t="s">
        <v>134</v>
      </c>
      <c r="E1592">
        <v>0</v>
      </c>
      <c r="F1592">
        <v>0</v>
      </c>
      <c r="G1592" t="s">
        <v>2</v>
      </c>
      <c r="H1592" cm="1">
        <f t="array" ref="H1592">-isDup(B1592,B1593,0.7)</f>
        <v>0</v>
      </c>
    </row>
    <row r="1593" spans="1:8" x14ac:dyDescent="0.2">
      <c r="A1593" s="3">
        <v>46558.921492997688</v>
      </c>
      <c r="B1593" t="s">
        <v>1789</v>
      </c>
      <c r="C1593" t="s">
        <v>7</v>
      </c>
      <c r="E1593">
        <v>0</v>
      </c>
      <c r="F1593">
        <v>0</v>
      </c>
      <c r="G1593" t="s">
        <v>2</v>
      </c>
      <c r="H1593" cm="1">
        <f t="array" ref="H1593">-isDup(B1593,B1594,0.7)</f>
        <v>0</v>
      </c>
    </row>
    <row r="1594" spans="1:8" x14ac:dyDescent="0.2">
      <c r="A1594" s="3">
        <v>46559.921492997688</v>
      </c>
      <c r="B1594" t="s">
        <v>1790</v>
      </c>
      <c r="C1594" t="s">
        <v>707</v>
      </c>
      <c r="D1594" t="s">
        <v>1791</v>
      </c>
      <c r="E1594">
        <v>0</v>
      </c>
      <c r="F1594">
        <v>0</v>
      </c>
      <c r="G1594" t="s">
        <v>2</v>
      </c>
      <c r="H1594" cm="1">
        <f t="array" ref="H1594">-isDup(B1594,B1595,0.7)</f>
        <v>0</v>
      </c>
    </row>
    <row r="1595" spans="1:8" x14ac:dyDescent="0.2">
      <c r="A1595" s="3">
        <v>46560.921492997688</v>
      </c>
      <c r="B1595" t="s">
        <v>193</v>
      </c>
      <c r="C1595" t="s">
        <v>143</v>
      </c>
      <c r="D1595" t="s">
        <v>129</v>
      </c>
      <c r="E1595">
        <v>0</v>
      </c>
      <c r="F1595">
        <v>0</v>
      </c>
      <c r="G1595" t="s">
        <v>2</v>
      </c>
      <c r="H1595" cm="1">
        <f t="array" ref="H1595">-isDup(B1595,B1596,0.7)</f>
        <v>-1</v>
      </c>
    </row>
    <row r="1596" spans="1:8" x14ac:dyDescent="0.2">
      <c r="A1596" s="3">
        <v>46561.921492997688</v>
      </c>
      <c r="B1596" t="s">
        <v>193</v>
      </c>
      <c r="C1596" t="s">
        <v>128</v>
      </c>
      <c r="D1596" t="s">
        <v>129</v>
      </c>
      <c r="E1596">
        <v>0</v>
      </c>
      <c r="F1596">
        <v>0</v>
      </c>
      <c r="G1596" t="s">
        <v>2</v>
      </c>
      <c r="H1596" cm="1">
        <f t="array" ref="H1596">-isDup(B1596,B1597,0.7)</f>
        <v>-1</v>
      </c>
    </row>
    <row r="1597" spans="1:8" x14ac:dyDescent="0.2">
      <c r="A1597" s="3">
        <v>46562.921492997688</v>
      </c>
      <c r="B1597" t="s">
        <v>336</v>
      </c>
      <c r="C1597" t="s">
        <v>143</v>
      </c>
      <c r="D1597" t="s">
        <v>129</v>
      </c>
      <c r="E1597">
        <v>0</v>
      </c>
      <c r="F1597">
        <v>0</v>
      </c>
      <c r="G1597" t="s">
        <v>2</v>
      </c>
      <c r="H1597" cm="1">
        <f t="array" ref="H1597">-isDup(B1597,B1598,0.7)</f>
        <v>-1</v>
      </c>
    </row>
    <row r="1598" spans="1:8" x14ac:dyDescent="0.2">
      <c r="A1598" s="3">
        <v>46563.921492997688</v>
      </c>
      <c r="B1598" t="s">
        <v>336</v>
      </c>
      <c r="C1598" t="s">
        <v>128</v>
      </c>
      <c r="D1598" t="s">
        <v>129</v>
      </c>
      <c r="E1598">
        <v>0</v>
      </c>
      <c r="F1598">
        <v>0</v>
      </c>
      <c r="G1598" t="s">
        <v>2</v>
      </c>
      <c r="H1598" cm="1">
        <f t="array" ref="H1598">-isDup(B1598,B1599,0.7)</f>
        <v>0</v>
      </c>
    </row>
    <row r="1599" spans="1:8" x14ac:dyDescent="0.2">
      <c r="A1599" s="3">
        <v>46564.921492997688</v>
      </c>
      <c r="B1599" t="s">
        <v>387</v>
      </c>
      <c r="C1599" t="s">
        <v>128</v>
      </c>
      <c r="D1599" t="s">
        <v>129</v>
      </c>
      <c r="E1599">
        <v>0</v>
      </c>
      <c r="F1599">
        <v>0</v>
      </c>
      <c r="G1599" t="s">
        <v>2</v>
      </c>
      <c r="H1599" cm="1">
        <f t="array" ref="H1599">-isDup(B1599,B1600,0.7)</f>
        <v>-1</v>
      </c>
    </row>
    <row r="1600" spans="1:8" x14ac:dyDescent="0.2">
      <c r="A1600" s="3">
        <v>46565.921492997688</v>
      </c>
      <c r="B1600" t="s">
        <v>387</v>
      </c>
      <c r="C1600" t="s">
        <v>143</v>
      </c>
      <c r="D1600" t="s">
        <v>129</v>
      </c>
      <c r="E1600">
        <v>0</v>
      </c>
      <c r="F1600">
        <v>0</v>
      </c>
      <c r="G1600" t="s">
        <v>2</v>
      </c>
      <c r="H1600" cm="1">
        <f t="array" ref="H1600">-isDup(B1600,B1601,0.7)</f>
        <v>0</v>
      </c>
    </row>
    <row r="1601" spans="1:8" x14ac:dyDescent="0.2">
      <c r="A1601" s="3">
        <v>46566.921492997688</v>
      </c>
      <c r="B1601" t="s">
        <v>1278</v>
      </c>
      <c r="C1601" t="s">
        <v>143</v>
      </c>
      <c r="D1601" t="s">
        <v>129</v>
      </c>
      <c r="E1601">
        <v>0</v>
      </c>
      <c r="F1601">
        <v>0</v>
      </c>
      <c r="G1601" t="s">
        <v>2</v>
      </c>
      <c r="H1601" cm="1">
        <f t="array" ref="H1601">-isDup(B1601,B1602,0.7)</f>
        <v>-1</v>
      </c>
    </row>
    <row r="1602" spans="1:8" x14ac:dyDescent="0.2">
      <c r="A1602" s="3">
        <v>46567.921492997688</v>
      </c>
      <c r="B1602" t="s">
        <v>1278</v>
      </c>
      <c r="C1602" t="s">
        <v>128</v>
      </c>
      <c r="D1602" t="s">
        <v>129</v>
      </c>
      <c r="E1602">
        <v>0</v>
      </c>
      <c r="F1602">
        <v>0</v>
      </c>
      <c r="G1602" t="s">
        <v>2</v>
      </c>
      <c r="H1602" cm="1">
        <f t="array" ref="H1602">-isDup(B1602,B1603,0.7)</f>
        <v>0</v>
      </c>
    </row>
    <row r="1603" spans="1:8" x14ac:dyDescent="0.2">
      <c r="A1603" s="3">
        <v>46568.921492997688</v>
      </c>
      <c r="B1603" t="s">
        <v>138</v>
      </c>
      <c r="C1603" t="s">
        <v>22</v>
      </c>
      <c r="E1603">
        <v>0</v>
      </c>
      <c r="F1603">
        <v>0</v>
      </c>
      <c r="G1603" t="s">
        <v>2</v>
      </c>
      <c r="H1603" cm="1">
        <f t="array" ref="H1603">-isDup(B1603,B1604,0.7)</f>
        <v>0</v>
      </c>
    </row>
    <row r="1604" spans="1:8" x14ac:dyDescent="0.2">
      <c r="A1604" s="3">
        <v>46569.921492997688</v>
      </c>
      <c r="B1604" t="s">
        <v>423</v>
      </c>
      <c r="C1604" t="s">
        <v>128</v>
      </c>
      <c r="D1604" t="s">
        <v>129</v>
      </c>
      <c r="E1604">
        <v>0</v>
      </c>
      <c r="F1604">
        <v>0</v>
      </c>
      <c r="G1604" t="s">
        <v>2</v>
      </c>
      <c r="H1604" cm="1">
        <f t="array" ref="H1604">-isDup(B1604,B1605,0.7)</f>
        <v>0</v>
      </c>
    </row>
    <row r="1605" spans="1:8" x14ac:dyDescent="0.2">
      <c r="A1605" s="3">
        <v>46570.921492997688</v>
      </c>
      <c r="B1605" t="s">
        <v>144</v>
      </c>
      <c r="C1605" t="s">
        <v>22</v>
      </c>
      <c r="E1605">
        <v>0</v>
      </c>
      <c r="F1605">
        <v>0</v>
      </c>
      <c r="G1605" t="s">
        <v>2</v>
      </c>
      <c r="H1605" cm="1">
        <f t="array" ref="H1605">-isDup(B1605,B1606,0.7)</f>
        <v>0</v>
      </c>
    </row>
    <row r="1606" spans="1:8" x14ac:dyDescent="0.2">
      <c r="A1606" s="3">
        <v>46571.921492997688</v>
      </c>
      <c r="B1606" t="s">
        <v>152</v>
      </c>
      <c r="C1606" t="s">
        <v>22</v>
      </c>
      <c r="E1606">
        <v>0</v>
      </c>
      <c r="F1606">
        <v>0</v>
      </c>
      <c r="G1606" t="s">
        <v>2</v>
      </c>
      <c r="H1606" cm="1">
        <f t="array" ref="H1606">-isDup(B1606,B1607,0.7)</f>
        <v>0</v>
      </c>
    </row>
    <row r="1607" spans="1:8" x14ac:dyDescent="0.2">
      <c r="A1607" s="3">
        <v>46572.921492997688</v>
      </c>
      <c r="B1607" t="s">
        <v>153</v>
      </c>
      <c r="C1607" t="s">
        <v>22</v>
      </c>
      <c r="E1607">
        <v>0</v>
      </c>
      <c r="F1607">
        <v>0</v>
      </c>
      <c r="G1607" t="s">
        <v>2</v>
      </c>
      <c r="H1607" cm="1">
        <f t="array" ref="H1607">-isDup(B1607,B1608,0.7)</f>
        <v>-1</v>
      </c>
    </row>
    <row r="1608" spans="1:8" x14ac:dyDescent="0.2">
      <c r="A1608" s="3">
        <v>46573.921492997688</v>
      </c>
      <c r="B1608" t="s">
        <v>151</v>
      </c>
      <c r="C1608" t="s">
        <v>22</v>
      </c>
      <c r="E1608">
        <v>0</v>
      </c>
      <c r="F1608">
        <v>0</v>
      </c>
      <c r="G1608" t="s">
        <v>2</v>
      </c>
      <c r="H1608" cm="1">
        <f t="array" ref="H1608">-isDup(B1608,B1609,0.7)</f>
        <v>-1</v>
      </c>
    </row>
    <row r="1609" spans="1:8" x14ac:dyDescent="0.2">
      <c r="A1609" s="3">
        <v>46574.921492997688</v>
      </c>
      <c r="B1609" t="s">
        <v>151</v>
      </c>
      <c r="C1609" t="s">
        <v>22</v>
      </c>
      <c r="E1609">
        <v>0</v>
      </c>
      <c r="F1609">
        <v>0</v>
      </c>
      <c r="G1609" t="s">
        <v>2</v>
      </c>
      <c r="H1609" cm="1">
        <f t="array" ref="H1609">-isDup(B1609,B1610,0.7)</f>
        <v>0</v>
      </c>
    </row>
    <row r="1610" spans="1:8" x14ac:dyDescent="0.2">
      <c r="A1610" s="3">
        <v>46575.921492997688</v>
      </c>
      <c r="B1610" t="s">
        <v>3</v>
      </c>
      <c r="C1610" t="s">
        <v>4</v>
      </c>
      <c r="D1610" t="s">
        <v>5</v>
      </c>
      <c r="E1610">
        <v>0</v>
      </c>
      <c r="F1610">
        <v>0</v>
      </c>
      <c r="G1610" t="s">
        <v>2</v>
      </c>
      <c r="H1610" cm="1">
        <f t="array" ref="H1610">-isDup(B1610,B1611,0.7)</f>
        <v>0</v>
      </c>
    </row>
    <row r="1611" spans="1:8" x14ac:dyDescent="0.2">
      <c r="A1611" s="3">
        <v>46576.921492997688</v>
      </c>
      <c r="B1611" t="s">
        <v>154</v>
      </c>
      <c r="C1611" t="s">
        <v>22</v>
      </c>
      <c r="E1611">
        <v>0</v>
      </c>
      <c r="F1611">
        <v>0</v>
      </c>
      <c r="G1611" t="s">
        <v>2</v>
      </c>
      <c r="H1611" cm="1">
        <f t="array" ref="H1611">-isDup(B1611,B1612,0.7)</f>
        <v>0</v>
      </c>
    </row>
    <row r="1612" spans="1:8" x14ac:dyDescent="0.2">
      <c r="A1612" s="3">
        <v>46577.921492997688</v>
      </c>
      <c r="B1612" t="s">
        <v>141</v>
      </c>
      <c r="C1612" t="s">
        <v>128</v>
      </c>
      <c r="D1612" t="s">
        <v>129</v>
      </c>
      <c r="E1612">
        <v>0</v>
      </c>
      <c r="F1612">
        <v>0</v>
      </c>
      <c r="G1612" t="s">
        <v>2</v>
      </c>
      <c r="H1612" cm="1">
        <f t="array" ref="H1612">-isDup(B1612,B1613,0.7)</f>
        <v>-1</v>
      </c>
    </row>
    <row r="1613" spans="1:8" x14ac:dyDescent="0.2">
      <c r="A1613" s="3">
        <v>46578.921492997688</v>
      </c>
      <c r="B1613" t="s">
        <v>141</v>
      </c>
      <c r="C1613" t="s">
        <v>143</v>
      </c>
      <c r="D1613" t="s">
        <v>129</v>
      </c>
      <c r="E1613">
        <v>0</v>
      </c>
      <c r="F1613">
        <v>0</v>
      </c>
      <c r="G1613" t="s">
        <v>2</v>
      </c>
      <c r="H1613" cm="1">
        <f t="array" ref="H1613">-isDup(B1613,B1614,0.7)</f>
        <v>0</v>
      </c>
    </row>
    <row r="1614" spans="1:8" x14ac:dyDescent="0.2">
      <c r="A1614" s="3">
        <v>46579.921492997688</v>
      </c>
      <c r="B1614" t="s">
        <v>46</v>
      </c>
      <c r="C1614" t="s">
        <v>22</v>
      </c>
      <c r="E1614">
        <v>0</v>
      </c>
      <c r="F1614">
        <v>0</v>
      </c>
      <c r="G1614" t="s">
        <v>2</v>
      </c>
      <c r="H1614" cm="1">
        <f t="array" ref="H1614">-isDup(B1614,B1615,0.7)</f>
        <v>0</v>
      </c>
    </row>
    <row r="1615" spans="1:8" x14ac:dyDescent="0.2">
      <c r="A1615" s="3">
        <v>46580.921492997688</v>
      </c>
      <c r="B1615" t="s">
        <v>450</v>
      </c>
      <c r="C1615" t="s">
        <v>128</v>
      </c>
      <c r="D1615" t="s">
        <v>129</v>
      </c>
      <c r="E1615">
        <v>0</v>
      </c>
      <c r="F1615">
        <v>0</v>
      </c>
      <c r="G1615" t="s">
        <v>2</v>
      </c>
      <c r="H1615" cm="1">
        <f t="array" ref="H1615">-isDup(B1615,B1616,0.7)</f>
        <v>-1</v>
      </c>
    </row>
    <row r="1616" spans="1:8" x14ac:dyDescent="0.2">
      <c r="A1616" s="3">
        <v>46581.921492997688</v>
      </c>
      <c r="B1616" t="s">
        <v>450</v>
      </c>
      <c r="C1616" t="s">
        <v>143</v>
      </c>
      <c r="D1616" t="s">
        <v>129</v>
      </c>
      <c r="E1616">
        <v>0</v>
      </c>
      <c r="F1616">
        <v>0</v>
      </c>
      <c r="G1616" t="s">
        <v>2</v>
      </c>
      <c r="H1616" cm="1">
        <f t="array" ref="H1616">-isDup(B1616,B1617,0.7)</f>
        <v>-1</v>
      </c>
    </row>
    <row r="1617" spans="1:8" x14ac:dyDescent="0.2">
      <c r="A1617" s="3">
        <v>46582.921492997688</v>
      </c>
      <c r="B1617" t="s">
        <v>339</v>
      </c>
      <c r="C1617" t="s">
        <v>128</v>
      </c>
      <c r="D1617" t="s">
        <v>129</v>
      </c>
      <c r="E1617">
        <v>0</v>
      </c>
      <c r="F1617">
        <v>0</v>
      </c>
      <c r="G1617" t="s">
        <v>2</v>
      </c>
      <c r="H1617" cm="1">
        <f t="array" ref="H1617">-isDup(B1617,B1618,0.7)</f>
        <v>-1</v>
      </c>
    </row>
    <row r="1618" spans="1:8" x14ac:dyDescent="0.2">
      <c r="A1618" s="3">
        <v>46583.921492997688</v>
      </c>
      <c r="B1618" t="s">
        <v>339</v>
      </c>
      <c r="C1618" t="s">
        <v>143</v>
      </c>
      <c r="D1618" t="s">
        <v>129</v>
      </c>
      <c r="E1618">
        <v>0</v>
      </c>
      <c r="F1618">
        <v>0</v>
      </c>
      <c r="G1618" t="s">
        <v>2</v>
      </c>
      <c r="H1618" cm="1">
        <f t="array" ref="H1618">-isDup(B1618,B1619,0.7)</f>
        <v>0</v>
      </c>
    </row>
    <row r="1619" spans="1:8" x14ac:dyDescent="0.2">
      <c r="A1619" s="3">
        <v>46584.921492997688</v>
      </c>
      <c r="B1619" t="s">
        <v>127</v>
      </c>
      <c r="C1619" t="s">
        <v>128</v>
      </c>
      <c r="D1619" t="s">
        <v>129</v>
      </c>
      <c r="E1619">
        <v>0</v>
      </c>
      <c r="F1619">
        <v>0</v>
      </c>
      <c r="G1619" t="s">
        <v>2</v>
      </c>
      <c r="H1619" cm="1">
        <f t="array" ref="H1619">-isDup(B1619,B1620,0.7)</f>
        <v>0</v>
      </c>
    </row>
    <row r="1620" spans="1:8" x14ac:dyDescent="0.2">
      <c r="A1620" s="3">
        <v>46585.921492997688</v>
      </c>
      <c r="B1620" t="s">
        <v>159</v>
      </c>
      <c r="C1620" t="s">
        <v>22</v>
      </c>
      <c r="E1620">
        <v>0</v>
      </c>
      <c r="F1620">
        <v>0</v>
      </c>
      <c r="G1620" t="s">
        <v>2</v>
      </c>
      <c r="H1620" cm="1">
        <f t="array" ref="H1620">-isDup(B1620,B1621,0.7)</f>
        <v>0</v>
      </c>
    </row>
    <row r="1621" spans="1:8" x14ac:dyDescent="0.2">
      <c r="A1621" s="3">
        <v>46586.921492997688</v>
      </c>
      <c r="B1621" t="s">
        <v>1792</v>
      </c>
      <c r="C1621" t="s">
        <v>33</v>
      </c>
      <c r="D1621" t="s">
        <v>34</v>
      </c>
      <c r="E1621">
        <v>0</v>
      </c>
      <c r="F1621">
        <v>0</v>
      </c>
      <c r="G1621" t="s">
        <v>2</v>
      </c>
      <c r="H1621" cm="1">
        <f t="array" ref="H1621">-isDup(B1621,B1622,0.7)</f>
        <v>0</v>
      </c>
    </row>
    <row r="1622" spans="1:8" x14ac:dyDescent="0.2">
      <c r="A1622" s="3">
        <v>46587.921492997688</v>
      </c>
      <c r="B1622" t="s">
        <v>35</v>
      </c>
      <c r="C1622" t="s">
        <v>33</v>
      </c>
      <c r="D1622" t="s">
        <v>34</v>
      </c>
      <c r="E1622">
        <v>0</v>
      </c>
      <c r="F1622">
        <v>0</v>
      </c>
      <c r="G1622" t="s">
        <v>2</v>
      </c>
      <c r="H1622" cm="1">
        <f t="array" ref="H1622">-isDup(B1622,B1623,0.7)</f>
        <v>-1</v>
      </c>
    </row>
    <row r="1623" spans="1:8" x14ac:dyDescent="0.2">
      <c r="A1623" s="3">
        <v>46588.921492997688</v>
      </c>
      <c r="B1623" t="s">
        <v>37</v>
      </c>
      <c r="C1623" t="s">
        <v>33</v>
      </c>
      <c r="D1623" t="s">
        <v>34</v>
      </c>
      <c r="E1623">
        <v>0</v>
      </c>
      <c r="F1623">
        <v>0</v>
      </c>
      <c r="G1623" t="s">
        <v>2</v>
      </c>
      <c r="H1623" cm="1">
        <f t="array" ref="H1623">-isDup(B1623,B1624,0.7)</f>
        <v>0</v>
      </c>
    </row>
    <row r="1624" spans="1:8" x14ac:dyDescent="0.2">
      <c r="A1624" s="3">
        <v>46589.921492997688</v>
      </c>
      <c r="B1624" t="s">
        <v>36</v>
      </c>
      <c r="C1624" t="s">
        <v>33</v>
      </c>
      <c r="D1624" t="s">
        <v>34</v>
      </c>
      <c r="E1624">
        <v>0</v>
      </c>
      <c r="F1624">
        <v>0</v>
      </c>
      <c r="G1624" t="s">
        <v>2</v>
      </c>
      <c r="H1624" cm="1">
        <f t="array" ref="H1624">-isDup(B1624,B1625,0.7)</f>
        <v>0</v>
      </c>
    </row>
    <row r="1625" spans="1:8" x14ac:dyDescent="0.2">
      <c r="A1625" s="3">
        <v>46590.921492997688</v>
      </c>
      <c r="B1625" t="s">
        <v>1793</v>
      </c>
      <c r="C1625" t="s">
        <v>1794</v>
      </c>
      <c r="D1625" t="s">
        <v>567</v>
      </c>
      <c r="E1625">
        <v>0</v>
      </c>
      <c r="F1625">
        <v>1</v>
      </c>
      <c r="G1625" t="s">
        <v>2</v>
      </c>
      <c r="H1625" cm="1">
        <f t="array" ref="H1625">-isDup(B1625,B1626,0.7)</f>
        <v>0</v>
      </c>
    </row>
    <row r="1626" spans="1:8" x14ac:dyDescent="0.2">
      <c r="A1626" s="3">
        <v>46591.921492997688</v>
      </c>
      <c r="B1626" t="s">
        <v>165</v>
      </c>
      <c r="C1626" t="s">
        <v>22</v>
      </c>
      <c r="E1626">
        <v>0</v>
      </c>
      <c r="F1626">
        <v>0</v>
      </c>
      <c r="G1626" t="s">
        <v>2</v>
      </c>
      <c r="H1626" cm="1">
        <f t="array" ref="H1626">-isDup(B1626,B1627,0.7)</f>
        <v>0</v>
      </c>
    </row>
    <row r="1627" spans="1:8" x14ac:dyDescent="0.2">
      <c r="A1627" s="3">
        <v>46592.921492997688</v>
      </c>
      <c r="B1627" t="s">
        <v>1795</v>
      </c>
      <c r="C1627" t="s">
        <v>1796</v>
      </c>
      <c r="E1627">
        <v>0</v>
      </c>
      <c r="F1627">
        <v>0</v>
      </c>
      <c r="G1627" t="s">
        <v>2</v>
      </c>
      <c r="H1627" cm="1">
        <f t="array" ref="H1627">-isDup(B1627,B1628,0.7)</f>
        <v>0</v>
      </c>
    </row>
    <row r="1628" spans="1:8" x14ac:dyDescent="0.2">
      <c r="A1628" s="3">
        <v>46593.921492997688</v>
      </c>
      <c r="B1628" t="s">
        <v>1797</v>
      </c>
      <c r="C1628" t="s">
        <v>134</v>
      </c>
      <c r="E1628">
        <v>0</v>
      </c>
      <c r="F1628">
        <v>0</v>
      </c>
      <c r="G1628" t="s">
        <v>2</v>
      </c>
      <c r="H1628" cm="1">
        <f t="array" ref="H1628">-isDup(B1628,B1629,0.7)</f>
        <v>0</v>
      </c>
    </row>
    <row r="1629" spans="1:8" x14ac:dyDescent="0.2">
      <c r="A1629" s="3">
        <v>46594.921492997688</v>
      </c>
      <c r="B1629" t="s">
        <v>1798</v>
      </c>
      <c r="C1629" t="s">
        <v>286</v>
      </c>
      <c r="E1629">
        <v>0</v>
      </c>
      <c r="F1629">
        <v>0</v>
      </c>
      <c r="G1629" t="s">
        <v>2</v>
      </c>
      <c r="H1629" cm="1">
        <f t="array" ref="H1629">-isDup(B1629,B1630,0.7)</f>
        <v>0</v>
      </c>
    </row>
    <row r="1630" spans="1:8" x14ac:dyDescent="0.2">
      <c r="A1630" s="3">
        <v>46595.921492997688</v>
      </c>
      <c r="B1630" t="s">
        <v>1799</v>
      </c>
      <c r="C1630" t="s">
        <v>1702</v>
      </c>
      <c r="D1630" t="s">
        <v>1703</v>
      </c>
      <c r="E1630">
        <v>0</v>
      </c>
      <c r="F1630">
        <v>0</v>
      </c>
      <c r="G1630" t="s">
        <v>2</v>
      </c>
      <c r="H1630" cm="1">
        <f t="array" ref="H1630">-isDup(B1630,B1631,0.7)</f>
        <v>0</v>
      </c>
    </row>
    <row r="1631" spans="1:8" x14ac:dyDescent="0.2">
      <c r="A1631" s="3">
        <v>46596.921492997688</v>
      </c>
      <c r="B1631" t="s">
        <v>1800</v>
      </c>
      <c r="C1631" t="s">
        <v>1618</v>
      </c>
      <c r="D1631" t="s">
        <v>1619</v>
      </c>
      <c r="E1631">
        <v>4</v>
      </c>
      <c r="F1631">
        <v>7</v>
      </c>
      <c r="G1631" t="s">
        <v>2</v>
      </c>
      <c r="H1631" cm="1">
        <f t="array" ref="H1631">-isDup(B1631,B1632,0.7)</f>
        <v>0</v>
      </c>
    </row>
    <row r="1632" spans="1:8" x14ac:dyDescent="0.2">
      <c r="A1632" s="3">
        <v>46597.921492997688</v>
      </c>
      <c r="B1632" t="s">
        <v>1801</v>
      </c>
      <c r="C1632" t="s">
        <v>1802</v>
      </c>
      <c r="D1632" t="s">
        <v>1803</v>
      </c>
      <c r="E1632">
        <v>0</v>
      </c>
      <c r="F1632">
        <v>0</v>
      </c>
      <c r="G1632" t="s">
        <v>2</v>
      </c>
      <c r="H1632" cm="1">
        <f t="array" ref="H1632">-isDup(B1632,B1633,0.7)</f>
        <v>0</v>
      </c>
    </row>
    <row r="1633" spans="1:8" x14ac:dyDescent="0.2">
      <c r="A1633" s="3">
        <v>46598.921492997688</v>
      </c>
      <c r="B1633" t="s">
        <v>1804</v>
      </c>
      <c r="C1633" t="s">
        <v>1805</v>
      </c>
      <c r="D1633" t="s">
        <v>1806</v>
      </c>
      <c r="E1633">
        <v>0</v>
      </c>
      <c r="F1633">
        <v>0</v>
      </c>
      <c r="G1633" t="s">
        <v>2</v>
      </c>
      <c r="H1633" cm="1">
        <f t="array" ref="H1633">-isDup(B1633,B1634,0.7)</f>
        <v>0</v>
      </c>
    </row>
    <row r="1634" spans="1:8" x14ac:dyDescent="0.2">
      <c r="A1634" s="3">
        <v>46599.921492997688</v>
      </c>
      <c r="B1634" t="s">
        <v>1807</v>
      </c>
      <c r="C1634" t="s">
        <v>1808</v>
      </c>
      <c r="E1634">
        <v>0</v>
      </c>
      <c r="F1634">
        <v>0</v>
      </c>
      <c r="G1634" t="s">
        <v>2</v>
      </c>
      <c r="H1634" cm="1">
        <f t="array" ref="H1634">-isDup(B1634,B1635,0.7)</f>
        <v>0</v>
      </c>
    </row>
    <row r="1635" spans="1:8" x14ac:dyDescent="0.2">
      <c r="A1635" s="3">
        <v>46600.921492997688</v>
      </c>
      <c r="B1635" t="s">
        <v>1809</v>
      </c>
      <c r="C1635" t="s">
        <v>1810</v>
      </c>
      <c r="E1635">
        <v>0</v>
      </c>
      <c r="F1635">
        <v>1</v>
      </c>
      <c r="G1635" t="s">
        <v>2</v>
      </c>
      <c r="H1635" cm="1">
        <f t="array" ref="H1635">-isDup(B1635,B1636,0.7)</f>
        <v>0</v>
      </c>
    </row>
    <row r="1636" spans="1:8" x14ac:dyDescent="0.2">
      <c r="A1636" s="3">
        <v>46601.921492997688</v>
      </c>
      <c r="B1636" t="s">
        <v>3</v>
      </c>
      <c r="C1636" t="s">
        <v>4</v>
      </c>
      <c r="D1636" t="s">
        <v>5</v>
      </c>
      <c r="E1636">
        <v>0</v>
      </c>
      <c r="F1636">
        <v>0</v>
      </c>
      <c r="G1636" t="s">
        <v>2</v>
      </c>
      <c r="H1636" cm="1">
        <f t="array" ref="H1636">-isDup(B1636,B1637,0.7)</f>
        <v>0</v>
      </c>
    </row>
    <row r="1637" spans="1:8" x14ac:dyDescent="0.2">
      <c r="A1637" s="3">
        <v>46602.921492997688</v>
      </c>
      <c r="B1637" t="s">
        <v>1811</v>
      </c>
      <c r="C1637" t="s">
        <v>134</v>
      </c>
      <c r="E1637">
        <v>0</v>
      </c>
      <c r="F1637">
        <v>0</v>
      </c>
      <c r="G1637" t="s">
        <v>2</v>
      </c>
      <c r="H1637" cm="1">
        <f t="array" ref="H1637">-isDup(B1637,B1638,0.7)</f>
        <v>0</v>
      </c>
    </row>
    <row r="1638" spans="1:8" x14ac:dyDescent="0.2">
      <c r="A1638" s="3">
        <v>46603.921492997688</v>
      </c>
      <c r="B1638" t="s">
        <v>1812</v>
      </c>
      <c r="C1638" t="s">
        <v>1813</v>
      </c>
      <c r="D1638" t="s">
        <v>1814</v>
      </c>
      <c r="E1638">
        <v>0</v>
      </c>
      <c r="F1638">
        <v>1</v>
      </c>
      <c r="G1638" t="s">
        <v>2</v>
      </c>
      <c r="H1638" cm="1">
        <f t="array" ref="H1638">-isDup(B1638,B1639,0.7)</f>
        <v>0</v>
      </c>
    </row>
    <row r="1639" spans="1:8" x14ac:dyDescent="0.2">
      <c r="A1639" s="3">
        <v>46604.921492997688</v>
      </c>
      <c r="B1639" t="s">
        <v>1815</v>
      </c>
      <c r="C1639" t="s">
        <v>178</v>
      </c>
      <c r="D1639" t="s">
        <v>291</v>
      </c>
      <c r="E1639">
        <v>0</v>
      </c>
      <c r="F1639">
        <v>0</v>
      </c>
      <c r="G1639" t="s">
        <v>2</v>
      </c>
      <c r="H1639" cm="1">
        <f t="array" ref="H1639">-isDup(B1639,B1640,0.7)</f>
        <v>0</v>
      </c>
    </row>
    <row r="1640" spans="1:8" x14ac:dyDescent="0.2">
      <c r="A1640" s="3">
        <v>46605.921492997688</v>
      </c>
      <c r="B1640" t="s">
        <v>35</v>
      </c>
      <c r="C1640" t="s">
        <v>33</v>
      </c>
      <c r="D1640" t="s">
        <v>34</v>
      </c>
      <c r="E1640">
        <v>0</v>
      </c>
      <c r="F1640">
        <v>0</v>
      </c>
      <c r="G1640" t="s">
        <v>2</v>
      </c>
      <c r="H1640" cm="1">
        <f t="array" ref="H1640">-isDup(B1640,B1641,0.7)</f>
        <v>-1</v>
      </c>
    </row>
    <row r="1641" spans="1:8" x14ac:dyDescent="0.2">
      <c r="A1641" s="3">
        <v>46606.921492997688</v>
      </c>
      <c r="B1641" t="s">
        <v>1816</v>
      </c>
      <c r="C1641" t="s">
        <v>33</v>
      </c>
      <c r="D1641" t="s">
        <v>34</v>
      </c>
      <c r="E1641">
        <v>0</v>
      </c>
      <c r="F1641">
        <v>0</v>
      </c>
      <c r="G1641" t="s">
        <v>2</v>
      </c>
      <c r="H1641" cm="1">
        <f t="array" ref="H1641">-isDup(B1641,B1642,0.7)</f>
        <v>0</v>
      </c>
    </row>
    <row r="1642" spans="1:8" x14ac:dyDescent="0.2">
      <c r="A1642" s="3">
        <v>46607.921492997688</v>
      </c>
      <c r="B1642" t="s">
        <v>37</v>
      </c>
      <c r="C1642" t="s">
        <v>33</v>
      </c>
      <c r="D1642" t="s">
        <v>34</v>
      </c>
      <c r="E1642">
        <v>0</v>
      </c>
      <c r="F1642">
        <v>0</v>
      </c>
      <c r="G1642" t="s">
        <v>2</v>
      </c>
      <c r="H1642" cm="1">
        <f t="array" ref="H1642">-isDup(B1642,B1643,0.7)</f>
        <v>0</v>
      </c>
    </row>
    <row r="1643" spans="1:8" x14ac:dyDescent="0.2">
      <c r="A1643" s="3">
        <v>46608.921492997688</v>
      </c>
      <c r="B1643" t="s">
        <v>36</v>
      </c>
      <c r="C1643" t="s">
        <v>33</v>
      </c>
      <c r="D1643" t="s">
        <v>34</v>
      </c>
      <c r="E1643">
        <v>0</v>
      </c>
      <c r="F1643">
        <v>0</v>
      </c>
      <c r="G1643" t="s">
        <v>2</v>
      </c>
      <c r="H1643" cm="1">
        <f t="array" ref="H1643">-isDup(B1643,B1644,0.7)</f>
        <v>0</v>
      </c>
    </row>
    <row r="1644" spans="1:8" x14ac:dyDescent="0.2">
      <c r="A1644" s="3">
        <v>46609.921492997688</v>
      </c>
      <c r="B1644" t="s">
        <v>432</v>
      </c>
      <c r="C1644" t="s">
        <v>143</v>
      </c>
      <c r="D1644" t="s">
        <v>129</v>
      </c>
      <c r="E1644">
        <v>0</v>
      </c>
      <c r="F1644">
        <v>0</v>
      </c>
      <c r="G1644" t="s">
        <v>2</v>
      </c>
      <c r="H1644" cm="1">
        <f t="array" ref="H1644">-isDup(B1644,B1645,0.7)</f>
        <v>-1</v>
      </c>
    </row>
    <row r="1645" spans="1:8" x14ac:dyDescent="0.2">
      <c r="A1645" s="3">
        <v>46610.921492997688</v>
      </c>
      <c r="B1645" t="s">
        <v>432</v>
      </c>
      <c r="C1645" t="s">
        <v>128</v>
      </c>
      <c r="D1645" t="s">
        <v>129</v>
      </c>
      <c r="E1645">
        <v>0</v>
      </c>
      <c r="F1645">
        <v>0</v>
      </c>
      <c r="G1645" t="s">
        <v>2</v>
      </c>
      <c r="H1645" cm="1">
        <f t="array" ref="H1645">-isDup(B1645,B1646,0.7)</f>
        <v>0</v>
      </c>
    </row>
    <row r="1646" spans="1:8" x14ac:dyDescent="0.2">
      <c r="A1646" s="3">
        <v>46611.921492997688</v>
      </c>
      <c r="B1646" t="s">
        <v>847</v>
      </c>
      <c r="C1646" t="s">
        <v>128</v>
      </c>
      <c r="D1646" t="s">
        <v>129</v>
      </c>
      <c r="E1646">
        <v>0</v>
      </c>
      <c r="F1646">
        <v>0</v>
      </c>
      <c r="G1646" t="s">
        <v>2</v>
      </c>
      <c r="H1646" cm="1">
        <f t="array" ref="H1646">-isDup(B1646,B1647,0.7)</f>
        <v>0</v>
      </c>
    </row>
    <row r="1647" spans="1:8" x14ac:dyDescent="0.2">
      <c r="A1647" s="3">
        <v>46612.921492997688</v>
      </c>
      <c r="B1647" t="s">
        <v>1817</v>
      </c>
      <c r="C1647" t="s">
        <v>286</v>
      </c>
      <c r="E1647">
        <v>0</v>
      </c>
      <c r="F1647">
        <v>1</v>
      </c>
      <c r="G1647" t="s">
        <v>2</v>
      </c>
      <c r="H1647" cm="1">
        <f t="array" ref="H1647">-isDup(B1647,B1648,0.7)</f>
        <v>0</v>
      </c>
    </row>
    <row r="1648" spans="1:8" x14ac:dyDescent="0.2">
      <c r="A1648" s="3">
        <v>46613.921492997688</v>
      </c>
      <c r="B1648" t="s">
        <v>370</v>
      </c>
      <c r="C1648" t="s">
        <v>143</v>
      </c>
      <c r="D1648" t="s">
        <v>129</v>
      </c>
      <c r="E1648">
        <v>0</v>
      </c>
      <c r="F1648">
        <v>0</v>
      </c>
      <c r="G1648" t="s">
        <v>2</v>
      </c>
      <c r="H1648" cm="1">
        <f t="array" ref="H1648">-isDup(B1648,B1649,0.7)</f>
        <v>-1</v>
      </c>
    </row>
    <row r="1649" spans="1:8" x14ac:dyDescent="0.2">
      <c r="A1649" s="3">
        <v>46614.921492997688</v>
      </c>
      <c r="B1649" t="s">
        <v>370</v>
      </c>
      <c r="C1649" t="s">
        <v>128</v>
      </c>
      <c r="D1649" t="s">
        <v>129</v>
      </c>
      <c r="E1649">
        <v>0</v>
      </c>
      <c r="F1649">
        <v>0</v>
      </c>
      <c r="G1649" t="s">
        <v>2</v>
      </c>
      <c r="H1649" cm="1">
        <f t="array" ref="H1649">-isDup(B1649,B1650,0.7)</f>
        <v>0</v>
      </c>
    </row>
    <row r="1650" spans="1:8" x14ac:dyDescent="0.2">
      <c r="A1650" s="3">
        <v>46615.921492997688</v>
      </c>
      <c r="B1650" t="s">
        <v>1818</v>
      </c>
      <c r="C1650" t="s">
        <v>1819</v>
      </c>
      <c r="D1650" t="s">
        <v>203</v>
      </c>
      <c r="E1650">
        <v>1</v>
      </c>
      <c r="F1650">
        <v>15</v>
      </c>
      <c r="G1650" t="s">
        <v>2</v>
      </c>
      <c r="H1650" cm="1">
        <f t="array" ref="H1650">-isDup(B1650,B1651,0.7)</f>
        <v>0</v>
      </c>
    </row>
    <row r="1651" spans="1:8" x14ac:dyDescent="0.2">
      <c r="A1651" s="3">
        <v>46616.921492997688</v>
      </c>
      <c r="B1651" t="s">
        <v>1820</v>
      </c>
      <c r="C1651" t="s">
        <v>1821</v>
      </c>
      <c r="D1651" t="s">
        <v>1822</v>
      </c>
      <c r="E1651">
        <v>0</v>
      </c>
      <c r="F1651">
        <v>0</v>
      </c>
      <c r="G1651" t="s">
        <v>2</v>
      </c>
      <c r="H1651" cm="1">
        <f t="array" ref="H1651">-isDup(B1651,B1652,0.7)</f>
        <v>0</v>
      </c>
    </row>
    <row r="1652" spans="1:8" x14ac:dyDescent="0.2">
      <c r="A1652" s="3">
        <v>46617.921492997688</v>
      </c>
      <c r="B1652" t="s">
        <v>1823</v>
      </c>
      <c r="C1652" t="s">
        <v>134</v>
      </c>
      <c r="E1652">
        <v>0</v>
      </c>
      <c r="F1652">
        <v>0</v>
      </c>
      <c r="G1652" t="s">
        <v>2</v>
      </c>
      <c r="H1652" cm="1">
        <f t="array" ref="H1652">-isDup(B1652,B1653,0.7)</f>
        <v>0</v>
      </c>
    </row>
    <row r="1653" spans="1:8" x14ac:dyDescent="0.2">
      <c r="A1653" s="3">
        <v>46618.921492997688</v>
      </c>
      <c r="B1653" t="s">
        <v>218</v>
      </c>
      <c r="C1653" t="s">
        <v>22</v>
      </c>
      <c r="E1653">
        <v>0</v>
      </c>
      <c r="F1653">
        <v>0</v>
      </c>
      <c r="G1653" t="s">
        <v>2</v>
      </c>
      <c r="H1653" cm="1">
        <f t="array" ref="H1653">-isDup(B1653,B1654,0.7)</f>
        <v>0</v>
      </c>
    </row>
    <row r="1654" spans="1:8" x14ac:dyDescent="0.2">
      <c r="A1654" s="3">
        <v>46619.921492997688</v>
      </c>
      <c r="B1654" t="s">
        <v>838</v>
      </c>
      <c r="C1654" t="s">
        <v>1240</v>
      </c>
      <c r="E1654">
        <v>0</v>
      </c>
      <c r="F1654">
        <v>0</v>
      </c>
      <c r="G1654" t="s">
        <v>2</v>
      </c>
      <c r="H1654" cm="1">
        <f t="array" ref="H1654">-isDup(B1654,B1655,0.7)</f>
        <v>0</v>
      </c>
    </row>
    <row r="1655" spans="1:8" x14ac:dyDescent="0.2">
      <c r="A1655" s="3">
        <v>46620.921492997688</v>
      </c>
      <c r="B1655" t="s">
        <v>1824</v>
      </c>
      <c r="C1655" t="s">
        <v>771</v>
      </c>
      <c r="D1655" t="s">
        <v>1825</v>
      </c>
      <c r="E1655">
        <v>0</v>
      </c>
      <c r="F1655">
        <v>2</v>
      </c>
      <c r="G1655" t="s">
        <v>2</v>
      </c>
      <c r="H1655" cm="1">
        <f t="array" ref="H1655">-isDup(B1655,B1656,0.7)</f>
        <v>0</v>
      </c>
    </row>
    <row r="1656" spans="1:8" x14ac:dyDescent="0.2">
      <c r="A1656" s="3">
        <v>46621.921492997688</v>
      </c>
      <c r="B1656" t="s">
        <v>1826</v>
      </c>
      <c r="C1656" t="s">
        <v>33</v>
      </c>
      <c r="D1656" t="s">
        <v>34</v>
      </c>
      <c r="E1656">
        <v>0</v>
      </c>
      <c r="F1656">
        <v>0</v>
      </c>
      <c r="G1656" t="s">
        <v>2</v>
      </c>
      <c r="H1656" cm="1">
        <f t="array" ref="H1656">-isDup(B1656,B1657,0.7)</f>
        <v>-1</v>
      </c>
    </row>
    <row r="1657" spans="1:8" x14ac:dyDescent="0.2">
      <c r="A1657" s="3">
        <v>46622.921492997688</v>
      </c>
      <c r="B1657" t="s">
        <v>1827</v>
      </c>
      <c r="C1657" t="s">
        <v>33</v>
      </c>
      <c r="D1657" t="s">
        <v>34</v>
      </c>
      <c r="E1657">
        <v>0</v>
      </c>
      <c r="F1657">
        <v>0</v>
      </c>
      <c r="G1657" t="s">
        <v>2</v>
      </c>
      <c r="H1657" cm="1">
        <f t="array" ref="H1657">-isDup(B1657,B1658,0.7)</f>
        <v>-1</v>
      </c>
    </row>
    <row r="1658" spans="1:8" x14ac:dyDescent="0.2">
      <c r="A1658" s="3">
        <v>46623.921492997688</v>
      </c>
      <c r="B1658" t="s">
        <v>1827</v>
      </c>
      <c r="C1658" t="s">
        <v>33</v>
      </c>
      <c r="D1658" t="s">
        <v>34</v>
      </c>
      <c r="E1658">
        <v>0</v>
      </c>
      <c r="F1658">
        <v>0</v>
      </c>
      <c r="G1658" t="s">
        <v>2</v>
      </c>
      <c r="H1658" cm="1">
        <f t="array" ref="H1658">-isDup(B1658,B1659,0.7)</f>
        <v>0</v>
      </c>
    </row>
    <row r="1659" spans="1:8" x14ac:dyDescent="0.2">
      <c r="A1659" s="3">
        <v>46624.921492997688</v>
      </c>
      <c r="B1659" t="s">
        <v>1828</v>
      </c>
      <c r="C1659" t="s">
        <v>128</v>
      </c>
      <c r="D1659" t="s">
        <v>129</v>
      </c>
      <c r="E1659">
        <v>0</v>
      </c>
      <c r="F1659">
        <v>0</v>
      </c>
      <c r="G1659" t="s">
        <v>2</v>
      </c>
      <c r="H1659" cm="1">
        <f t="array" ref="H1659">-isDup(B1659,B1660,0.7)</f>
        <v>-1</v>
      </c>
    </row>
    <row r="1660" spans="1:8" x14ac:dyDescent="0.2">
      <c r="A1660" s="3">
        <v>46625.921492997688</v>
      </c>
      <c r="B1660" t="s">
        <v>1828</v>
      </c>
      <c r="C1660" t="s">
        <v>143</v>
      </c>
      <c r="D1660" t="s">
        <v>129</v>
      </c>
      <c r="E1660">
        <v>0</v>
      </c>
      <c r="F1660">
        <v>0</v>
      </c>
      <c r="G1660" t="s">
        <v>2</v>
      </c>
      <c r="H1660" cm="1">
        <f t="array" ref="H1660">-isDup(B1660,B1661,0.7)</f>
        <v>0</v>
      </c>
    </row>
    <row r="1661" spans="1:8" x14ac:dyDescent="0.2">
      <c r="A1661" s="3">
        <v>46626.921492997688</v>
      </c>
      <c r="B1661" t="s">
        <v>966</v>
      </c>
      <c r="C1661" t="s">
        <v>12</v>
      </c>
      <c r="D1661" t="s">
        <v>13</v>
      </c>
      <c r="E1661">
        <v>0</v>
      </c>
      <c r="F1661">
        <v>0</v>
      </c>
      <c r="G1661" t="s">
        <v>2</v>
      </c>
      <c r="H1661" cm="1">
        <f t="array" ref="H1661">-isDup(B1661,B1662,0.7)</f>
        <v>0</v>
      </c>
    </row>
    <row r="1662" spans="1:8" x14ac:dyDescent="0.2">
      <c r="A1662" s="3">
        <v>46627.921492997688</v>
      </c>
      <c r="B1662" t="s">
        <v>347</v>
      </c>
      <c r="C1662" t="s">
        <v>128</v>
      </c>
      <c r="D1662" t="s">
        <v>129</v>
      </c>
      <c r="E1662">
        <v>0</v>
      </c>
      <c r="F1662">
        <v>0</v>
      </c>
      <c r="G1662" t="s">
        <v>2</v>
      </c>
      <c r="H1662" cm="1">
        <f t="array" ref="H1662">-isDup(B1662,B1663,0.7)</f>
        <v>-1</v>
      </c>
    </row>
    <row r="1663" spans="1:8" x14ac:dyDescent="0.2">
      <c r="A1663" s="3">
        <v>46628.921492997688</v>
      </c>
      <c r="B1663" t="s">
        <v>347</v>
      </c>
      <c r="C1663" t="s">
        <v>143</v>
      </c>
      <c r="D1663" t="s">
        <v>129</v>
      </c>
      <c r="E1663">
        <v>0</v>
      </c>
      <c r="F1663">
        <v>0</v>
      </c>
      <c r="G1663" t="s">
        <v>2</v>
      </c>
      <c r="H1663" cm="1">
        <f t="array" ref="H1663">-isDup(B1663,B1664,0.7)</f>
        <v>0</v>
      </c>
    </row>
    <row r="1664" spans="1:8" x14ac:dyDescent="0.2">
      <c r="A1664" s="3">
        <v>46629.921492997688</v>
      </c>
      <c r="B1664" t="s">
        <v>1829</v>
      </c>
      <c r="C1664" t="s">
        <v>1830</v>
      </c>
      <c r="D1664" t="s">
        <v>1831</v>
      </c>
      <c r="E1664">
        <v>0</v>
      </c>
      <c r="F1664">
        <v>1</v>
      </c>
      <c r="G1664" t="s">
        <v>2</v>
      </c>
      <c r="H1664" cm="1">
        <f t="array" ref="H1664">-isDup(B1664,B1665,0.7)</f>
        <v>0</v>
      </c>
    </row>
    <row r="1665" spans="1:8" x14ac:dyDescent="0.2">
      <c r="A1665" s="3">
        <v>46630.921492997688</v>
      </c>
      <c r="B1665" t="s">
        <v>1832</v>
      </c>
      <c r="C1665" t="s">
        <v>128</v>
      </c>
      <c r="D1665" t="s">
        <v>129</v>
      </c>
      <c r="E1665">
        <v>0</v>
      </c>
      <c r="F1665">
        <v>0</v>
      </c>
      <c r="G1665" t="s">
        <v>2</v>
      </c>
      <c r="H1665" cm="1">
        <f t="array" ref="H1665">-isDup(B1665,B1666,0.7)</f>
        <v>0</v>
      </c>
    </row>
    <row r="1666" spans="1:8" x14ac:dyDescent="0.2">
      <c r="A1666" s="3">
        <v>46631.921492997688</v>
      </c>
      <c r="B1666" t="s">
        <v>1833</v>
      </c>
      <c r="C1666" t="s">
        <v>1834</v>
      </c>
      <c r="D1666" t="s">
        <v>1835</v>
      </c>
      <c r="E1666">
        <v>0</v>
      </c>
      <c r="F1666">
        <v>4</v>
      </c>
      <c r="G1666" t="s">
        <v>2</v>
      </c>
      <c r="H1666" cm="1">
        <f t="array" ref="H1666">-isDup(B1666,B1667,0.7)</f>
        <v>0</v>
      </c>
    </row>
    <row r="1667" spans="1:8" x14ac:dyDescent="0.2">
      <c r="A1667" s="3">
        <v>46632.921492997688</v>
      </c>
      <c r="B1667" t="s">
        <v>816</v>
      </c>
      <c r="C1667" t="s">
        <v>128</v>
      </c>
      <c r="D1667" t="s">
        <v>129</v>
      </c>
      <c r="E1667">
        <v>0</v>
      </c>
      <c r="F1667">
        <v>0</v>
      </c>
      <c r="G1667" t="s">
        <v>2</v>
      </c>
      <c r="H1667" cm="1">
        <f t="array" ref="H1667">-isDup(B1667,B1668,0.7)</f>
        <v>0</v>
      </c>
    </row>
    <row r="1668" spans="1:8" x14ac:dyDescent="0.2">
      <c r="A1668" s="3">
        <v>46633.921492997688</v>
      </c>
      <c r="B1668" t="s">
        <v>1836</v>
      </c>
      <c r="C1668" t="s">
        <v>1206</v>
      </c>
      <c r="D1668" t="s">
        <v>1207</v>
      </c>
      <c r="E1668">
        <v>0</v>
      </c>
      <c r="F1668">
        <v>0</v>
      </c>
      <c r="G1668" t="s">
        <v>2</v>
      </c>
      <c r="H1668" cm="1">
        <f t="array" ref="H1668">-isDup(B1668,B1669,0.7)</f>
        <v>0</v>
      </c>
    </row>
    <row r="1669" spans="1:8" x14ac:dyDescent="0.2">
      <c r="A1669" s="3">
        <v>46634.921492997688</v>
      </c>
      <c r="B1669" t="s">
        <v>3</v>
      </c>
      <c r="C1669" t="s">
        <v>4</v>
      </c>
      <c r="D1669" t="s">
        <v>5</v>
      </c>
      <c r="E1669">
        <v>0</v>
      </c>
      <c r="F1669">
        <v>0</v>
      </c>
      <c r="G1669" t="s">
        <v>2</v>
      </c>
      <c r="H1669" cm="1">
        <f t="array" ref="H1669">-isDup(B1669,B1670,0.7)</f>
        <v>0</v>
      </c>
    </row>
    <row r="1670" spans="1:8" x14ac:dyDescent="0.2">
      <c r="A1670" s="3">
        <v>46635.921492997688</v>
      </c>
      <c r="B1670" t="s">
        <v>398</v>
      </c>
      <c r="C1670" t="s">
        <v>143</v>
      </c>
      <c r="D1670" t="s">
        <v>129</v>
      </c>
      <c r="E1670">
        <v>0</v>
      </c>
      <c r="F1670">
        <v>0</v>
      </c>
      <c r="G1670" t="s">
        <v>2</v>
      </c>
      <c r="H1670" cm="1">
        <f t="array" ref="H1670">-isDup(B1670,B1671,0.7)</f>
        <v>-1</v>
      </c>
    </row>
    <row r="1671" spans="1:8" x14ac:dyDescent="0.2">
      <c r="A1671" s="3">
        <v>46636.921492997688</v>
      </c>
      <c r="B1671" t="s">
        <v>398</v>
      </c>
      <c r="C1671" t="s">
        <v>128</v>
      </c>
      <c r="D1671" t="s">
        <v>129</v>
      </c>
      <c r="E1671">
        <v>0</v>
      </c>
      <c r="F1671">
        <v>0</v>
      </c>
      <c r="G1671" t="s">
        <v>2</v>
      </c>
      <c r="H1671" cm="1">
        <f t="array" ref="H1671">-isDup(B1671,B1672,0.7)</f>
        <v>0</v>
      </c>
    </row>
    <row r="1672" spans="1:8" x14ac:dyDescent="0.2">
      <c r="A1672" s="3">
        <v>46637.921492997688</v>
      </c>
      <c r="B1672" t="s">
        <v>1837</v>
      </c>
      <c r="C1672" t="s">
        <v>286</v>
      </c>
      <c r="E1672">
        <v>0</v>
      </c>
      <c r="F1672">
        <v>0</v>
      </c>
      <c r="G1672" t="s">
        <v>2</v>
      </c>
      <c r="H1672" cm="1">
        <f t="array" ref="H1672">-isDup(B1672,B1673,0.7)</f>
        <v>0</v>
      </c>
    </row>
    <row r="1673" spans="1:8" x14ac:dyDescent="0.2">
      <c r="A1673" s="3">
        <v>46638.921492997688</v>
      </c>
      <c r="B1673" t="s">
        <v>1838</v>
      </c>
      <c r="C1673" t="s">
        <v>286</v>
      </c>
      <c r="E1673">
        <v>1</v>
      </c>
      <c r="F1673">
        <v>1</v>
      </c>
      <c r="G1673" t="s">
        <v>2</v>
      </c>
      <c r="H1673" cm="1">
        <f t="array" ref="H1673">-isDup(B1673,B1674,0.7)</f>
        <v>0</v>
      </c>
    </row>
    <row r="1674" spans="1:8" x14ac:dyDescent="0.2">
      <c r="A1674" s="3">
        <v>46639.921492997688</v>
      </c>
      <c r="B1674" t="s">
        <v>1839</v>
      </c>
      <c r="C1674" t="s">
        <v>286</v>
      </c>
      <c r="E1674">
        <v>0</v>
      </c>
      <c r="F1674">
        <v>0</v>
      </c>
      <c r="G1674" t="s">
        <v>2</v>
      </c>
      <c r="H1674" cm="1">
        <f t="array" ref="H1674">-isDup(B1674,B1675,0.7)</f>
        <v>0</v>
      </c>
    </row>
    <row r="1675" spans="1:8" x14ac:dyDescent="0.2">
      <c r="A1675" s="3">
        <v>46640.921492997688</v>
      </c>
      <c r="B1675" t="s">
        <v>1255</v>
      </c>
      <c r="C1675" t="s">
        <v>128</v>
      </c>
      <c r="D1675" t="s">
        <v>129</v>
      </c>
      <c r="E1675">
        <v>0</v>
      </c>
      <c r="F1675">
        <v>0</v>
      </c>
      <c r="G1675" t="s">
        <v>2</v>
      </c>
      <c r="H1675" cm="1">
        <f t="array" ref="H1675">-isDup(B1675,B1676,0.7)</f>
        <v>-1</v>
      </c>
    </row>
    <row r="1676" spans="1:8" x14ac:dyDescent="0.2">
      <c r="A1676" s="3">
        <v>46641.921492997688</v>
      </c>
      <c r="B1676" t="s">
        <v>1255</v>
      </c>
      <c r="C1676" t="s">
        <v>143</v>
      </c>
      <c r="D1676" t="s">
        <v>129</v>
      </c>
      <c r="E1676">
        <v>0</v>
      </c>
      <c r="F1676">
        <v>0</v>
      </c>
      <c r="G1676" t="s">
        <v>2</v>
      </c>
      <c r="H1676" cm="1">
        <f t="array" ref="H1676">-isDup(B1676,B1677,0.7)</f>
        <v>0</v>
      </c>
    </row>
    <row r="1677" spans="1:8" x14ac:dyDescent="0.2">
      <c r="A1677" s="3">
        <v>46642.921492997688</v>
      </c>
      <c r="B1677" t="s">
        <v>192</v>
      </c>
      <c r="C1677" t="s">
        <v>143</v>
      </c>
      <c r="D1677" t="s">
        <v>129</v>
      </c>
      <c r="E1677">
        <v>0</v>
      </c>
      <c r="F1677">
        <v>0</v>
      </c>
      <c r="G1677" t="s">
        <v>2</v>
      </c>
      <c r="H1677" cm="1">
        <f t="array" ref="H1677">-isDup(B1677,B1678,0.7)</f>
        <v>-1</v>
      </c>
    </row>
    <row r="1678" spans="1:8" x14ac:dyDescent="0.2">
      <c r="A1678" s="3">
        <v>46643.921492997688</v>
      </c>
      <c r="B1678" t="s">
        <v>192</v>
      </c>
      <c r="C1678" t="s">
        <v>128</v>
      </c>
      <c r="D1678" t="s">
        <v>129</v>
      </c>
      <c r="E1678">
        <v>0</v>
      </c>
      <c r="F1678">
        <v>0</v>
      </c>
      <c r="G1678" t="s">
        <v>2</v>
      </c>
      <c r="H1678" cm="1">
        <f t="array" ref="H1678">-isDup(B1678,B1679,0.7)</f>
        <v>0</v>
      </c>
    </row>
    <row r="1679" spans="1:8" x14ac:dyDescent="0.2">
      <c r="A1679" s="3">
        <v>46644.921492997688</v>
      </c>
      <c r="B1679" t="s">
        <v>36</v>
      </c>
      <c r="C1679" t="s">
        <v>33</v>
      </c>
      <c r="D1679" t="s">
        <v>34</v>
      </c>
      <c r="E1679">
        <v>0</v>
      </c>
      <c r="F1679">
        <v>0</v>
      </c>
      <c r="G1679" t="s">
        <v>2</v>
      </c>
      <c r="H1679" cm="1">
        <f t="array" ref="H1679">-isDup(B1679,B1680,0.7)</f>
        <v>0</v>
      </c>
    </row>
    <row r="1680" spans="1:8" x14ac:dyDescent="0.2">
      <c r="A1680" s="3">
        <v>46645.921492997688</v>
      </c>
      <c r="B1680" t="s">
        <v>37</v>
      </c>
      <c r="C1680" t="s">
        <v>33</v>
      </c>
      <c r="D1680" t="s">
        <v>34</v>
      </c>
      <c r="E1680">
        <v>0</v>
      </c>
      <c r="F1680">
        <v>0</v>
      </c>
      <c r="G1680" t="s">
        <v>2</v>
      </c>
      <c r="H1680" cm="1">
        <f t="array" ref="H1680">-isDup(B1680,B1681,0.7)</f>
        <v>0</v>
      </c>
    </row>
    <row r="1681" spans="1:8" x14ac:dyDescent="0.2">
      <c r="A1681" s="3">
        <v>46646.921492997688</v>
      </c>
      <c r="B1681" t="s">
        <v>1840</v>
      </c>
      <c r="C1681" t="s">
        <v>33</v>
      </c>
      <c r="D1681" t="s">
        <v>34</v>
      </c>
      <c r="E1681">
        <v>0</v>
      </c>
      <c r="F1681">
        <v>0</v>
      </c>
      <c r="G1681" t="s">
        <v>2</v>
      </c>
      <c r="H1681" cm="1">
        <f t="array" ref="H1681">-isDup(B1681,B1682,0.7)</f>
        <v>0</v>
      </c>
    </row>
    <row r="1682" spans="1:8" x14ac:dyDescent="0.2">
      <c r="A1682" s="3">
        <v>46647.921492997688</v>
      </c>
      <c r="B1682" t="s">
        <v>35</v>
      </c>
      <c r="C1682" t="s">
        <v>33</v>
      </c>
      <c r="D1682" t="s">
        <v>34</v>
      </c>
      <c r="E1682">
        <v>0</v>
      </c>
      <c r="F1682">
        <v>0</v>
      </c>
      <c r="G1682" t="s">
        <v>2</v>
      </c>
      <c r="H1682" cm="1">
        <f t="array" ref="H1682">-isDup(B1682,B1683,0.7)</f>
        <v>0</v>
      </c>
    </row>
    <row r="1683" spans="1:8" x14ac:dyDescent="0.2">
      <c r="A1683" s="3">
        <v>46648.921492997688</v>
      </c>
      <c r="B1683" t="s">
        <v>1841</v>
      </c>
      <c r="C1683" t="s">
        <v>1842</v>
      </c>
      <c r="E1683">
        <v>0</v>
      </c>
      <c r="F1683">
        <v>1</v>
      </c>
      <c r="G1683" t="s">
        <v>2</v>
      </c>
      <c r="H1683" cm="1">
        <f t="array" ref="H1683">-isDup(B1683,B1684,0.7)</f>
        <v>0</v>
      </c>
    </row>
    <row r="1684" spans="1:8" x14ac:dyDescent="0.2">
      <c r="A1684" s="3">
        <v>46649.921492997688</v>
      </c>
      <c r="B1684" t="s">
        <v>1843</v>
      </c>
      <c r="C1684" t="s">
        <v>1844</v>
      </c>
      <c r="D1684" t="s">
        <v>278</v>
      </c>
      <c r="E1684">
        <v>0</v>
      </c>
      <c r="F1684">
        <v>0</v>
      </c>
      <c r="G1684" t="s">
        <v>2</v>
      </c>
      <c r="H1684" cm="1">
        <f t="array" ref="H1684">-isDup(B1684,B1685,0.7)</f>
        <v>0</v>
      </c>
    </row>
    <row r="1685" spans="1:8" x14ac:dyDescent="0.2">
      <c r="A1685" s="3">
        <v>46650.921492997688</v>
      </c>
      <c r="B1685" t="s">
        <v>1845</v>
      </c>
      <c r="C1685" t="s">
        <v>620</v>
      </c>
      <c r="D1685" t="s">
        <v>491</v>
      </c>
      <c r="E1685">
        <v>0</v>
      </c>
      <c r="F1685">
        <v>1</v>
      </c>
      <c r="G1685" t="s">
        <v>2</v>
      </c>
      <c r="H1685" cm="1">
        <f t="array" ref="H1685">-isDup(B1685,B1686,0.7)</f>
        <v>0</v>
      </c>
    </row>
    <row r="1686" spans="1:8" x14ac:dyDescent="0.2">
      <c r="A1686" s="3">
        <v>46651.921492997688</v>
      </c>
      <c r="B1686" t="s">
        <v>1846</v>
      </c>
      <c r="C1686" t="s">
        <v>1847</v>
      </c>
      <c r="D1686" t="s">
        <v>55</v>
      </c>
      <c r="E1686">
        <v>0</v>
      </c>
      <c r="F1686">
        <v>0</v>
      </c>
      <c r="G1686" t="s">
        <v>2</v>
      </c>
      <c r="H1686" cm="1">
        <f t="array" ref="H1686">-isDup(B1686,B1687,0.7)</f>
        <v>0</v>
      </c>
    </row>
    <row r="1687" spans="1:8" x14ac:dyDescent="0.2">
      <c r="A1687" s="3">
        <v>46652.921492997688</v>
      </c>
      <c r="B1687" t="s">
        <v>1848</v>
      </c>
      <c r="C1687" t="s">
        <v>164</v>
      </c>
      <c r="E1687">
        <v>0</v>
      </c>
      <c r="F1687">
        <v>0</v>
      </c>
      <c r="G1687" t="s">
        <v>2</v>
      </c>
      <c r="H1687" cm="1">
        <f t="array" ref="H1687">-isDup(B1687,B1688,0.7)</f>
        <v>0</v>
      </c>
    </row>
    <row r="1688" spans="1:8" x14ac:dyDescent="0.2">
      <c r="A1688" s="3">
        <v>46653.921492997688</v>
      </c>
      <c r="B1688" t="s">
        <v>1849</v>
      </c>
      <c r="C1688" t="s">
        <v>1453</v>
      </c>
      <c r="D1688" t="s">
        <v>1850</v>
      </c>
      <c r="E1688">
        <v>0</v>
      </c>
      <c r="F1688">
        <v>0</v>
      </c>
      <c r="G1688" t="s">
        <v>2</v>
      </c>
      <c r="H1688" cm="1">
        <f t="array" ref="H1688">-isDup(B1688,B1689,0.7)</f>
        <v>0</v>
      </c>
    </row>
    <row r="1689" spans="1:8" x14ac:dyDescent="0.2">
      <c r="A1689" s="3">
        <v>46654.921492997688</v>
      </c>
      <c r="B1689" t="s">
        <v>1836</v>
      </c>
      <c r="C1689" t="s">
        <v>1332</v>
      </c>
      <c r="D1689" t="s">
        <v>1333</v>
      </c>
      <c r="E1689">
        <v>0</v>
      </c>
      <c r="F1689">
        <v>0</v>
      </c>
      <c r="G1689" t="s">
        <v>2</v>
      </c>
      <c r="H1689" cm="1">
        <f t="array" ref="H1689">-isDup(B1689,B1690,0.7)</f>
        <v>0</v>
      </c>
    </row>
    <row r="1690" spans="1:8" x14ac:dyDescent="0.2">
      <c r="A1690" s="3">
        <v>46655.921492997688</v>
      </c>
      <c r="B1690" t="s">
        <v>1851</v>
      </c>
      <c r="C1690" t="s">
        <v>1043</v>
      </c>
      <c r="E1690">
        <v>0</v>
      </c>
      <c r="F1690">
        <v>1</v>
      </c>
      <c r="G1690" t="s">
        <v>2</v>
      </c>
      <c r="H1690" cm="1">
        <f t="array" ref="H1690">-isDup(B1690,B1691,0.7)</f>
        <v>0</v>
      </c>
    </row>
    <row r="1691" spans="1:8" x14ac:dyDescent="0.2">
      <c r="A1691" s="3">
        <v>46656.921492997688</v>
      </c>
      <c r="B1691" t="s">
        <v>1852</v>
      </c>
      <c r="C1691" t="s">
        <v>1143</v>
      </c>
      <c r="E1691">
        <v>0</v>
      </c>
      <c r="F1691">
        <v>1</v>
      </c>
      <c r="G1691" t="s">
        <v>2</v>
      </c>
      <c r="H1691" cm="1">
        <f t="array" ref="H1691">-isDup(B1691,B1692,0.7)</f>
        <v>0</v>
      </c>
    </row>
    <row r="1692" spans="1:8" x14ac:dyDescent="0.2">
      <c r="A1692" s="3">
        <v>46657.921492997688</v>
      </c>
      <c r="B1692" t="s">
        <v>1853</v>
      </c>
      <c r="C1692" t="s">
        <v>986</v>
      </c>
      <c r="D1692" t="s">
        <v>1854</v>
      </c>
      <c r="E1692">
        <v>0</v>
      </c>
      <c r="F1692">
        <v>0</v>
      </c>
      <c r="G1692" t="s">
        <v>2</v>
      </c>
      <c r="H1692" cm="1">
        <f t="array" ref="H1692">-isDup(B1692,B1693,0.7)</f>
        <v>0</v>
      </c>
    </row>
    <row r="1693" spans="1:8" x14ac:dyDescent="0.2">
      <c r="A1693" s="3">
        <v>46658.921492997688</v>
      </c>
      <c r="B1693" t="s">
        <v>811</v>
      </c>
      <c r="C1693" t="s">
        <v>128</v>
      </c>
      <c r="D1693" t="s">
        <v>129</v>
      </c>
      <c r="E1693">
        <v>0</v>
      </c>
      <c r="F1693">
        <v>0</v>
      </c>
      <c r="G1693" t="s">
        <v>2</v>
      </c>
      <c r="H1693" cm="1">
        <f t="array" ref="H1693">-isDup(B1693,B1694,0.7)</f>
        <v>0</v>
      </c>
    </row>
    <row r="1694" spans="1:8" x14ac:dyDescent="0.2">
      <c r="A1694" s="3">
        <v>46659.921492997688</v>
      </c>
      <c r="B1694" t="s">
        <v>325</v>
      </c>
      <c r="C1694" t="s">
        <v>143</v>
      </c>
      <c r="D1694" t="s">
        <v>129</v>
      </c>
      <c r="E1694">
        <v>0</v>
      </c>
      <c r="F1694">
        <v>0</v>
      </c>
      <c r="G1694" t="s">
        <v>2</v>
      </c>
      <c r="H1694" cm="1">
        <f t="array" ref="H1694">-isDup(B1694,B1695,0.7)</f>
        <v>-1</v>
      </c>
    </row>
    <row r="1695" spans="1:8" x14ac:dyDescent="0.2">
      <c r="A1695" s="3">
        <v>46660.921492997688</v>
      </c>
      <c r="B1695" t="s">
        <v>325</v>
      </c>
      <c r="C1695" t="s">
        <v>128</v>
      </c>
      <c r="D1695" t="s">
        <v>129</v>
      </c>
      <c r="E1695">
        <v>0</v>
      </c>
      <c r="F1695">
        <v>0</v>
      </c>
      <c r="G1695" t="s">
        <v>2</v>
      </c>
      <c r="H1695" cm="1">
        <f t="array" ref="H1695">-isDup(B1695,B1696,0.7)</f>
        <v>0</v>
      </c>
    </row>
    <row r="1696" spans="1:8" x14ac:dyDescent="0.2">
      <c r="A1696" s="3">
        <v>46661.921492997688</v>
      </c>
      <c r="B1696" t="s">
        <v>397</v>
      </c>
      <c r="C1696" t="s">
        <v>128</v>
      </c>
      <c r="D1696" t="s">
        <v>129</v>
      </c>
      <c r="E1696">
        <v>0</v>
      </c>
      <c r="F1696">
        <v>0</v>
      </c>
      <c r="G1696" t="s">
        <v>2</v>
      </c>
      <c r="H1696" cm="1">
        <f t="array" ref="H1696">-isDup(B1696,B1697,0.7)</f>
        <v>-1</v>
      </c>
    </row>
    <row r="1697" spans="1:8" x14ac:dyDescent="0.2">
      <c r="A1697" s="3">
        <v>46662.921492997688</v>
      </c>
      <c r="B1697" t="s">
        <v>397</v>
      </c>
      <c r="C1697" t="s">
        <v>143</v>
      </c>
      <c r="D1697" t="s">
        <v>129</v>
      </c>
      <c r="E1697">
        <v>0</v>
      </c>
      <c r="F1697">
        <v>0</v>
      </c>
      <c r="G1697" t="s">
        <v>2</v>
      </c>
      <c r="H1697" cm="1">
        <f t="array" ref="H1697">-isDup(B1697,B1698,0.7)</f>
        <v>0</v>
      </c>
    </row>
    <row r="1698" spans="1:8" x14ac:dyDescent="0.2">
      <c r="A1698" s="3">
        <v>46663.921492997688</v>
      </c>
      <c r="B1698" t="s">
        <v>1855</v>
      </c>
      <c r="C1698" t="s">
        <v>1856</v>
      </c>
      <c r="E1698">
        <v>0</v>
      </c>
      <c r="F1698">
        <v>2</v>
      </c>
      <c r="G1698" t="s">
        <v>2</v>
      </c>
      <c r="H1698" cm="1">
        <f t="array" ref="H1698">-isDup(B1698,B1699,0.7)</f>
        <v>0</v>
      </c>
    </row>
    <row r="1699" spans="1:8" x14ac:dyDescent="0.2">
      <c r="A1699" s="3">
        <v>46664.921492997688</v>
      </c>
      <c r="B1699" t="s">
        <v>1857</v>
      </c>
      <c r="C1699" t="s">
        <v>1686</v>
      </c>
      <c r="E1699">
        <v>0</v>
      </c>
      <c r="F1699">
        <v>0</v>
      </c>
      <c r="G1699" t="s">
        <v>2</v>
      </c>
      <c r="H1699" cm="1">
        <f t="array" ref="H1699">-isDup(B1699,B1700,0.7)</f>
        <v>-1</v>
      </c>
    </row>
    <row r="1700" spans="1:8" x14ac:dyDescent="0.2">
      <c r="A1700" s="3">
        <v>46665.921492997688</v>
      </c>
      <c r="B1700" t="s">
        <v>1858</v>
      </c>
      <c r="C1700" t="s">
        <v>1686</v>
      </c>
      <c r="E1700">
        <v>0</v>
      </c>
      <c r="F1700">
        <v>0</v>
      </c>
      <c r="G1700" t="s">
        <v>2</v>
      </c>
      <c r="H1700" cm="1">
        <f t="array" ref="H1700">-isDup(B1700,B1701,0.7)</f>
        <v>0</v>
      </c>
    </row>
    <row r="1701" spans="1:8" x14ac:dyDescent="0.2">
      <c r="A1701" s="3">
        <v>46666.921492997688</v>
      </c>
      <c r="B1701" t="s">
        <v>3</v>
      </c>
      <c r="C1701" t="s">
        <v>4</v>
      </c>
      <c r="D1701" t="s">
        <v>5</v>
      </c>
      <c r="E1701">
        <v>0</v>
      </c>
      <c r="F1701">
        <v>0</v>
      </c>
      <c r="G1701" t="s">
        <v>2</v>
      </c>
      <c r="H1701" cm="1">
        <f t="array" ref="H1701">-isDup(B1701,B1702,0.7)</f>
        <v>0</v>
      </c>
    </row>
    <row r="1702" spans="1:8" x14ac:dyDescent="0.2">
      <c r="A1702" s="3">
        <v>46667.921492997688</v>
      </c>
      <c r="B1702" t="s">
        <v>1859</v>
      </c>
      <c r="C1702" t="s">
        <v>1291</v>
      </c>
      <c r="D1702" t="s">
        <v>1860</v>
      </c>
      <c r="E1702">
        <v>0</v>
      </c>
      <c r="F1702">
        <v>0</v>
      </c>
      <c r="G1702" t="s">
        <v>2</v>
      </c>
      <c r="H1702" cm="1">
        <f t="array" ref="H1702">-isDup(B1702,B1703,0.7)</f>
        <v>0</v>
      </c>
    </row>
    <row r="1703" spans="1:8" x14ac:dyDescent="0.2">
      <c r="A1703" s="3">
        <v>46668.921492997688</v>
      </c>
      <c r="B1703" t="s">
        <v>1861</v>
      </c>
      <c r="C1703" t="s">
        <v>1862</v>
      </c>
      <c r="E1703">
        <v>0</v>
      </c>
      <c r="F1703">
        <v>0</v>
      </c>
      <c r="G1703" t="s">
        <v>2</v>
      </c>
      <c r="H1703" cm="1">
        <f t="array" ref="H1703">-isDup(B1703,B1704,0.7)</f>
        <v>0</v>
      </c>
    </row>
    <row r="1704" spans="1:8" x14ac:dyDescent="0.2">
      <c r="A1704" s="3">
        <v>46669.921492997688</v>
      </c>
      <c r="B1704" t="s">
        <v>1863</v>
      </c>
      <c r="C1704" t="s">
        <v>1864</v>
      </c>
      <c r="E1704">
        <v>0</v>
      </c>
      <c r="F1704">
        <v>0</v>
      </c>
      <c r="G1704" t="s">
        <v>2</v>
      </c>
      <c r="H1704" cm="1">
        <f t="array" ref="H1704">-isDup(B1704,B1705,0.7)</f>
        <v>0</v>
      </c>
    </row>
    <row r="1705" spans="1:8" x14ac:dyDescent="0.2">
      <c r="A1705" s="3">
        <v>46670.921492997688</v>
      </c>
      <c r="B1705" t="s">
        <v>21</v>
      </c>
      <c r="C1705" t="s">
        <v>22</v>
      </c>
      <c r="E1705">
        <v>0</v>
      </c>
      <c r="F1705">
        <v>0</v>
      </c>
      <c r="G1705" t="s">
        <v>2</v>
      </c>
      <c r="H1705" cm="1">
        <f t="array" ref="H1705">-isDup(B1705,B1706,0.7)</f>
        <v>0</v>
      </c>
    </row>
    <row r="1706" spans="1:8" x14ac:dyDescent="0.2">
      <c r="A1706" s="3">
        <v>46671.921492997688</v>
      </c>
      <c r="B1706" t="s">
        <v>1865</v>
      </c>
      <c r="C1706" t="s">
        <v>1866</v>
      </c>
      <c r="D1706" t="s">
        <v>1867</v>
      </c>
      <c r="E1706">
        <v>0</v>
      </c>
      <c r="F1706">
        <v>2</v>
      </c>
      <c r="G1706" t="s">
        <v>2</v>
      </c>
      <c r="H1706" cm="1">
        <f t="array" ref="H1706">-isDup(B1706,B1707,0.7)</f>
        <v>0</v>
      </c>
    </row>
    <row r="1707" spans="1:8" x14ac:dyDescent="0.2">
      <c r="A1707" s="3">
        <v>46672.921492997688</v>
      </c>
      <c r="B1707" t="s">
        <v>1868</v>
      </c>
      <c r="C1707" t="s">
        <v>608</v>
      </c>
      <c r="D1707" t="s">
        <v>1869</v>
      </c>
      <c r="E1707">
        <v>0</v>
      </c>
      <c r="F1707">
        <v>1</v>
      </c>
      <c r="G1707" t="s">
        <v>2</v>
      </c>
      <c r="H1707" cm="1">
        <f t="array" ref="H1707">-isDup(B1707,B1708,0.7)</f>
        <v>0</v>
      </c>
    </row>
    <row r="1708" spans="1:8" x14ac:dyDescent="0.2">
      <c r="A1708" s="3">
        <v>46673.921492997688</v>
      </c>
      <c r="B1708" t="s">
        <v>1870</v>
      </c>
      <c r="C1708" t="s">
        <v>1871</v>
      </c>
      <c r="E1708">
        <v>0</v>
      </c>
      <c r="F1708">
        <v>0</v>
      </c>
      <c r="G1708" t="s">
        <v>2</v>
      </c>
      <c r="H1708" cm="1">
        <f t="array" ref="H1708">-isDup(B1708,B1709,0.7)</f>
        <v>0</v>
      </c>
    </row>
    <row r="1709" spans="1:8" x14ac:dyDescent="0.2">
      <c r="A1709" s="3">
        <v>46674.921492997688</v>
      </c>
      <c r="B1709" t="s">
        <v>1872</v>
      </c>
      <c r="C1709" t="s">
        <v>1862</v>
      </c>
      <c r="E1709">
        <v>0</v>
      </c>
      <c r="F1709">
        <v>1</v>
      </c>
      <c r="G1709" t="s">
        <v>2</v>
      </c>
      <c r="H1709" cm="1">
        <f t="array" ref="H1709">-isDup(B1709,B1710,0.7)</f>
        <v>0</v>
      </c>
    </row>
    <row r="1710" spans="1:8" x14ac:dyDescent="0.2">
      <c r="A1710" s="3">
        <v>46675.921492997688</v>
      </c>
      <c r="B1710" t="s">
        <v>1873</v>
      </c>
      <c r="C1710" t="s">
        <v>33</v>
      </c>
      <c r="D1710" t="s">
        <v>34</v>
      </c>
      <c r="E1710">
        <v>0</v>
      </c>
      <c r="F1710">
        <v>0</v>
      </c>
      <c r="G1710" t="s">
        <v>2</v>
      </c>
      <c r="H1710" cm="1">
        <f t="array" ref="H1710">-isDup(B1710,B1711,0.7)</f>
        <v>0</v>
      </c>
    </row>
    <row r="1711" spans="1:8" x14ac:dyDescent="0.2">
      <c r="A1711" s="3">
        <v>46676.921492997688</v>
      </c>
      <c r="B1711" t="s">
        <v>37</v>
      </c>
      <c r="C1711" t="s">
        <v>33</v>
      </c>
      <c r="D1711" t="s">
        <v>34</v>
      </c>
      <c r="E1711">
        <v>0</v>
      </c>
      <c r="F1711">
        <v>0</v>
      </c>
      <c r="G1711" t="s">
        <v>2</v>
      </c>
      <c r="H1711" cm="1">
        <f t="array" ref="H1711">-isDup(B1711,B1712,0.7)</f>
        <v>0</v>
      </c>
    </row>
    <row r="1712" spans="1:8" x14ac:dyDescent="0.2">
      <c r="A1712" s="3">
        <v>46677.921492997688</v>
      </c>
      <c r="B1712" t="s">
        <v>36</v>
      </c>
      <c r="C1712" t="s">
        <v>33</v>
      </c>
      <c r="D1712" t="s">
        <v>34</v>
      </c>
      <c r="E1712">
        <v>0</v>
      </c>
      <c r="F1712">
        <v>0</v>
      </c>
      <c r="G1712" t="s">
        <v>2</v>
      </c>
      <c r="H1712" cm="1">
        <f t="array" ref="H1712">-isDup(B1712,B1713,0.7)</f>
        <v>0</v>
      </c>
    </row>
    <row r="1713" spans="1:8" x14ac:dyDescent="0.2">
      <c r="A1713" s="3">
        <v>46678.921492997688</v>
      </c>
      <c r="B1713" t="s">
        <v>35</v>
      </c>
      <c r="C1713" t="s">
        <v>33</v>
      </c>
      <c r="D1713" t="s">
        <v>34</v>
      </c>
      <c r="E1713">
        <v>0</v>
      </c>
      <c r="F1713">
        <v>0</v>
      </c>
      <c r="G1713" t="s">
        <v>2</v>
      </c>
      <c r="H1713" cm="1">
        <f t="array" ref="H1713">-isDup(B1713,B1714,0.7)</f>
        <v>0</v>
      </c>
    </row>
    <row r="1714" spans="1:8" x14ac:dyDescent="0.2">
      <c r="A1714" s="3">
        <v>46679.921492997688</v>
      </c>
      <c r="B1714" t="s">
        <v>1874</v>
      </c>
      <c r="C1714" t="s">
        <v>1875</v>
      </c>
      <c r="D1714" t="s">
        <v>189</v>
      </c>
      <c r="E1714">
        <v>0</v>
      </c>
      <c r="F1714">
        <v>4</v>
      </c>
      <c r="G1714" t="s">
        <v>2</v>
      </c>
      <c r="H1714" cm="1">
        <f t="array" ref="H1714">-isDup(B1714,B1715,0.7)</f>
        <v>0</v>
      </c>
    </row>
    <row r="1715" spans="1:8" x14ac:dyDescent="0.2">
      <c r="A1715" s="3">
        <v>46680.921492997688</v>
      </c>
      <c r="B1715" t="s">
        <v>1876</v>
      </c>
      <c r="C1715" t="s">
        <v>1877</v>
      </c>
      <c r="E1715">
        <v>0</v>
      </c>
      <c r="F1715">
        <v>0</v>
      </c>
      <c r="G1715" t="s">
        <v>2</v>
      </c>
      <c r="H1715" cm="1">
        <f t="array" ref="H1715">-isDup(B1715,B1716,0.7)</f>
        <v>0</v>
      </c>
    </row>
    <row r="1716" spans="1:8" x14ac:dyDescent="0.2">
      <c r="A1716" s="3">
        <v>46681.921492997688</v>
      </c>
      <c r="B1716" t="s">
        <v>1878</v>
      </c>
      <c r="C1716" t="s">
        <v>7</v>
      </c>
      <c r="E1716">
        <v>0</v>
      </c>
      <c r="F1716">
        <v>0</v>
      </c>
      <c r="G1716" t="s">
        <v>2</v>
      </c>
      <c r="H1716" cm="1">
        <f t="array" ref="H1716">-isDup(B1716,B1717,0.7)</f>
        <v>0</v>
      </c>
    </row>
    <row r="1717" spans="1:8" x14ac:dyDescent="0.2">
      <c r="A1717" s="3">
        <v>46682.921492997688</v>
      </c>
      <c r="B1717" t="s">
        <v>1879</v>
      </c>
      <c r="C1717" t="s">
        <v>1880</v>
      </c>
      <c r="E1717">
        <v>0</v>
      </c>
      <c r="F1717">
        <v>0</v>
      </c>
      <c r="G1717" t="s">
        <v>2</v>
      </c>
      <c r="H1717" cm="1">
        <f t="array" ref="H1717">-isDup(B1717,B1718,0.7)</f>
        <v>0</v>
      </c>
    </row>
    <row r="1718" spans="1:8" x14ac:dyDescent="0.2">
      <c r="A1718" s="3">
        <v>46683.921492997688</v>
      </c>
      <c r="B1718" t="s">
        <v>1881</v>
      </c>
      <c r="C1718" t="s">
        <v>1882</v>
      </c>
      <c r="D1718" t="s">
        <v>1883</v>
      </c>
      <c r="E1718">
        <v>2</v>
      </c>
      <c r="F1718">
        <v>0</v>
      </c>
      <c r="G1718" t="s">
        <v>2</v>
      </c>
      <c r="H1718" cm="1">
        <f t="array" ref="H1718">-isDup(B1718,B1719,0.7)</f>
        <v>0</v>
      </c>
    </row>
    <row r="1719" spans="1:8" x14ac:dyDescent="0.2">
      <c r="A1719" s="3">
        <v>46684.921492997688</v>
      </c>
      <c r="B1719" t="s">
        <v>1836</v>
      </c>
      <c r="C1719" t="s">
        <v>669</v>
      </c>
      <c r="D1719" t="s">
        <v>34</v>
      </c>
      <c r="E1719">
        <v>0</v>
      </c>
      <c r="F1719">
        <v>0</v>
      </c>
      <c r="G1719" t="s">
        <v>2</v>
      </c>
      <c r="H1719" cm="1">
        <f t="array" ref="H1719">-isDup(B1719,B1720,0.7)</f>
        <v>0</v>
      </c>
    </row>
    <row r="1720" spans="1:8" x14ac:dyDescent="0.2">
      <c r="A1720" s="3">
        <v>46685.921492997688</v>
      </c>
      <c r="B1720" t="s">
        <v>3</v>
      </c>
      <c r="C1720" t="s">
        <v>4</v>
      </c>
      <c r="D1720" t="s">
        <v>5</v>
      </c>
      <c r="E1720">
        <v>0</v>
      </c>
      <c r="F1720">
        <v>0</v>
      </c>
      <c r="G1720" t="s">
        <v>2</v>
      </c>
      <c r="H1720" cm="1">
        <f t="array" ref="H1720">-isDup(B1720,B1721,0.7)</f>
        <v>0</v>
      </c>
    </row>
    <row r="1721" spans="1:8" x14ac:dyDescent="0.2">
      <c r="A1721" s="3">
        <v>46686.921492997688</v>
      </c>
      <c r="B1721" t="s">
        <v>1884</v>
      </c>
      <c r="C1721" t="s">
        <v>400</v>
      </c>
      <c r="D1721" t="s">
        <v>175</v>
      </c>
      <c r="E1721">
        <v>0</v>
      </c>
      <c r="F1721">
        <v>0</v>
      </c>
      <c r="G1721" t="s">
        <v>2</v>
      </c>
      <c r="H1721" cm="1">
        <f t="array" ref="H1721">-isDup(B1721,B1722,0.7)</f>
        <v>-1</v>
      </c>
    </row>
    <row r="1722" spans="1:8" x14ac:dyDescent="0.2">
      <c r="A1722" s="3">
        <v>46687.921492997688</v>
      </c>
      <c r="B1722" t="s">
        <v>1885</v>
      </c>
      <c r="C1722" t="s">
        <v>1886</v>
      </c>
      <c r="E1722">
        <v>0</v>
      </c>
      <c r="F1722">
        <v>1</v>
      </c>
      <c r="G1722" t="s">
        <v>2</v>
      </c>
      <c r="H1722" cm="1">
        <f t="array" ref="H1722">-isDup(B1722,B1723,0.7)</f>
        <v>0</v>
      </c>
    </row>
    <row r="1723" spans="1:8" x14ac:dyDescent="0.2">
      <c r="A1723" s="3">
        <v>46688.921492997688</v>
      </c>
      <c r="B1723" t="s">
        <v>1887</v>
      </c>
      <c r="C1723" t="s">
        <v>887</v>
      </c>
      <c r="D1723" t="s">
        <v>1605</v>
      </c>
      <c r="E1723">
        <v>0</v>
      </c>
      <c r="F1723">
        <v>1</v>
      </c>
      <c r="G1723" t="s">
        <v>2</v>
      </c>
      <c r="H1723" cm="1">
        <f t="array" ref="H1723">-isDup(B1723,B1724,0.7)</f>
        <v>0</v>
      </c>
    </row>
    <row r="1724" spans="1:8" x14ac:dyDescent="0.2">
      <c r="A1724" s="3">
        <v>46689.921492997688</v>
      </c>
      <c r="B1724" t="s">
        <v>36</v>
      </c>
      <c r="C1724" t="s">
        <v>33</v>
      </c>
      <c r="D1724" t="s">
        <v>34</v>
      </c>
      <c r="E1724">
        <v>0</v>
      </c>
      <c r="F1724">
        <v>0</v>
      </c>
      <c r="G1724" t="s">
        <v>2</v>
      </c>
      <c r="H1724" cm="1">
        <f t="array" ref="H1724">-isDup(B1724,B1725,0.7)</f>
        <v>0</v>
      </c>
    </row>
    <row r="1725" spans="1:8" x14ac:dyDescent="0.2">
      <c r="A1725" s="3">
        <v>46690.921492997688</v>
      </c>
      <c r="B1725" t="s">
        <v>37</v>
      </c>
      <c r="C1725" t="s">
        <v>33</v>
      </c>
      <c r="D1725" t="s">
        <v>34</v>
      </c>
      <c r="E1725">
        <v>0</v>
      </c>
      <c r="F1725">
        <v>0</v>
      </c>
      <c r="G1725" t="s">
        <v>2</v>
      </c>
      <c r="H1725" cm="1">
        <f t="array" ref="H1725">-isDup(B1725,B1726,0.7)</f>
        <v>0</v>
      </c>
    </row>
    <row r="1726" spans="1:8" x14ac:dyDescent="0.2">
      <c r="A1726" s="3">
        <v>46691.921492997688</v>
      </c>
      <c r="B1726" t="s">
        <v>1888</v>
      </c>
      <c r="C1726" t="s">
        <v>33</v>
      </c>
      <c r="D1726" t="s">
        <v>34</v>
      </c>
      <c r="E1726">
        <v>0</v>
      </c>
      <c r="F1726">
        <v>0</v>
      </c>
      <c r="G1726" t="s">
        <v>2</v>
      </c>
      <c r="H1726" cm="1">
        <f t="array" ref="H1726">-isDup(B1726,B1727,0.7)</f>
        <v>0</v>
      </c>
    </row>
    <row r="1727" spans="1:8" x14ac:dyDescent="0.2">
      <c r="A1727" s="3">
        <v>46692.921492997688</v>
      </c>
      <c r="B1727" t="s">
        <v>35</v>
      </c>
      <c r="C1727" t="s">
        <v>33</v>
      </c>
      <c r="D1727" t="s">
        <v>34</v>
      </c>
      <c r="E1727">
        <v>0</v>
      </c>
      <c r="F1727">
        <v>0</v>
      </c>
      <c r="G1727" t="s">
        <v>2</v>
      </c>
      <c r="H1727" cm="1">
        <f t="array" ref="H1727">-isDup(B1727,B1728,0.7)</f>
        <v>0</v>
      </c>
    </row>
    <row r="1728" spans="1:8" x14ac:dyDescent="0.2">
      <c r="A1728" s="3">
        <v>46693.921492997688</v>
      </c>
      <c r="B1728" t="s">
        <v>1889</v>
      </c>
      <c r="C1728" t="s">
        <v>1890</v>
      </c>
      <c r="D1728" t="s">
        <v>1891</v>
      </c>
      <c r="E1728">
        <v>0</v>
      </c>
      <c r="F1728">
        <v>0</v>
      </c>
      <c r="G1728" t="s">
        <v>2</v>
      </c>
      <c r="H1728" cm="1">
        <f t="array" ref="H1728">-isDup(B1728,B1729,0.7)</f>
        <v>0</v>
      </c>
    </row>
    <row r="1729" spans="1:8" x14ac:dyDescent="0.2">
      <c r="A1729" s="3">
        <v>46694.921492997688</v>
      </c>
      <c r="B1729" t="s">
        <v>1892</v>
      </c>
      <c r="C1729" t="s">
        <v>1893</v>
      </c>
      <c r="E1729">
        <v>0</v>
      </c>
      <c r="F1729">
        <v>0</v>
      </c>
      <c r="G1729" t="s">
        <v>2</v>
      </c>
      <c r="H1729" cm="1">
        <f t="array" ref="H1729">-isDup(B1729,B1730,0.7)</f>
        <v>0</v>
      </c>
    </row>
    <row r="1730" spans="1:8" x14ac:dyDescent="0.2">
      <c r="A1730" s="3">
        <v>46695.921492997688</v>
      </c>
      <c r="B1730" t="s">
        <v>1894</v>
      </c>
      <c r="C1730" t="s">
        <v>1895</v>
      </c>
      <c r="D1730" t="s">
        <v>1107</v>
      </c>
      <c r="E1730">
        <v>1</v>
      </c>
      <c r="F1730">
        <v>2</v>
      </c>
      <c r="G1730" t="s">
        <v>2</v>
      </c>
      <c r="H1730" cm="1">
        <f t="array" ref="H1730">-isDup(B1730,B1731,0.7)</f>
        <v>0</v>
      </c>
    </row>
    <row r="1731" spans="1:8" x14ac:dyDescent="0.2">
      <c r="A1731" s="3">
        <v>46696.921492997688</v>
      </c>
      <c r="B1731" t="s">
        <v>1896</v>
      </c>
      <c r="C1731" t="s">
        <v>1152</v>
      </c>
      <c r="D1731" t="s">
        <v>1153</v>
      </c>
      <c r="E1731">
        <v>0</v>
      </c>
      <c r="F1731">
        <v>0</v>
      </c>
      <c r="G1731" t="s">
        <v>2</v>
      </c>
      <c r="H1731" cm="1">
        <f t="array" ref="H1731">-isDup(B1731,B1732,0.7)</f>
        <v>0</v>
      </c>
    </row>
    <row r="1732" spans="1:8" x14ac:dyDescent="0.2">
      <c r="A1732" s="3">
        <v>46697.921492997688</v>
      </c>
      <c r="B1732" t="s">
        <v>1897</v>
      </c>
      <c r="C1732" t="s">
        <v>608</v>
      </c>
      <c r="D1732" t="s">
        <v>1869</v>
      </c>
      <c r="E1732">
        <v>0</v>
      </c>
      <c r="F1732">
        <v>1</v>
      </c>
      <c r="G1732" t="s">
        <v>2</v>
      </c>
      <c r="H1732" cm="1">
        <f t="array" ref="H1732">-isDup(B1732,B1733,0.7)</f>
        <v>0</v>
      </c>
    </row>
    <row r="1733" spans="1:8" x14ac:dyDescent="0.2">
      <c r="A1733" s="3">
        <v>46698.921492997688</v>
      </c>
      <c r="B1733" t="s">
        <v>1898</v>
      </c>
      <c r="C1733" t="s">
        <v>7</v>
      </c>
      <c r="E1733">
        <v>0</v>
      </c>
      <c r="F1733">
        <v>0</v>
      </c>
      <c r="G1733" t="s">
        <v>2</v>
      </c>
      <c r="H1733" cm="1">
        <f t="array" ref="H1733">-isDup(B1733,B1734,0.7)</f>
        <v>0</v>
      </c>
    </row>
    <row r="1734" spans="1:8" x14ac:dyDescent="0.2">
      <c r="A1734" s="3">
        <v>46699.921492997688</v>
      </c>
      <c r="B1734" t="s">
        <v>3</v>
      </c>
      <c r="C1734" t="s">
        <v>4</v>
      </c>
      <c r="D1734" t="s">
        <v>5</v>
      </c>
      <c r="E1734">
        <v>0</v>
      </c>
      <c r="F1734">
        <v>0</v>
      </c>
      <c r="G1734" t="s">
        <v>2</v>
      </c>
      <c r="H1734" cm="1">
        <f t="array" ref="H1734">-isDup(B1734,B1735,0.7)</f>
        <v>0</v>
      </c>
    </row>
    <row r="1735" spans="1:8" x14ac:dyDescent="0.2">
      <c r="A1735" s="3">
        <v>46700.921492997688</v>
      </c>
      <c r="B1735" t="s">
        <v>1899</v>
      </c>
      <c r="C1735" t="s">
        <v>1900</v>
      </c>
      <c r="D1735" t="s">
        <v>1901</v>
      </c>
      <c r="E1735">
        <v>0</v>
      </c>
      <c r="F1735">
        <v>0</v>
      </c>
      <c r="G1735" t="s">
        <v>2</v>
      </c>
      <c r="H1735" cm="1">
        <f t="array" ref="H1735">-isDup(B1735,B1736,0.7)</f>
        <v>0</v>
      </c>
    </row>
    <row r="1736" spans="1:8" x14ac:dyDescent="0.2">
      <c r="A1736" s="3">
        <v>46701.921492997688</v>
      </c>
      <c r="B1736" t="s">
        <v>1902</v>
      </c>
      <c r="C1736" t="s">
        <v>143</v>
      </c>
      <c r="D1736" t="s">
        <v>1903</v>
      </c>
      <c r="E1736">
        <v>0</v>
      </c>
      <c r="F1736">
        <v>1</v>
      </c>
      <c r="G1736" t="s">
        <v>2</v>
      </c>
      <c r="H1736" cm="1">
        <f t="array" ref="H1736">-isDup(B1736,B1737,0.7)</f>
        <v>0</v>
      </c>
    </row>
    <row r="1737" spans="1:8" x14ac:dyDescent="0.2">
      <c r="A1737" s="3">
        <v>46702.921492997688</v>
      </c>
      <c r="B1737" t="s">
        <v>94</v>
      </c>
      <c r="C1737" t="s">
        <v>22</v>
      </c>
      <c r="E1737">
        <v>0</v>
      </c>
      <c r="F1737">
        <v>0</v>
      </c>
      <c r="G1737" t="s">
        <v>2</v>
      </c>
      <c r="H1737" cm="1">
        <f t="array" ref="H1737">-isDup(B1737,B1738,0.7)</f>
        <v>0</v>
      </c>
    </row>
    <row r="1738" spans="1:8" x14ac:dyDescent="0.2">
      <c r="A1738" s="3">
        <v>46703.921492997688</v>
      </c>
      <c r="B1738" t="s">
        <v>1904</v>
      </c>
      <c r="C1738" t="s">
        <v>1035</v>
      </c>
      <c r="D1738" t="s">
        <v>103</v>
      </c>
      <c r="E1738">
        <v>1</v>
      </c>
      <c r="F1738">
        <v>17</v>
      </c>
      <c r="G1738" t="s">
        <v>2</v>
      </c>
      <c r="H1738" cm="1">
        <f t="array" ref="H1738">-isDup(B1738,B1739,0.7)</f>
        <v>0</v>
      </c>
    </row>
    <row r="1739" spans="1:8" x14ac:dyDescent="0.2">
      <c r="A1739" s="3">
        <v>46704.921492997688</v>
      </c>
      <c r="B1739" t="s">
        <v>1905</v>
      </c>
      <c r="C1739" t="s">
        <v>1326</v>
      </c>
      <c r="E1739">
        <v>0</v>
      </c>
      <c r="F1739">
        <v>0</v>
      </c>
      <c r="G1739" t="s">
        <v>2</v>
      </c>
      <c r="H1739" cm="1">
        <f t="array" ref="H1739">-isDup(B1739,B1740,0.7)</f>
        <v>0</v>
      </c>
    </row>
    <row r="1740" spans="1:8" x14ac:dyDescent="0.2">
      <c r="A1740" s="3">
        <v>46705.921492997688</v>
      </c>
      <c r="B1740" t="s">
        <v>1906</v>
      </c>
      <c r="C1740" t="s">
        <v>1907</v>
      </c>
      <c r="D1740" t="s">
        <v>1908</v>
      </c>
      <c r="E1740">
        <v>0</v>
      </c>
      <c r="F1740">
        <v>0</v>
      </c>
      <c r="G1740" t="s">
        <v>2</v>
      </c>
      <c r="H1740" cm="1">
        <f t="array" ref="H1740">-isDup(B1740,B1741,0.7)</f>
        <v>0</v>
      </c>
    </row>
    <row r="1741" spans="1:8" x14ac:dyDescent="0.2">
      <c r="A1741" s="3">
        <v>46706.921492997688</v>
      </c>
      <c r="B1741" t="s">
        <v>37</v>
      </c>
      <c r="C1741" t="s">
        <v>33</v>
      </c>
      <c r="D1741" t="s">
        <v>34</v>
      </c>
      <c r="E1741">
        <v>0</v>
      </c>
      <c r="F1741">
        <v>0</v>
      </c>
      <c r="G1741" t="s">
        <v>2</v>
      </c>
      <c r="H1741" cm="1">
        <f t="array" ref="H1741">-isDup(B1741,B1742,0.7)</f>
        <v>0</v>
      </c>
    </row>
    <row r="1742" spans="1:8" x14ac:dyDescent="0.2">
      <c r="A1742" s="3">
        <v>46707.921492997688</v>
      </c>
      <c r="B1742" t="s">
        <v>1909</v>
      </c>
      <c r="C1742" t="s">
        <v>33</v>
      </c>
      <c r="D1742" t="s">
        <v>34</v>
      </c>
      <c r="E1742">
        <v>0</v>
      </c>
      <c r="F1742">
        <v>0</v>
      </c>
      <c r="G1742" t="s">
        <v>2</v>
      </c>
      <c r="H1742" cm="1">
        <f t="array" ref="H1742">-isDup(B1742,B1743,0.7)</f>
        <v>0</v>
      </c>
    </row>
    <row r="1743" spans="1:8" x14ac:dyDescent="0.2">
      <c r="A1743" s="3">
        <v>46708.921492997688</v>
      </c>
      <c r="B1743" t="s">
        <v>36</v>
      </c>
      <c r="C1743" t="s">
        <v>33</v>
      </c>
      <c r="D1743" t="s">
        <v>34</v>
      </c>
      <c r="E1743">
        <v>0</v>
      </c>
      <c r="F1743">
        <v>0</v>
      </c>
      <c r="G1743" t="s">
        <v>2</v>
      </c>
      <c r="H1743" cm="1">
        <f t="array" ref="H1743">-isDup(B1743,B1744,0.7)</f>
        <v>0</v>
      </c>
    </row>
    <row r="1744" spans="1:8" x14ac:dyDescent="0.2">
      <c r="A1744" s="3">
        <v>46709.921492997688</v>
      </c>
      <c r="B1744" t="s">
        <v>35</v>
      </c>
      <c r="C1744" t="s">
        <v>33</v>
      </c>
      <c r="D1744" t="s">
        <v>34</v>
      </c>
      <c r="E1744">
        <v>0</v>
      </c>
      <c r="F1744">
        <v>0</v>
      </c>
      <c r="G1744" t="s">
        <v>2</v>
      </c>
      <c r="H1744" cm="1">
        <f t="array" ref="H1744">-isDup(B1744,B1745,0.7)</f>
        <v>0</v>
      </c>
    </row>
    <row r="1745" spans="1:8" x14ac:dyDescent="0.2">
      <c r="A1745" s="3">
        <v>46710.921492997688</v>
      </c>
      <c r="B1745" t="s">
        <v>11</v>
      </c>
      <c r="C1745" t="s">
        <v>12</v>
      </c>
      <c r="D1745" t="s">
        <v>13</v>
      </c>
      <c r="E1745">
        <v>0</v>
      </c>
      <c r="F1745">
        <v>0</v>
      </c>
      <c r="G1745" t="s">
        <v>2</v>
      </c>
      <c r="H1745" cm="1">
        <f t="array" ref="H1745">-isDup(B1745,B1746,0.7)</f>
        <v>0</v>
      </c>
    </row>
    <row r="1746" spans="1:8" x14ac:dyDescent="0.2">
      <c r="A1746" s="3">
        <v>46711.921492997688</v>
      </c>
      <c r="B1746" t="s">
        <v>1910</v>
      </c>
      <c r="C1746" t="s">
        <v>134</v>
      </c>
      <c r="E1746">
        <v>0</v>
      </c>
      <c r="F1746">
        <v>0</v>
      </c>
      <c r="G1746" t="s">
        <v>2</v>
      </c>
      <c r="H1746" cm="1">
        <f t="array" ref="H1746">-isDup(B1746,B1747,0.7)</f>
        <v>0</v>
      </c>
    </row>
    <row r="1747" spans="1:8" x14ac:dyDescent="0.2">
      <c r="A1747" s="3">
        <v>46712.921492997688</v>
      </c>
      <c r="B1747" t="s">
        <v>1911</v>
      </c>
      <c r="C1747" t="s">
        <v>1912</v>
      </c>
      <c r="D1747" t="s">
        <v>189</v>
      </c>
      <c r="E1747">
        <v>0</v>
      </c>
      <c r="F1747">
        <v>0</v>
      </c>
      <c r="G1747" t="s">
        <v>2</v>
      </c>
      <c r="H1747" cm="1">
        <f t="array" ref="H1747">-isDup(B1747,B1748,0.7)</f>
        <v>0</v>
      </c>
    </row>
    <row r="1748" spans="1:8" x14ac:dyDescent="0.2">
      <c r="A1748" s="3">
        <v>46713.921492997688</v>
      </c>
      <c r="B1748" t="s">
        <v>1726</v>
      </c>
      <c r="C1748" t="s">
        <v>171</v>
      </c>
      <c r="E1748">
        <v>0</v>
      </c>
      <c r="F1748">
        <v>0</v>
      </c>
      <c r="G1748" t="s">
        <v>2</v>
      </c>
      <c r="H1748" cm="1">
        <f t="array" ref="H1748">-isDup(B1748,B1749,0.7)</f>
        <v>0</v>
      </c>
    </row>
    <row r="1749" spans="1:8" x14ac:dyDescent="0.2">
      <c r="A1749" s="3">
        <v>46714.921492997688</v>
      </c>
      <c r="B1749" t="s">
        <v>170</v>
      </c>
      <c r="C1749" t="s">
        <v>171</v>
      </c>
      <c r="E1749">
        <v>0</v>
      </c>
      <c r="F1749">
        <v>0</v>
      </c>
      <c r="G1749" t="s">
        <v>2</v>
      </c>
      <c r="H1749" cm="1">
        <f t="array" ref="H1749">-isDup(B1749,B1750,0.7)</f>
        <v>0</v>
      </c>
    </row>
    <row r="1750" spans="1:8" x14ac:dyDescent="0.2">
      <c r="A1750" s="3">
        <v>46715.921492997688</v>
      </c>
      <c r="B1750" t="s">
        <v>1913</v>
      </c>
      <c r="C1750" t="s">
        <v>1914</v>
      </c>
      <c r="D1750" t="s">
        <v>1915</v>
      </c>
      <c r="E1750">
        <v>0</v>
      </c>
      <c r="F1750">
        <v>0</v>
      </c>
      <c r="G1750" t="s">
        <v>2</v>
      </c>
      <c r="H1750" cm="1">
        <f t="array" ref="H1750">-isDup(B1750,B1751,0.7)</f>
        <v>0</v>
      </c>
    </row>
    <row r="1751" spans="1:8" x14ac:dyDescent="0.2">
      <c r="A1751" s="3">
        <v>46716.921492997688</v>
      </c>
      <c r="B1751" t="s">
        <v>1916</v>
      </c>
      <c r="C1751" t="s">
        <v>1076</v>
      </c>
      <c r="D1751" t="s">
        <v>1107</v>
      </c>
      <c r="E1751">
        <v>5</v>
      </c>
      <c r="F1751">
        <v>0</v>
      </c>
      <c r="G1751" t="s">
        <v>2</v>
      </c>
      <c r="H1751" cm="1">
        <f t="array" ref="H1751">-isDup(B1751,B1752,0.7)</f>
        <v>0</v>
      </c>
    </row>
    <row r="1752" spans="1:8" x14ac:dyDescent="0.2">
      <c r="A1752" s="3">
        <v>46717.921492997688</v>
      </c>
      <c r="B1752" t="s">
        <v>228</v>
      </c>
      <c r="C1752" t="s">
        <v>33</v>
      </c>
      <c r="D1752" t="s">
        <v>34</v>
      </c>
      <c r="E1752">
        <v>0</v>
      </c>
      <c r="F1752">
        <v>0</v>
      </c>
      <c r="G1752" t="s">
        <v>2</v>
      </c>
      <c r="H1752" cm="1">
        <f t="array" ref="H1752">-isDup(B1752,B1753,0.7)</f>
        <v>0</v>
      </c>
    </row>
    <row r="1753" spans="1:8" x14ac:dyDescent="0.2">
      <c r="A1753" s="3">
        <v>46718.921492997688</v>
      </c>
      <c r="B1753" t="s">
        <v>231</v>
      </c>
      <c r="C1753" t="s">
        <v>33</v>
      </c>
      <c r="D1753" t="s">
        <v>34</v>
      </c>
      <c r="E1753">
        <v>0</v>
      </c>
      <c r="F1753">
        <v>0</v>
      </c>
      <c r="G1753" t="s">
        <v>2</v>
      </c>
      <c r="H1753" cm="1">
        <f t="array" ref="H1753">-isDup(B1753,B1754,0.7)</f>
        <v>0</v>
      </c>
    </row>
    <row r="1754" spans="1:8" x14ac:dyDescent="0.2">
      <c r="A1754" s="3">
        <v>46719.921492997688</v>
      </c>
      <c r="B1754" t="s">
        <v>226</v>
      </c>
      <c r="C1754" t="s">
        <v>33</v>
      </c>
      <c r="D1754" t="s">
        <v>34</v>
      </c>
      <c r="E1754">
        <v>0</v>
      </c>
      <c r="F1754">
        <v>0</v>
      </c>
      <c r="G1754" t="s">
        <v>2</v>
      </c>
      <c r="H1754" cm="1">
        <f t="array" ref="H1754">-isDup(B1754,B1755,0.7)</f>
        <v>0</v>
      </c>
    </row>
    <row r="1755" spans="1:8" x14ac:dyDescent="0.2">
      <c r="A1755" s="3">
        <v>46720.921492997688</v>
      </c>
      <c r="B1755" t="s">
        <v>230</v>
      </c>
      <c r="C1755" t="s">
        <v>33</v>
      </c>
      <c r="D1755" t="s">
        <v>34</v>
      </c>
      <c r="E1755">
        <v>0</v>
      </c>
      <c r="F1755">
        <v>0</v>
      </c>
      <c r="G1755" t="s">
        <v>2</v>
      </c>
      <c r="H1755" cm="1">
        <f t="array" ref="H1755">-isDup(B1755,B1756,0.7)</f>
        <v>0</v>
      </c>
    </row>
    <row r="1756" spans="1:8" x14ac:dyDescent="0.2">
      <c r="A1756" s="3">
        <v>46721.921492997688</v>
      </c>
      <c r="B1756" t="s">
        <v>225</v>
      </c>
      <c r="C1756" t="s">
        <v>33</v>
      </c>
      <c r="D1756" t="s">
        <v>34</v>
      </c>
      <c r="E1756">
        <v>0</v>
      </c>
      <c r="F1756">
        <v>0</v>
      </c>
      <c r="G1756" t="s">
        <v>2</v>
      </c>
      <c r="H1756" cm="1">
        <f t="array" ref="H1756">-isDup(B1756,B1757,0.7)</f>
        <v>0</v>
      </c>
    </row>
    <row r="1757" spans="1:8" x14ac:dyDescent="0.2">
      <c r="A1757" s="3">
        <v>46722.921492997688</v>
      </c>
      <c r="B1757" t="s">
        <v>229</v>
      </c>
      <c r="C1757" t="s">
        <v>33</v>
      </c>
      <c r="D1757" t="s">
        <v>34</v>
      </c>
      <c r="E1757">
        <v>0</v>
      </c>
      <c r="F1757">
        <v>0</v>
      </c>
      <c r="G1757" t="s">
        <v>2</v>
      </c>
      <c r="H1757" cm="1">
        <f t="array" ref="H1757">-isDup(B1757,B1758,0.7)</f>
        <v>0</v>
      </c>
    </row>
    <row r="1758" spans="1:8" x14ac:dyDescent="0.2">
      <c r="A1758" s="3">
        <v>46723.921492997688</v>
      </c>
      <c r="B1758" t="s">
        <v>224</v>
      </c>
      <c r="C1758" t="s">
        <v>33</v>
      </c>
      <c r="D1758" t="s">
        <v>34</v>
      </c>
      <c r="E1758">
        <v>0</v>
      </c>
      <c r="F1758">
        <v>0</v>
      </c>
      <c r="G1758" t="s">
        <v>2</v>
      </c>
      <c r="H1758" cm="1">
        <f t="array" ref="H1758">-isDup(B1758,B1759,0.7)</f>
        <v>0</v>
      </c>
    </row>
    <row r="1759" spans="1:8" x14ac:dyDescent="0.2">
      <c r="A1759" s="3">
        <v>46724.921492997688</v>
      </c>
      <c r="B1759" t="s">
        <v>227</v>
      </c>
      <c r="C1759" t="s">
        <v>33</v>
      </c>
      <c r="D1759" t="s">
        <v>34</v>
      </c>
      <c r="E1759">
        <v>0</v>
      </c>
      <c r="F1759">
        <v>0</v>
      </c>
      <c r="G1759" t="s">
        <v>2</v>
      </c>
      <c r="H1759" cm="1">
        <f t="array" ref="H1759">-isDup(B1759,B1760,0.7)</f>
        <v>0</v>
      </c>
    </row>
    <row r="1760" spans="1:8" x14ac:dyDescent="0.2">
      <c r="A1760" s="3">
        <v>46725.921492997688</v>
      </c>
      <c r="B1760" t="s">
        <v>138</v>
      </c>
      <c r="C1760" t="s">
        <v>22</v>
      </c>
      <c r="E1760">
        <v>0</v>
      </c>
      <c r="F1760">
        <v>0</v>
      </c>
      <c r="G1760" t="s">
        <v>2</v>
      </c>
      <c r="H1760" cm="1">
        <f t="array" ref="H1760">-isDup(B1760,B1761,0.7)</f>
        <v>0</v>
      </c>
    </row>
    <row r="1761" spans="1:8" x14ac:dyDescent="0.2">
      <c r="A1761" s="3">
        <v>46726.921492997688</v>
      </c>
      <c r="B1761" t="s">
        <v>144</v>
      </c>
      <c r="C1761" t="s">
        <v>22</v>
      </c>
      <c r="E1761">
        <v>0</v>
      </c>
      <c r="F1761">
        <v>0</v>
      </c>
      <c r="G1761" t="s">
        <v>2</v>
      </c>
      <c r="H1761" cm="1">
        <f t="array" ref="H1761">-isDup(B1761,B1762,0.7)</f>
        <v>0</v>
      </c>
    </row>
    <row r="1762" spans="1:8" x14ac:dyDescent="0.2">
      <c r="A1762" s="3">
        <v>46727.921492997688</v>
      </c>
      <c r="B1762" t="s">
        <v>152</v>
      </c>
      <c r="C1762" t="s">
        <v>22</v>
      </c>
      <c r="E1762">
        <v>0</v>
      </c>
      <c r="F1762">
        <v>0</v>
      </c>
      <c r="G1762" t="s">
        <v>2</v>
      </c>
      <c r="H1762" cm="1">
        <f t="array" ref="H1762">-isDup(B1762,B1763,0.7)</f>
        <v>0</v>
      </c>
    </row>
    <row r="1763" spans="1:8" x14ac:dyDescent="0.2">
      <c r="A1763" s="3">
        <v>46728.921492997688</v>
      </c>
      <c r="B1763" t="s">
        <v>151</v>
      </c>
      <c r="C1763" t="s">
        <v>22</v>
      </c>
      <c r="E1763">
        <v>0</v>
      </c>
      <c r="F1763">
        <v>0</v>
      </c>
      <c r="G1763" t="s">
        <v>2</v>
      </c>
      <c r="H1763" cm="1">
        <f t="array" ref="H1763">-isDup(B1763,B1764,0.7)</f>
        <v>0</v>
      </c>
    </row>
    <row r="1764" spans="1:8" x14ac:dyDescent="0.2">
      <c r="A1764" s="3">
        <v>46729.921492997688</v>
      </c>
      <c r="B1764" t="s">
        <v>153</v>
      </c>
      <c r="C1764" t="s">
        <v>22</v>
      </c>
      <c r="E1764">
        <v>0</v>
      </c>
      <c r="F1764">
        <v>0</v>
      </c>
      <c r="G1764" t="s">
        <v>2</v>
      </c>
      <c r="H1764" cm="1">
        <f t="array" ref="H1764">-isDup(B1764,B1765,0.7)</f>
        <v>0</v>
      </c>
    </row>
    <row r="1765" spans="1:8" x14ac:dyDescent="0.2">
      <c r="A1765" s="3">
        <v>46730.921492997688</v>
      </c>
      <c r="B1765" t="s">
        <v>3</v>
      </c>
      <c r="C1765" t="s">
        <v>4</v>
      </c>
      <c r="D1765" t="s">
        <v>5</v>
      </c>
      <c r="E1765">
        <v>0</v>
      </c>
      <c r="F1765">
        <v>0</v>
      </c>
      <c r="G1765" t="s">
        <v>2</v>
      </c>
      <c r="H1765" cm="1">
        <f t="array" ref="H1765">-isDup(B1765,B1766,0.7)</f>
        <v>0</v>
      </c>
    </row>
    <row r="1766" spans="1:8" x14ac:dyDescent="0.2">
      <c r="A1766" s="3">
        <v>46731.921492997688</v>
      </c>
      <c r="B1766" t="s">
        <v>154</v>
      </c>
      <c r="C1766" t="s">
        <v>22</v>
      </c>
      <c r="E1766">
        <v>0</v>
      </c>
      <c r="F1766">
        <v>0</v>
      </c>
      <c r="G1766" t="s">
        <v>2</v>
      </c>
      <c r="H1766" cm="1">
        <f t="array" ref="H1766">-isDup(B1766,B1767,0.7)</f>
        <v>0</v>
      </c>
    </row>
    <row r="1767" spans="1:8" x14ac:dyDescent="0.2">
      <c r="A1767" s="3">
        <v>46732.921492997688</v>
      </c>
      <c r="B1767" t="s">
        <v>46</v>
      </c>
      <c r="C1767" t="s">
        <v>22</v>
      </c>
      <c r="E1767">
        <v>0</v>
      </c>
      <c r="F1767">
        <v>0</v>
      </c>
      <c r="G1767" t="s">
        <v>2</v>
      </c>
      <c r="H1767" cm="1">
        <f t="array" ref="H1767">-isDup(B1767,B1768,0.7)</f>
        <v>0</v>
      </c>
    </row>
    <row r="1768" spans="1:8" x14ac:dyDescent="0.2">
      <c r="A1768" s="3">
        <v>46733.921492997688</v>
      </c>
      <c r="B1768" t="s">
        <v>159</v>
      </c>
      <c r="C1768" t="s">
        <v>22</v>
      </c>
      <c r="E1768">
        <v>0</v>
      </c>
      <c r="F1768">
        <v>0</v>
      </c>
      <c r="G1768" t="s">
        <v>2</v>
      </c>
      <c r="H1768" cm="1">
        <f t="array" ref="H1768">-isDup(B1768,B1769,0.7)</f>
        <v>0</v>
      </c>
    </row>
    <row r="1769" spans="1:8" x14ac:dyDescent="0.2">
      <c r="A1769" s="3">
        <v>46734.921492997688</v>
      </c>
      <c r="B1769" t="s">
        <v>1917</v>
      </c>
      <c r="C1769" t="s">
        <v>286</v>
      </c>
      <c r="E1769">
        <v>0</v>
      </c>
      <c r="F1769">
        <v>0</v>
      </c>
      <c r="G1769" t="s">
        <v>2</v>
      </c>
      <c r="H1769" cm="1">
        <f t="array" ref="H1769">-isDup(B1769,B1770,0.7)</f>
        <v>0</v>
      </c>
    </row>
    <row r="1770" spans="1:8" x14ac:dyDescent="0.2">
      <c r="A1770" s="3">
        <v>46735.921492997688</v>
      </c>
      <c r="B1770" t="s">
        <v>165</v>
      </c>
      <c r="C1770" t="s">
        <v>22</v>
      </c>
      <c r="E1770">
        <v>0</v>
      </c>
      <c r="F1770">
        <v>0</v>
      </c>
      <c r="G1770" t="s">
        <v>2</v>
      </c>
      <c r="H1770" cm="1">
        <f t="array" ref="H1770">-isDup(B1770,B1771,0.7)</f>
        <v>0</v>
      </c>
    </row>
    <row r="1771" spans="1:8" x14ac:dyDescent="0.2">
      <c r="A1771" s="3">
        <v>46736.921492997688</v>
      </c>
      <c r="B1771" t="s">
        <v>1918</v>
      </c>
      <c r="C1771" t="s">
        <v>24</v>
      </c>
      <c r="E1771">
        <v>0</v>
      </c>
      <c r="F1771">
        <v>0</v>
      </c>
      <c r="G1771" t="s">
        <v>2</v>
      </c>
      <c r="H1771" cm="1">
        <f t="array" ref="H1771">-isDup(B1771,B1772,0.7)</f>
        <v>0</v>
      </c>
    </row>
    <row r="1772" spans="1:8" x14ac:dyDescent="0.2">
      <c r="A1772" s="3">
        <v>46737.921492997688</v>
      </c>
      <c r="B1772" t="s">
        <v>1919</v>
      </c>
      <c r="C1772" t="s">
        <v>1920</v>
      </c>
      <c r="D1772" t="s">
        <v>34</v>
      </c>
      <c r="E1772">
        <v>0</v>
      </c>
      <c r="F1772">
        <v>0</v>
      </c>
      <c r="G1772" t="s">
        <v>2</v>
      </c>
      <c r="H1772" cm="1">
        <f t="array" ref="H1772">-isDup(B1772,B1773,0.7)</f>
        <v>0</v>
      </c>
    </row>
    <row r="1773" spans="1:8" x14ac:dyDescent="0.2">
      <c r="A1773" s="3">
        <v>46738.921492997688</v>
      </c>
      <c r="B1773" t="s">
        <v>1066</v>
      </c>
      <c r="C1773" t="s">
        <v>171</v>
      </c>
      <c r="E1773">
        <v>0</v>
      </c>
      <c r="F1773">
        <v>0</v>
      </c>
      <c r="G1773" t="s">
        <v>2</v>
      </c>
      <c r="H1773" cm="1">
        <f t="array" ref="H1773">-isDup(B1773,B1774,0.7)</f>
        <v>0</v>
      </c>
    </row>
    <row r="1774" spans="1:8" x14ac:dyDescent="0.2">
      <c r="A1774" s="3">
        <v>46739.921492997688</v>
      </c>
      <c r="B1774" t="s">
        <v>1921</v>
      </c>
      <c r="C1774" t="s">
        <v>1922</v>
      </c>
      <c r="D1774" t="s">
        <v>1285</v>
      </c>
      <c r="E1774">
        <v>0</v>
      </c>
      <c r="F1774">
        <v>0</v>
      </c>
      <c r="G1774" t="s">
        <v>2</v>
      </c>
      <c r="H1774" cm="1">
        <f t="array" ref="H1774">-isDup(B1774,B1775,0.7)</f>
        <v>0</v>
      </c>
    </row>
    <row r="1775" spans="1:8" x14ac:dyDescent="0.2">
      <c r="A1775" s="3">
        <v>46740.921492997688</v>
      </c>
      <c r="B1775" t="s">
        <v>1923</v>
      </c>
      <c r="C1775" t="s">
        <v>1924</v>
      </c>
      <c r="D1775" t="s">
        <v>1925</v>
      </c>
      <c r="E1775">
        <v>3</v>
      </c>
      <c r="F1775">
        <v>7</v>
      </c>
      <c r="G1775" t="s">
        <v>2</v>
      </c>
      <c r="H1775" cm="1">
        <f t="array" ref="H1775">-isDup(B1775,B1776,0.7)</f>
        <v>0</v>
      </c>
    </row>
    <row r="1776" spans="1:8" x14ac:dyDescent="0.2">
      <c r="A1776" s="3">
        <v>46741.921492997688</v>
      </c>
      <c r="B1776" t="s">
        <v>35</v>
      </c>
      <c r="C1776" t="s">
        <v>33</v>
      </c>
      <c r="D1776" t="s">
        <v>34</v>
      </c>
      <c r="E1776">
        <v>0</v>
      </c>
      <c r="F1776">
        <v>0</v>
      </c>
      <c r="G1776" t="s">
        <v>2</v>
      </c>
      <c r="H1776" cm="1">
        <f t="array" ref="H1776">-isDup(B1776,B1777,0.7)</f>
        <v>0</v>
      </c>
    </row>
    <row r="1777" spans="1:8" x14ac:dyDescent="0.2">
      <c r="A1777" s="3">
        <v>46742.921492997688</v>
      </c>
      <c r="B1777" t="s">
        <v>36</v>
      </c>
      <c r="C1777" t="s">
        <v>33</v>
      </c>
      <c r="D1777" t="s">
        <v>34</v>
      </c>
      <c r="E1777">
        <v>0</v>
      </c>
      <c r="F1777">
        <v>0</v>
      </c>
      <c r="G1777" t="s">
        <v>2</v>
      </c>
      <c r="H1777" cm="1">
        <f t="array" ref="H1777">-isDup(B1777,B1778,0.7)</f>
        <v>0</v>
      </c>
    </row>
    <row r="1778" spans="1:8" x14ac:dyDescent="0.2">
      <c r="A1778" s="3">
        <v>46743.921492997688</v>
      </c>
      <c r="B1778" t="s">
        <v>37</v>
      </c>
      <c r="C1778" t="s">
        <v>33</v>
      </c>
      <c r="D1778" t="s">
        <v>34</v>
      </c>
      <c r="E1778">
        <v>0</v>
      </c>
      <c r="F1778">
        <v>0</v>
      </c>
      <c r="G1778" t="s">
        <v>2</v>
      </c>
      <c r="H1778" cm="1">
        <f t="array" ref="H1778">-isDup(B1778,B1779,0.7)</f>
        <v>0</v>
      </c>
    </row>
    <row r="1779" spans="1:8" x14ac:dyDescent="0.2">
      <c r="A1779" s="3">
        <v>46744.921492997688</v>
      </c>
      <c r="B1779" t="s">
        <v>1926</v>
      </c>
      <c r="C1779" t="s">
        <v>33</v>
      </c>
      <c r="D1779" t="s">
        <v>34</v>
      </c>
      <c r="E1779">
        <v>0</v>
      </c>
      <c r="F1779">
        <v>0</v>
      </c>
      <c r="G1779" t="s">
        <v>2</v>
      </c>
      <c r="H1779" cm="1">
        <f t="array" ref="H1779">-isDup(B1779,B1780,0.7)</f>
        <v>0</v>
      </c>
    </row>
    <row r="1780" spans="1:8" x14ac:dyDescent="0.2">
      <c r="A1780" s="3">
        <v>46745.921492997688</v>
      </c>
      <c r="B1780" t="s">
        <v>1927</v>
      </c>
      <c r="C1780" t="s">
        <v>1638</v>
      </c>
      <c r="D1780" t="s">
        <v>1928</v>
      </c>
      <c r="E1780">
        <v>0</v>
      </c>
      <c r="F1780">
        <v>0</v>
      </c>
      <c r="G1780" t="s">
        <v>2</v>
      </c>
      <c r="H1780" cm="1">
        <f t="array" ref="H1780">-isDup(B1780,B1781,0.7)</f>
        <v>0</v>
      </c>
    </row>
    <row r="1781" spans="1:8" x14ac:dyDescent="0.2">
      <c r="A1781" s="3">
        <v>46746.921492997688</v>
      </c>
      <c r="B1781" t="s">
        <v>1929</v>
      </c>
      <c r="C1781" t="s">
        <v>290</v>
      </c>
      <c r="D1781" t="s">
        <v>291</v>
      </c>
      <c r="E1781">
        <v>0</v>
      </c>
      <c r="F1781">
        <v>0</v>
      </c>
      <c r="G1781" t="s">
        <v>2</v>
      </c>
      <c r="H1781" cm="1">
        <f t="array" ref="H1781">-isDup(B1781,B1782,0.7)</f>
        <v>0</v>
      </c>
    </row>
    <row r="1782" spans="1:8" x14ac:dyDescent="0.2">
      <c r="A1782" s="3">
        <v>46747.921492997688</v>
      </c>
      <c r="B1782" t="s">
        <v>1930</v>
      </c>
      <c r="C1782" t="s">
        <v>669</v>
      </c>
      <c r="D1782" t="s">
        <v>1931</v>
      </c>
      <c r="E1782">
        <v>0</v>
      </c>
      <c r="F1782">
        <v>1</v>
      </c>
      <c r="G1782" t="s">
        <v>2</v>
      </c>
      <c r="H1782" cm="1">
        <f t="array" ref="H1782">-isDup(B1782,B1783,0.7)</f>
        <v>0</v>
      </c>
    </row>
    <row r="1783" spans="1:8" x14ac:dyDescent="0.2">
      <c r="A1783" s="3">
        <v>46748.921492997688</v>
      </c>
      <c r="B1783" t="s">
        <v>1932</v>
      </c>
      <c r="C1783" t="s">
        <v>1796</v>
      </c>
      <c r="D1783" t="s">
        <v>1933</v>
      </c>
      <c r="E1783">
        <v>0</v>
      </c>
      <c r="F1783">
        <v>18</v>
      </c>
      <c r="G1783" t="s">
        <v>2</v>
      </c>
      <c r="H1783" cm="1">
        <f t="array" ref="H1783">-isDup(B1783,B1784,0.7)</f>
        <v>0</v>
      </c>
    </row>
    <row r="1784" spans="1:8" x14ac:dyDescent="0.2">
      <c r="A1784" s="3">
        <v>46749.921492997688</v>
      </c>
      <c r="B1784" t="s">
        <v>1795</v>
      </c>
      <c r="C1784" t="s">
        <v>1934</v>
      </c>
      <c r="D1784" t="s">
        <v>109</v>
      </c>
      <c r="E1784">
        <v>0</v>
      </c>
      <c r="F1784">
        <v>0</v>
      </c>
      <c r="G1784" t="s">
        <v>2</v>
      </c>
      <c r="H1784" cm="1">
        <f t="array" ref="H1784">-isDup(B1784,B1785,0.7)</f>
        <v>0</v>
      </c>
    </row>
    <row r="1785" spans="1:8" x14ac:dyDescent="0.2">
      <c r="A1785" s="3">
        <v>46750.921492997688</v>
      </c>
      <c r="B1785" t="s">
        <v>1935</v>
      </c>
      <c r="C1785" t="s">
        <v>1152</v>
      </c>
      <c r="D1785" t="s">
        <v>1153</v>
      </c>
      <c r="E1785">
        <v>0</v>
      </c>
      <c r="F1785">
        <v>1</v>
      </c>
      <c r="G1785" t="s">
        <v>2</v>
      </c>
      <c r="H1785" cm="1">
        <f t="array" ref="H1785">-isDup(B1785,B1786,0.7)</f>
        <v>0</v>
      </c>
    </row>
    <row r="1786" spans="1:8" x14ac:dyDescent="0.2">
      <c r="A1786" s="3">
        <v>46751.921492997688</v>
      </c>
      <c r="B1786" t="s">
        <v>3</v>
      </c>
      <c r="C1786" t="s">
        <v>4</v>
      </c>
      <c r="D1786" t="s">
        <v>5</v>
      </c>
      <c r="E1786">
        <v>0</v>
      </c>
      <c r="F1786">
        <v>0</v>
      </c>
      <c r="G1786" t="s">
        <v>2</v>
      </c>
      <c r="H1786" cm="1">
        <f t="array" ref="H1786">-isDup(B1786,B1787,0.7)</f>
        <v>0</v>
      </c>
    </row>
    <row r="1787" spans="1:8" x14ac:dyDescent="0.2">
      <c r="A1787" s="3">
        <v>46752.921492997688</v>
      </c>
      <c r="B1787" t="s">
        <v>1936</v>
      </c>
      <c r="C1787" t="s">
        <v>1937</v>
      </c>
      <c r="D1787" t="s">
        <v>1938</v>
      </c>
      <c r="E1787">
        <v>0</v>
      </c>
      <c r="F1787">
        <v>0</v>
      </c>
      <c r="G1787" t="s">
        <v>2</v>
      </c>
      <c r="H1787" cm="1">
        <f t="array" ref="H1787">-isDup(B1787,B1788,0.7)</f>
        <v>0</v>
      </c>
    </row>
    <row r="1788" spans="1:8" x14ac:dyDescent="0.2">
      <c r="A1788" s="3">
        <v>46753.921492997688</v>
      </c>
      <c r="B1788" t="s">
        <v>729</v>
      </c>
      <c r="C1788" t="s">
        <v>290</v>
      </c>
      <c r="D1788" t="s">
        <v>291</v>
      </c>
      <c r="E1788">
        <v>0</v>
      </c>
      <c r="F1788">
        <v>0</v>
      </c>
      <c r="G1788" t="s">
        <v>2</v>
      </c>
      <c r="H1788" cm="1">
        <f t="array" ref="H1788">-isDup(B1788,B1789,0.7)</f>
        <v>0</v>
      </c>
    </row>
    <row r="1789" spans="1:8" x14ac:dyDescent="0.2">
      <c r="A1789" s="3">
        <v>46754.921492997688</v>
      </c>
      <c r="B1789" t="s">
        <v>997</v>
      </c>
      <c r="C1789" t="s">
        <v>1939</v>
      </c>
      <c r="D1789" t="s">
        <v>1693</v>
      </c>
      <c r="E1789">
        <v>0</v>
      </c>
      <c r="F1789">
        <v>0</v>
      </c>
      <c r="G1789" t="s">
        <v>2</v>
      </c>
      <c r="H1789" cm="1">
        <f t="array" ref="H1789">-isDup(B1789,B1790,0.7)</f>
        <v>0</v>
      </c>
    </row>
    <row r="1790" spans="1:8" x14ac:dyDescent="0.2">
      <c r="A1790" s="3">
        <v>46755.921492997688</v>
      </c>
      <c r="B1790" t="s">
        <v>735</v>
      </c>
      <c r="C1790" t="s">
        <v>98</v>
      </c>
      <c r="D1790" t="s">
        <v>13</v>
      </c>
      <c r="E1790">
        <v>0</v>
      </c>
      <c r="F1790">
        <v>0</v>
      </c>
      <c r="G1790" t="s">
        <v>2</v>
      </c>
      <c r="H1790" cm="1">
        <f t="array" ref="H1790">-isDup(B1790,B1791,0.7)</f>
        <v>0</v>
      </c>
    </row>
    <row r="1791" spans="1:8" x14ac:dyDescent="0.2">
      <c r="A1791" s="3">
        <v>46756.921492997688</v>
      </c>
      <c r="B1791" t="s">
        <v>325</v>
      </c>
      <c r="C1791" t="s">
        <v>143</v>
      </c>
      <c r="D1791" t="s">
        <v>129</v>
      </c>
      <c r="E1791">
        <v>0</v>
      </c>
      <c r="F1791">
        <v>0</v>
      </c>
      <c r="G1791" t="s">
        <v>2</v>
      </c>
      <c r="H1791" cm="1">
        <f t="array" ref="H1791">-isDup(B1791,B1792,0.7)</f>
        <v>0</v>
      </c>
    </row>
    <row r="1792" spans="1:8" x14ac:dyDescent="0.2">
      <c r="A1792" s="3">
        <v>46757.921492997688</v>
      </c>
      <c r="B1792" t="s">
        <v>1940</v>
      </c>
      <c r="C1792" t="s">
        <v>1941</v>
      </c>
      <c r="D1792" t="s">
        <v>1942</v>
      </c>
      <c r="E1792">
        <v>1</v>
      </c>
      <c r="F1792">
        <v>4</v>
      </c>
      <c r="G1792" t="s">
        <v>2</v>
      </c>
      <c r="H1792" cm="1">
        <f t="array" ref="H1792">-isDup(B1792,B1793,0.7)</f>
        <v>0</v>
      </c>
    </row>
    <row r="1793" spans="1:8" x14ac:dyDescent="0.2">
      <c r="A1793" s="3">
        <v>46758.921492997688</v>
      </c>
      <c r="B1793" t="s">
        <v>1943</v>
      </c>
      <c r="C1793" t="s">
        <v>1106</v>
      </c>
      <c r="D1793" t="s">
        <v>1107</v>
      </c>
      <c r="E1793">
        <v>50</v>
      </c>
      <c r="F1793">
        <v>45</v>
      </c>
      <c r="G1793" t="s">
        <v>2</v>
      </c>
      <c r="H1793" cm="1">
        <f t="array" ref="H1793">-isDup(B1793,B1794,0.7)</f>
        <v>0</v>
      </c>
    </row>
    <row r="1794" spans="1:8" x14ac:dyDescent="0.2">
      <c r="A1794" s="3">
        <v>46759.921492997688</v>
      </c>
      <c r="B1794" t="s">
        <v>1828</v>
      </c>
      <c r="C1794" t="s">
        <v>143</v>
      </c>
      <c r="D1794" t="s">
        <v>129</v>
      </c>
      <c r="E1794">
        <v>0</v>
      </c>
      <c r="F1794">
        <v>0</v>
      </c>
      <c r="G1794" t="s">
        <v>2</v>
      </c>
      <c r="H1794" cm="1">
        <f t="array" ref="H1794">-isDup(B1794,B1795,0.7)</f>
        <v>0</v>
      </c>
    </row>
    <row r="1795" spans="1:8" x14ac:dyDescent="0.2">
      <c r="A1795" s="3">
        <v>46760.921492997688</v>
      </c>
      <c r="B1795" t="s">
        <v>1944</v>
      </c>
      <c r="C1795" t="s">
        <v>1945</v>
      </c>
      <c r="E1795">
        <v>0</v>
      </c>
      <c r="F1795">
        <v>0</v>
      </c>
      <c r="G1795" t="s">
        <v>2</v>
      </c>
      <c r="H1795" cm="1">
        <f t="array" ref="H1795">-isDup(B1795,B1796,0.7)</f>
        <v>0</v>
      </c>
    </row>
    <row r="1796" spans="1:8" x14ac:dyDescent="0.2">
      <c r="A1796" s="3">
        <v>46761.921492997688</v>
      </c>
      <c r="B1796" t="s">
        <v>1946</v>
      </c>
      <c r="C1796" t="s">
        <v>1847</v>
      </c>
      <c r="D1796" t="s">
        <v>1947</v>
      </c>
      <c r="E1796">
        <v>0</v>
      </c>
      <c r="F1796">
        <v>0</v>
      </c>
      <c r="G1796" t="s">
        <v>2</v>
      </c>
      <c r="H1796" cm="1">
        <f t="array" ref="H1796">-isDup(B1796,B1797,0.7)</f>
        <v>0</v>
      </c>
    </row>
    <row r="1797" spans="1:8" x14ac:dyDescent="0.2">
      <c r="A1797" s="3">
        <v>46762.921492997688</v>
      </c>
      <c r="B1797" t="s">
        <v>1948</v>
      </c>
      <c r="C1797" t="s">
        <v>1847</v>
      </c>
      <c r="D1797" t="s">
        <v>1947</v>
      </c>
      <c r="E1797">
        <v>1</v>
      </c>
      <c r="F1797">
        <v>3</v>
      </c>
      <c r="G1797" t="s">
        <v>2</v>
      </c>
      <c r="H1797" cm="1">
        <f t="array" ref="H1797">-isDup(B1797,B1798,0.7)</f>
        <v>0</v>
      </c>
    </row>
    <row r="1798" spans="1:8" x14ac:dyDescent="0.2">
      <c r="A1798" s="3">
        <v>46763.921492997688</v>
      </c>
      <c r="B1798" t="s">
        <v>1949</v>
      </c>
      <c r="C1798" t="s">
        <v>1950</v>
      </c>
      <c r="E1798">
        <v>0</v>
      </c>
      <c r="F1798">
        <v>0</v>
      </c>
      <c r="G1798" t="s">
        <v>2</v>
      </c>
      <c r="H1798" cm="1">
        <f t="array" ref="H1798">-isDup(B1798,B1799,0.7)</f>
        <v>0</v>
      </c>
    </row>
    <row r="1799" spans="1:8" x14ac:dyDescent="0.2">
      <c r="A1799" s="3">
        <v>46764.921492997688</v>
      </c>
      <c r="B1799" t="s">
        <v>218</v>
      </c>
      <c r="C1799" t="s">
        <v>22</v>
      </c>
      <c r="E1799">
        <v>0</v>
      </c>
      <c r="F1799">
        <v>0</v>
      </c>
      <c r="G1799" t="s">
        <v>2</v>
      </c>
      <c r="H1799" cm="1">
        <f t="array" ref="H1799">-isDup(B1799,B1800,0.7)</f>
        <v>0</v>
      </c>
    </row>
    <row r="1800" spans="1:8" x14ac:dyDescent="0.2">
      <c r="A1800" s="3">
        <v>46765.921492997688</v>
      </c>
      <c r="B1800" t="s">
        <v>1533</v>
      </c>
      <c r="C1800" t="s">
        <v>98</v>
      </c>
      <c r="D1800" t="s">
        <v>13</v>
      </c>
      <c r="E1800">
        <v>0</v>
      </c>
      <c r="F1800">
        <v>0</v>
      </c>
      <c r="G1800" t="s">
        <v>2</v>
      </c>
      <c r="H1800" cm="1">
        <f t="array" ref="H1800">-isDup(B1800,B1801,0.7)</f>
        <v>0</v>
      </c>
    </row>
    <row r="1801" spans="1:8" x14ac:dyDescent="0.2">
      <c r="A1801" s="3">
        <v>46766.921492997688</v>
      </c>
      <c r="B1801" t="s">
        <v>1951</v>
      </c>
      <c r="C1801" t="s">
        <v>1952</v>
      </c>
      <c r="D1801" t="s">
        <v>1953</v>
      </c>
      <c r="E1801">
        <v>0</v>
      </c>
      <c r="F1801">
        <v>1</v>
      </c>
      <c r="G1801" t="s">
        <v>2</v>
      </c>
      <c r="H1801" cm="1">
        <f t="array" ref="H1801">-isDup(B1801,B1802,0.7)</f>
        <v>0</v>
      </c>
    </row>
    <row r="1802" spans="1:8" x14ac:dyDescent="0.2">
      <c r="A1802" s="3">
        <v>46767.921492997688</v>
      </c>
      <c r="B1802" t="s">
        <v>1954</v>
      </c>
      <c r="C1802" t="s">
        <v>7</v>
      </c>
      <c r="E1802">
        <v>0</v>
      </c>
      <c r="F1802">
        <v>0</v>
      </c>
      <c r="G1802" t="s">
        <v>2</v>
      </c>
      <c r="H1802" cm="1">
        <f t="array" ref="H1802">-isDup(B1802,B1803,0.7)</f>
        <v>0</v>
      </c>
    </row>
    <row r="1803" spans="1:8" x14ac:dyDescent="0.2">
      <c r="A1803" s="3">
        <v>46768.921492997688</v>
      </c>
      <c r="B1803" t="s">
        <v>1955</v>
      </c>
      <c r="C1803" t="s">
        <v>171</v>
      </c>
      <c r="E1803">
        <v>0</v>
      </c>
      <c r="F1803">
        <v>0</v>
      </c>
      <c r="G1803" t="s">
        <v>2</v>
      </c>
      <c r="H1803" cm="1">
        <f t="array" ref="H1803">-isDup(B1803,B1804,0.7)</f>
        <v>0</v>
      </c>
    </row>
    <row r="1804" spans="1:8" x14ac:dyDescent="0.2">
      <c r="A1804" s="3">
        <v>46769.921492997688</v>
      </c>
      <c r="B1804" t="s">
        <v>36</v>
      </c>
      <c r="C1804" t="s">
        <v>33</v>
      </c>
      <c r="D1804" t="s">
        <v>34</v>
      </c>
      <c r="E1804">
        <v>0</v>
      </c>
      <c r="F1804">
        <v>0</v>
      </c>
      <c r="G1804" t="s">
        <v>2</v>
      </c>
      <c r="H1804" cm="1">
        <f t="array" ref="H1804">-isDup(B1804,B1805,0.7)</f>
        <v>0</v>
      </c>
    </row>
    <row r="1805" spans="1:8" x14ac:dyDescent="0.2">
      <c r="A1805" s="3">
        <v>46770.921492997688</v>
      </c>
      <c r="B1805" t="s">
        <v>1956</v>
      </c>
      <c r="C1805" t="s">
        <v>33</v>
      </c>
      <c r="D1805" t="s">
        <v>34</v>
      </c>
      <c r="E1805">
        <v>0</v>
      </c>
      <c r="F1805">
        <v>0</v>
      </c>
      <c r="G1805" t="s">
        <v>2</v>
      </c>
      <c r="H1805" cm="1">
        <f t="array" ref="H1805">-isDup(B1805,B1806,0.7)</f>
        <v>0</v>
      </c>
    </row>
    <row r="1806" spans="1:8" x14ac:dyDescent="0.2">
      <c r="A1806" s="3">
        <v>46771.921492997688</v>
      </c>
      <c r="B1806" t="s">
        <v>37</v>
      </c>
      <c r="C1806" t="s">
        <v>33</v>
      </c>
      <c r="D1806" t="s">
        <v>34</v>
      </c>
      <c r="E1806">
        <v>0</v>
      </c>
      <c r="F1806">
        <v>0</v>
      </c>
      <c r="G1806" t="s">
        <v>2</v>
      </c>
      <c r="H1806" cm="1">
        <f t="array" ref="H1806">-isDup(B1806,B1807,0.7)</f>
        <v>-1</v>
      </c>
    </row>
    <row r="1807" spans="1:8" x14ac:dyDescent="0.2">
      <c r="A1807" s="3">
        <v>46772.921492997688</v>
      </c>
      <c r="B1807" t="s">
        <v>35</v>
      </c>
      <c r="C1807" t="s">
        <v>33</v>
      </c>
      <c r="D1807" t="s">
        <v>34</v>
      </c>
      <c r="E1807">
        <v>0</v>
      </c>
      <c r="F1807">
        <v>0</v>
      </c>
      <c r="G1807" t="s">
        <v>2</v>
      </c>
      <c r="H1807" cm="1">
        <f t="array" ref="H1807">-isDup(B1807,B1808,0.7)</f>
        <v>0</v>
      </c>
    </row>
    <row r="1808" spans="1:8" x14ac:dyDescent="0.2">
      <c r="A1808" s="3">
        <v>46773.921492997688</v>
      </c>
      <c r="B1808" t="s">
        <v>1957</v>
      </c>
      <c r="C1808" t="s">
        <v>905</v>
      </c>
      <c r="D1808" t="s">
        <v>1958</v>
      </c>
      <c r="E1808">
        <v>0</v>
      </c>
      <c r="F1808">
        <v>0</v>
      </c>
      <c r="G1808" t="s">
        <v>2</v>
      </c>
      <c r="H1808" cm="1">
        <f t="array" ref="H1808">-isDup(B1808,B1809,0.7)</f>
        <v>0</v>
      </c>
    </row>
    <row r="1809" spans="1:8" x14ac:dyDescent="0.2">
      <c r="A1809" s="3">
        <v>46774.921492997688</v>
      </c>
      <c r="B1809" t="s">
        <v>1959</v>
      </c>
      <c r="C1809" t="s">
        <v>1960</v>
      </c>
      <c r="D1809" t="s">
        <v>786</v>
      </c>
      <c r="E1809">
        <v>0</v>
      </c>
      <c r="F1809">
        <v>1</v>
      </c>
      <c r="G1809" t="s">
        <v>2</v>
      </c>
      <c r="H1809" cm="1">
        <f t="array" ref="H1809">-isDup(B1809,B1810,0.7)</f>
        <v>0</v>
      </c>
    </row>
    <row r="1810" spans="1:8" x14ac:dyDescent="0.2">
      <c r="A1810" s="3">
        <v>46775.921492997688</v>
      </c>
      <c r="B1810" t="s">
        <v>3</v>
      </c>
      <c r="C1810" t="s">
        <v>4</v>
      </c>
      <c r="D1810" t="s">
        <v>5</v>
      </c>
      <c r="E1810">
        <v>0</v>
      </c>
      <c r="F1810">
        <v>0</v>
      </c>
      <c r="G1810" t="s">
        <v>2</v>
      </c>
      <c r="H1810" cm="1">
        <f t="array" ref="H1810">-isDup(B1810,B1811,0.7)</f>
        <v>0</v>
      </c>
    </row>
    <row r="1811" spans="1:8" x14ac:dyDescent="0.2">
      <c r="A1811" s="3">
        <v>46776.921492997688</v>
      </c>
      <c r="B1811" t="s">
        <v>1961</v>
      </c>
      <c r="C1811" t="s">
        <v>1962</v>
      </c>
      <c r="E1811">
        <v>0</v>
      </c>
      <c r="F1811">
        <v>0</v>
      </c>
      <c r="G1811" t="s">
        <v>2</v>
      </c>
      <c r="H1811" cm="1">
        <f t="array" ref="H1811">-isDup(B1811,B1812,0.7)</f>
        <v>0</v>
      </c>
    </row>
    <row r="1812" spans="1:8" x14ac:dyDescent="0.2">
      <c r="A1812" s="3">
        <v>46777.921492997688</v>
      </c>
      <c r="B1812" t="s">
        <v>1963</v>
      </c>
      <c r="C1812" t="s">
        <v>1964</v>
      </c>
      <c r="E1812">
        <v>0</v>
      </c>
      <c r="F1812">
        <v>0</v>
      </c>
      <c r="G1812" t="s">
        <v>2</v>
      </c>
      <c r="H1812" cm="1">
        <f t="array" ref="H1812">-isDup(B1812,B1813,0.7)</f>
        <v>0</v>
      </c>
    </row>
    <row r="1813" spans="1:8" x14ac:dyDescent="0.2">
      <c r="A1813" s="3">
        <v>46778.921492997688</v>
      </c>
      <c r="B1813" t="s">
        <v>1965</v>
      </c>
      <c r="C1813" t="s">
        <v>1962</v>
      </c>
      <c r="E1813">
        <v>0</v>
      </c>
      <c r="F1813">
        <v>0</v>
      </c>
      <c r="G1813" t="s">
        <v>2</v>
      </c>
      <c r="H1813" cm="1">
        <f t="array" ref="H1813">-isDup(B1813,B1814,0.7)</f>
        <v>0</v>
      </c>
    </row>
    <row r="1814" spans="1:8" x14ac:dyDescent="0.2">
      <c r="A1814" s="3">
        <v>46779.921492997688</v>
      </c>
      <c r="B1814" t="s">
        <v>1966</v>
      </c>
      <c r="C1814" t="s">
        <v>1268</v>
      </c>
      <c r="D1814" t="s">
        <v>1269</v>
      </c>
      <c r="E1814">
        <v>0</v>
      </c>
      <c r="F1814">
        <v>1</v>
      </c>
      <c r="G1814" t="s">
        <v>2</v>
      </c>
      <c r="H1814" cm="1">
        <f t="array" ref="H1814">-isDup(B1814,B1815,0.7)</f>
        <v>0</v>
      </c>
    </row>
    <row r="1815" spans="1:8" x14ac:dyDescent="0.2">
      <c r="A1815" s="3">
        <v>46780.921492997688</v>
      </c>
      <c r="B1815" t="s">
        <v>1967</v>
      </c>
      <c r="C1815" t="s">
        <v>1968</v>
      </c>
      <c r="D1815" t="s">
        <v>1969</v>
      </c>
      <c r="E1815">
        <v>0</v>
      </c>
      <c r="F1815">
        <v>0</v>
      </c>
      <c r="G1815" t="s">
        <v>2</v>
      </c>
      <c r="H1815" cm="1">
        <f t="array" ref="H1815">-isDup(B1815,B1816,0.7)</f>
        <v>0</v>
      </c>
    </row>
    <row r="1816" spans="1:8" x14ac:dyDescent="0.2">
      <c r="A1816" s="3">
        <v>46781.921492997688</v>
      </c>
      <c r="B1816" t="s">
        <v>1970</v>
      </c>
      <c r="C1816" t="s">
        <v>1971</v>
      </c>
      <c r="D1816" t="s">
        <v>786</v>
      </c>
      <c r="E1816">
        <v>3</v>
      </c>
      <c r="F1816">
        <v>7</v>
      </c>
      <c r="G1816" t="s">
        <v>2</v>
      </c>
      <c r="H1816" cm="1">
        <f t="array" ref="H1816">-isDup(B1816,B1817,0.7)</f>
        <v>0</v>
      </c>
    </row>
    <row r="1817" spans="1:8" x14ac:dyDescent="0.2">
      <c r="A1817" s="3">
        <v>46782.921492997688</v>
      </c>
      <c r="B1817" t="s">
        <v>1972</v>
      </c>
      <c r="C1817" t="s">
        <v>1973</v>
      </c>
      <c r="E1817">
        <v>0</v>
      </c>
      <c r="F1817">
        <v>1</v>
      </c>
      <c r="G1817" t="s">
        <v>2</v>
      </c>
      <c r="H1817" cm="1">
        <f t="array" ref="H1817">-isDup(B1817,B1818,0.7)</f>
        <v>0</v>
      </c>
    </row>
    <row r="1818" spans="1:8" x14ac:dyDescent="0.2">
      <c r="A1818" s="3">
        <v>46783.921492997688</v>
      </c>
      <c r="B1818" t="s">
        <v>1974</v>
      </c>
      <c r="C1818" t="s">
        <v>1975</v>
      </c>
      <c r="D1818" t="s">
        <v>1976</v>
      </c>
      <c r="E1818">
        <v>0</v>
      </c>
      <c r="F1818">
        <v>0</v>
      </c>
      <c r="G1818" t="s">
        <v>2</v>
      </c>
      <c r="H1818" cm="1">
        <f t="array" ref="H1818">-isDup(B1818,B1819,0.7)</f>
        <v>0</v>
      </c>
    </row>
    <row r="1819" spans="1:8" x14ac:dyDescent="0.2">
      <c r="A1819" s="3">
        <v>46784.921492997688</v>
      </c>
      <c r="B1819" t="s">
        <v>1977</v>
      </c>
      <c r="C1819" t="s">
        <v>1978</v>
      </c>
      <c r="D1819" t="s">
        <v>1979</v>
      </c>
      <c r="E1819">
        <v>0</v>
      </c>
      <c r="F1819">
        <v>1</v>
      </c>
      <c r="G1819" t="s">
        <v>2</v>
      </c>
      <c r="H1819" cm="1">
        <f t="array" ref="H1819">-isDup(B1819,B1820,0.7)</f>
        <v>0</v>
      </c>
    </row>
    <row r="1820" spans="1:8" x14ac:dyDescent="0.2">
      <c r="A1820" s="3">
        <v>46785.921492997688</v>
      </c>
      <c r="B1820" t="s">
        <v>1980</v>
      </c>
      <c r="C1820" t="s">
        <v>1981</v>
      </c>
      <c r="D1820" t="s">
        <v>278</v>
      </c>
      <c r="E1820">
        <v>0</v>
      </c>
      <c r="F1820">
        <v>0</v>
      </c>
      <c r="G1820" t="s">
        <v>2</v>
      </c>
      <c r="H1820" cm="1">
        <f t="array" ref="H1820">-isDup(B1820,B1821,0.7)</f>
        <v>0</v>
      </c>
    </row>
    <row r="1821" spans="1:8" x14ac:dyDescent="0.2">
      <c r="A1821" s="3">
        <v>46786.921492997688</v>
      </c>
      <c r="B1821" t="s">
        <v>1982</v>
      </c>
      <c r="C1821" t="s">
        <v>1983</v>
      </c>
      <c r="D1821" t="s">
        <v>1984</v>
      </c>
      <c r="E1821">
        <v>1</v>
      </c>
      <c r="F1821">
        <v>1</v>
      </c>
      <c r="G1821" t="s">
        <v>2</v>
      </c>
      <c r="H1821" cm="1">
        <f t="array" ref="H1821">-isDup(B1821,B1822,0.7)</f>
        <v>0</v>
      </c>
    </row>
    <row r="1822" spans="1:8" x14ac:dyDescent="0.2">
      <c r="A1822" s="3">
        <v>46787.921492997688</v>
      </c>
      <c r="B1822" t="s">
        <v>1985</v>
      </c>
      <c r="C1822" t="s">
        <v>956</v>
      </c>
      <c r="E1822">
        <v>0</v>
      </c>
      <c r="F1822">
        <v>2</v>
      </c>
      <c r="G1822" t="s">
        <v>2</v>
      </c>
      <c r="H1822" cm="1">
        <f t="array" ref="H1822">-isDup(B1822,B1823,0.7)</f>
        <v>0</v>
      </c>
    </row>
    <row r="1823" spans="1:8" x14ac:dyDescent="0.2">
      <c r="A1823" s="3">
        <v>46788.921492997688</v>
      </c>
      <c r="B1823" t="s">
        <v>1986</v>
      </c>
      <c r="C1823" t="s">
        <v>1564</v>
      </c>
      <c r="E1823">
        <v>0</v>
      </c>
      <c r="F1823">
        <v>0</v>
      </c>
      <c r="G1823" t="s">
        <v>2</v>
      </c>
      <c r="H1823" cm="1">
        <f t="array" ref="H1823">-isDup(B1823,B1824,0.7)</f>
        <v>0</v>
      </c>
    </row>
    <row r="1824" spans="1:8" x14ac:dyDescent="0.2">
      <c r="A1824" s="3">
        <v>46789.921492997688</v>
      </c>
      <c r="B1824" t="s">
        <v>806</v>
      </c>
      <c r="C1824" t="s">
        <v>134</v>
      </c>
      <c r="E1824">
        <v>0</v>
      </c>
      <c r="F1824">
        <v>0</v>
      </c>
      <c r="G1824" t="s">
        <v>2</v>
      </c>
      <c r="H1824" cm="1">
        <f t="array" ref="H1824">-isDup(B1824,B1825,0.7)</f>
        <v>0</v>
      </c>
    </row>
    <row r="1825" spans="1:8" x14ac:dyDescent="0.2">
      <c r="A1825" s="3">
        <v>46790.921492997688</v>
      </c>
      <c r="B1825" t="s">
        <v>1987</v>
      </c>
      <c r="C1825" t="s">
        <v>1988</v>
      </c>
      <c r="E1825">
        <v>0</v>
      </c>
      <c r="F1825">
        <v>0</v>
      </c>
      <c r="G1825" t="s">
        <v>2</v>
      </c>
      <c r="H1825" cm="1">
        <f t="array" ref="H1825">-isDup(B1825,B1826,0.7)</f>
        <v>0</v>
      </c>
    </row>
    <row r="1826" spans="1:8" x14ac:dyDescent="0.2">
      <c r="A1826" s="3">
        <v>46791.921492997688</v>
      </c>
      <c r="B1826" t="s">
        <v>476</v>
      </c>
      <c r="C1826" t="s">
        <v>143</v>
      </c>
      <c r="D1826" t="s">
        <v>129</v>
      </c>
      <c r="E1826">
        <v>0</v>
      </c>
      <c r="F1826">
        <v>0</v>
      </c>
      <c r="G1826" t="s">
        <v>2</v>
      </c>
      <c r="H1826" cm="1">
        <f t="array" ref="H1826">-isDup(B1826,B1827,0.7)</f>
        <v>0</v>
      </c>
    </row>
    <row r="1827" spans="1:8" x14ac:dyDescent="0.2">
      <c r="A1827" s="3">
        <v>46792.921492997688</v>
      </c>
      <c r="B1827" t="s">
        <v>141</v>
      </c>
      <c r="C1827" t="s">
        <v>143</v>
      </c>
      <c r="D1827" t="s">
        <v>129</v>
      </c>
      <c r="E1827">
        <v>0</v>
      </c>
      <c r="F1827">
        <v>0</v>
      </c>
      <c r="G1827" t="s">
        <v>2</v>
      </c>
      <c r="H1827" cm="1">
        <f t="array" ref="H1827">-isDup(B1827,B1828,0.7)</f>
        <v>0</v>
      </c>
    </row>
    <row r="1828" spans="1:8" x14ac:dyDescent="0.2">
      <c r="A1828" s="3">
        <v>46793.921492997688</v>
      </c>
      <c r="B1828" t="s">
        <v>1989</v>
      </c>
      <c r="C1828" t="s">
        <v>1983</v>
      </c>
      <c r="D1828" t="s">
        <v>1984</v>
      </c>
      <c r="E1828">
        <v>0</v>
      </c>
      <c r="F1828">
        <v>0</v>
      </c>
      <c r="G1828" t="s">
        <v>2</v>
      </c>
      <c r="H1828" cm="1">
        <f t="array" ref="H1828">-isDup(B1828,B1829,0.7)</f>
        <v>0</v>
      </c>
    </row>
    <row r="1829" spans="1:8" x14ac:dyDescent="0.2">
      <c r="A1829" s="3">
        <v>46794.921492997688</v>
      </c>
      <c r="B1829" t="s">
        <v>3</v>
      </c>
      <c r="C1829" t="s">
        <v>4</v>
      </c>
      <c r="D1829" t="s">
        <v>5</v>
      </c>
      <c r="E1829">
        <v>0</v>
      </c>
      <c r="F1829">
        <v>0</v>
      </c>
      <c r="G1829" t="s">
        <v>2</v>
      </c>
      <c r="H1829" cm="1">
        <f t="array" ref="H1829">-isDup(B1829,B1830,0.7)</f>
        <v>0</v>
      </c>
    </row>
    <row r="1830" spans="1:8" x14ac:dyDescent="0.2">
      <c r="A1830" s="3">
        <v>46795.921492997688</v>
      </c>
      <c r="B1830" t="s">
        <v>21</v>
      </c>
      <c r="C1830" t="s">
        <v>22</v>
      </c>
      <c r="E1830">
        <v>0</v>
      </c>
      <c r="F1830">
        <v>0</v>
      </c>
      <c r="G1830" t="s">
        <v>2</v>
      </c>
      <c r="H1830" cm="1">
        <f t="array" ref="H1830">-isDup(B1830,B1831,0.7)</f>
        <v>0</v>
      </c>
    </row>
    <row r="1831" spans="1:8" x14ac:dyDescent="0.2">
      <c r="A1831" s="3">
        <v>46796.921492997688</v>
      </c>
      <c r="B1831" t="s">
        <v>1990</v>
      </c>
      <c r="C1831" t="s">
        <v>1415</v>
      </c>
      <c r="D1831" t="s">
        <v>210</v>
      </c>
      <c r="E1831">
        <v>0</v>
      </c>
      <c r="F1831">
        <v>0</v>
      </c>
      <c r="G1831" t="s">
        <v>2</v>
      </c>
      <c r="H1831" cm="1">
        <f t="array" ref="H1831">-isDup(B1831,B1832,0.7)</f>
        <v>0</v>
      </c>
    </row>
    <row r="1832" spans="1:8" x14ac:dyDescent="0.2">
      <c r="A1832" s="3">
        <v>46797.921492997688</v>
      </c>
      <c r="B1832" t="s">
        <v>1991</v>
      </c>
      <c r="C1832" t="s">
        <v>1992</v>
      </c>
      <c r="E1832">
        <v>0</v>
      </c>
      <c r="F1832">
        <v>0</v>
      </c>
      <c r="G1832" t="s">
        <v>2</v>
      </c>
      <c r="H1832" cm="1">
        <f t="array" ref="H1832">-isDup(B1832,B1833,0.7)</f>
        <v>0</v>
      </c>
    </row>
    <row r="1833" spans="1:8" x14ac:dyDescent="0.2">
      <c r="A1833" s="3">
        <v>46798.921492997688</v>
      </c>
      <c r="B1833" t="s">
        <v>1993</v>
      </c>
      <c r="C1833" t="s">
        <v>1912</v>
      </c>
      <c r="D1833" t="s">
        <v>189</v>
      </c>
      <c r="E1833">
        <v>0</v>
      </c>
      <c r="F1833">
        <v>0</v>
      </c>
      <c r="G1833" t="s">
        <v>2</v>
      </c>
      <c r="H1833" cm="1">
        <f t="array" ref="H1833">-isDup(B1833,B1834,0.7)</f>
        <v>0</v>
      </c>
    </row>
    <row r="1834" spans="1:8" x14ac:dyDescent="0.2">
      <c r="A1834" s="3">
        <v>46799.921492997688</v>
      </c>
      <c r="B1834" t="s">
        <v>35</v>
      </c>
      <c r="C1834" t="s">
        <v>33</v>
      </c>
      <c r="D1834" t="s">
        <v>34</v>
      </c>
      <c r="E1834">
        <v>0</v>
      </c>
      <c r="F1834">
        <v>0</v>
      </c>
      <c r="G1834" t="s">
        <v>2</v>
      </c>
      <c r="H1834" cm="1">
        <f t="array" ref="H1834">-isDup(B1834,B1835,0.7)</f>
        <v>-1</v>
      </c>
    </row>
    <row r="1835" spans="1:8" x14ac:dyDescent="0.2">
      <c r="A1835" s="3">
        <v>46800.921492997688</v>
      </c>
      <c r="B1835" t="s">
        <v>1994</v>
      </c>
      <c r="C1835" t="s">
        <v>33</v>
      </c>
      <c r="D1835" t="s">
        <v>34</v>
      </c>
      <c r="E1835">
        <v>0</v>
      </c>
      <c r="F1835">
        <v>0</v>
      </c>
      <c r="G1835" t="s">
        <v>2</v>
      </c>
      <c r="H1835" cm="1">
        <f t="array" ref="H1835">-isDup(B1835,B1836,0.7)</f>
        <v>0</v>
      </c>
    </row>
    <row r="1836" spans="1:8" x14ac:dyDescent="0.2">
      <c r="A1836" s="3">
        <v>46801.921492997688</v>
      </c>
      <c r="B1836" t="s">
        <v>37</v>
      </c>
      <c r="C1836" t="s">
        <v>33</v>
      </c>
      <c r="D1836" t="s">
        <v>34</v>
      </c>
      <c r="E1836">
        <v>0</v>
      </c>
      <c r="F1836">
        <v>0</v>
      </c>
      <c r="G1836" t="s">
        <v>2</v>
      </c>
      <c r="H1836" cm="1">
        <f t="array" ref="H1836">-isDup(B1836,B1837,0.7)</f>
        <v>0</v>
      </c>
    </row>
    <row r="1837" spans="1:8" x14ac:dyDescent="0.2">
      <c r="A1837" s="3">
        <v>46802.921492997688</v>
      </c>
      <c r="B1837" t="s">
        <v>36</v>
      </c>
      <c r="C1837" t="s">
        <v>33</v>
      </c>
      <c r="D1837" t="s">
        <v>34</v>
      </c>
      <c r="E1837">
        <v>0</v>
      </c>
      <c r="F1837">
        <v>0</v>
      </c>
      <c r="G1837" t="s">
        <v>2</v>
      </c>
      <c r="H1837" cm="1">
        <f t="array" ref="H1837">-isDup(B1837,B1838,0.7)</f>
        <v>0</v>
      </c>
    </row>
    <row r="1838" spans="1:8" x14ac:dyDescent="0.2">
      <c r="A1838" s="3">
        <v>46803.921492997688</v>
      </c>
      <c r="B1838" t="s">
        <v>1995</v>
      </c>
      <c r="C1838" t="s">
        <v>1996</v>
      </c>
      <c r="E1838">
        <v>0</v>
      </c>
      <c r="F1838">
        <v>1</v>
      </c>
      <c r="G1838" t="s">
        <v>2</v>
      </c>
      <c r="H1838" cm="1">
        <f t="array" ref="H1838">-isDup(B1838,B1839,0.7)</f>
        <v>0</v>
      </c>
    </row>
    <row r="1839" spans="1:8" x14ac:dyDescent="0.2">
      <c r="A1839" s="3">
        <v>46804.921492997688</v>
      </c>
      <c r="B1839" t="s">
        <v>1997</v>
      </c>
      <c r="C1839" t="s">
        <v>1912</v>
      </c>
      <c r="D1839" t="s">
        <v>189</v>
      </c>
      <c r="E1839">
        <v>0</v>
      </c>
      <c r="F1839">
        <v>0</v>
      </c>
      <c r="G1839" t="s">
        <v>2</v>
      </c>
      <c r="H1839" cm="1">
        <f t="array" ref="H1839">-isDup(B1839,B1840,0.7)</f>
        <v>0</v>
      </c>
    </row>
    <row r="1840" spans="1:8" x14ac:dyDescent="0.2">
      <c r="A1840" s="3">
        <v>46805.921492997688</v>
      </c>
      <c r="B1840" t="s">
        <v>1998</v>
      </c>
      <c r="C1840" t="s">
        <v>1999</v>
      </c>
      <c r="E1840">
        <v>0</v>
      </c>
      <c r="F1840">
        <v>2</v>
      </c>
      <c r="G1840" t="s">
        <v>2</v>
      </c>
      <c r="H1840" cm="1">
        <f t="array" ref="H1840">-isDup(B1840,B1841,0.7)</f>
        <v>0</v>
      </c>
    </row>
    <row r="1841" spans="1:8" x14ac:dyDescent="0.2">
      <c r="A1841" s="3">
        <v>46806.921492997688</v>
      </c>
      <c r="B1841" t="s">
        <v>2000</v>
      </c>
      <c r="C1841" t="s">
        <v>1240</v>
      </c>
      <c r="E1841">
        <v>0</v>
      </c>
      <c r="F1841">
        <v>0</v>
      </c>
      <c r="G1841" t="s">
        <v>2</v>
      </c>
      <c r="H1841" cm="1">
        <f t="array" ref="H1841">-isDup(B1841,B1842,0.7)</f>
        <v>0</v>
      </c>
    </row>
    <row r="1842" spans="1:8" x14ac:dyDescent="0.2">
      <c r="A1842" s="3">
        <v>46807.921492997688</v>
      </c>
      <c r="B1842" t="s">
        <v>2001</v>
      </c>
      <c r="C1842" t="s">
        <v>290</v>
      </c>
      <c r="D1842" t="s">
        <v>291</v>
      </c>
      <c r="E1842">
        <v>0</v>
      </c>
      <c r="F1842">
        <v>0</v>
      </c>
      <c r="G1842" t="s">
        <v>2</v>
      </c>
      <c r="H1842" cm="1">
        <f t="array" ref="H1842">-isDup(B1842,B1843,0.7)</f>
        <v>0</v>
      </c>
    </row>
    <row r="1843" spans="1:8" x14ac:dyDescent="0.2">
      <c r="A1843" s="3">
        <v>46808.921492997688</v>
      </c>
      <c r="B1843" t="s">
        <v>2002</v>
      </c>
      <c r="C1843" t="s">
        <v>614</v>
      </c>
      <c r="D1843" t="s">
        <v>1695</v>
      </c>
      <c r="E1843">
        <v>0</v>
      </c>
      <c r="F1843">
        <v>0</v>
      </c>
      <c r="G1843" t="s">
        <v>2</v>
      </c>
      <c r="H1843" cm="1">
        <f t="array" ref="H1843">-isDup(B1843,B1844,0.7)</f>
        <v>0</v>
      </c>
    </row>
    <row r="1844" spans="1:8" x14ac:dyDescent="0.2">
      <c r="A1844" s="3">
        <v>46809.921492997688</v>
      </c>
      <c r="B1844" t="s">
        <v>2003</v>
      </c>
      <c r="C1844" t="s">
        <v>2004</v>
      </c>
      <c r="D1844" t="s">
        <v>2005</v>
      </c>
      <c r="E1844">
        <v>0</v>
      </c>
      <c r="F1844">
        <v>1</v>
      </c>
      <c r="G1844" t="s">
        <v>2</v>
      </c>
      <c r="H1844" cm="1">
        <f t="array" ref="H1844">-isDup(B1844,B1845,0.7)</f>
        <v>0</v>
      </c>
    </row>
    <row r="1845" spans="1:8" x14ac:dyDescent="0.2">
      <c r="A1845" s="3">
        <v>46810.921492997688</v>
      </c>
      <c r="B1845" t="s">
        <v>2006</v>
      </c>
      <c r="C1845" t="s">
        <v>1999</v>
      </c>
      <c r="E1845">
        <v>1</v>
      </c>
      <c r="F1845">
        <v>3</v>
      </c>
      <c r="G1845" t="s">
        <v>2</v>
      </c>
      <c r="H1845" cm="1">
        <f t="array" ref="H1845">-isDup(B1845,B1846,0.7)</f>
        <v>0</v>
      </c>
    </row>
    <row r="1846" spans="1:8" x14ac:dyDescent="0.2">
      <c r="A1846" s="3">
        <v>46811.921492997688</v>
      </c>
      <c r="B1846" t="s">
        <v>3</v>
      </c>
      <c r="C1846" t="s">
        <v>4</v>
      </c>
      <c r="D1846" t="s">
        <v>5</v>
      </c>
      <c r="E1846">
        <v>0</v>
      </c>
      <c r="F1846">
        <v>0</v>
      </c>
      <c r="G1846" t="s">
        <v>2</v>
      </c>
      <c r="H1846" cm="1">
        <f t="array" ref="H1846">-isDup(B1846,B1847,0.7)</f>
        <v>0</v>
      </c>
    </row>
    <row r="1847" spans="1:8" x14ac:dyDescent="0.2">
      <c r="A1847" s="3">
        <v>46812.921492997688</v>
      </c>
      <c r="B1847" t="s">
        <v>2007</v>
      </c>
      <c r="C1847" t="s">
        <v>1702</v>
      </c>
      <c r="D1847" t="s">
        <v>1703</v>
      </c>
      <c r="E1847">
        <v>0</v>
      </c>
      <c r="F1847">
        <v>0</v>
      </c>
      <c r="G1847" t="s">
        <v>2</v>
      </c>
      <c r="H1847" cm="1">
        <f t="array" ref="H1847">-isDup(B1847,B1848,0.7)</f>
        <v>0</v>
      </c>
    </row>
    <row r="1848" spans="1:8" x14ac:dyDescent="0.2">
      <c r="A1848" s="3">
        <v>46813.921492997688</v>
      </c>
      <c r="B1848" t="s">
        <v>1272</v>
      </c>
      <c r="C1848" t="s">
        <v>286</v>
      </c>
      <c r="E1848">
        <v>0</v>
      </c>
      <c r="F1848">
        <v>0</v>
      </c>
      <c r="G1848" t="s">
        <v>2</v>
      </c>
      <c r="H1848" cm="1">
        <f t="array" ref="H1848">-isDup(B1848,B1849,0.7)</f>
        <v>0</v>
      </c>
    </row>
    <row r="1849" spans="1:8" x14ac:dyDescent="0.2">
      <c r="A1849" s="3">
        <v>46814.921492997688</v>
      </c>
      <c r="B1849" t="s">
        <v>423</v>
      </c>
      <c r="C1849" t="s">
        <v>128</v>
      </c>
      <c r="D1849" t="s">
        <v>129</v>
      </c>
      <c r="E1849">
        <v>0</v>
      </c>
      <c r="F1849">
        <v>0</v>
      </c>
      <c r="G1849" t="s">
        <v>2</v>
      </c>
      <c r="H1849" cm="1">
        <f t="array" ref="H1849">-isDup(B1849,B1850,0.7)</f>
        <v>0</v>
      </c>
    </row>
    <row r="1850" spans="1:8" x14ac:dyDescent="0.2">
      <c r="A1850" s="3">
        <v>46815.921492997688</v>
      </c>
      <c r="B1850" t="s">
        <v>2008</v>
      </c>
      <c r="C1850" t="s">
        <v>286</v>
      </c>
      <c r="E1850">
        <v>0</v>
      </c>
      <c r="F1850">
        <v>0</v>
      </c>
      <c r="G1850" t="s">
        <v>2</v>
      </c>
      <c r="H1850" cm="1">
        <f t="array" ref="H1850">-isDup(B1850,B1851,0.7)</f>
        <v>0</v>
      </c>
    </row>
    <row r="1851" spans="1:8" x14ac:dyDescent="0.2">
      <c r="A1851" s="3">
        <v>46816.921492997688</v>
      </c>
      <c r="B1851" t="s">
        <v>2009</v>
      </c>
      <c r="C1851" t="s">
        <v>1453</v>
      </c>
      <c r="D1851" t="s">
        <v>1850</v>
      </c>
      <c r="E1851">
        <v>0</v>
      </c>
      <c r="F1851">
        <v>0</v>
      </c>
      <c r="G1851" t="s">
        <v>2</v>
      </c>
      <c r="H1851" cm="1">
        <f t="array" ref="H1851">-isDup(B1851,B1852,0.7)</f>
        <v>0</v>
      </c>
    </row>
    <row r="1852" spans="1:8" x14ac:dyDescent="0.2">
      <c r="A1852" s="3">
        <v>46817.921492997688</v>
      </c>
      <c r="B1852" t="s">
        <v>2010</v>
      </c>
      <c r="C1852" t="s">
        <v>1453</v>
      </c>
      <c r="D1852" t="s">
        <v>1850</v>
      </c>
      <c r="E1852">
        <v>0</v>
      </c>
      <c r="F1852">
        <v>0</v>
      </c>
      <c r="G1852" t="s">
        <v>2</v>
      </c>
      <c r="H1852" cm="1">
        <f t="array" ref="H1852">-isDup(B1852,B1853,0.7)</f>
        <v>0</v>
      </c>
    </row>
    <row r="1853" spans="1:8" x14ac:dyDescent="0.2">
      <c r="A1853" s="3">
        <v>46818.921492997688</v>
      </c>
      <c r="B1853" t="s">
        <v>2011</v>
      </c>
      <c r="C1853" t="s">
        <v>1453</v>
      </c>
      <c r="D1853" t="s">
        <v>1850</v>
      </c>
      <c r="E1853">
        <v>0</v>
      </c>
      <c r="F1853">
        <v>0</v>
      </c>
      <c r="G1853" t="s">
        <v>2</v>
      </c>
      <c r="H1853" cm="1">
        <f t="array" ref="H1853">-isDup(B1853,B1854,0.7)</f>
        <v>0</v>
      </c>
    </row>
    <row r="1854" spans="1:8" x14ac:dyDescent="0.2">
      <c r="A1854" s="3">
        <v>46819.921492997688</v>
      </c>
      <c r="B1854" t="s">
        <v>2012</v>
      </c>
      <c r="C1854" t="s">
        <v>1453</v>
      </c>
      <c r="D1854" t="s">
        <v>1850</v>
      </c>
      <c r="E1854">
        <v>0</v>
      </c>
      <c r="F1854">
        <v>0</v>
      </c>
      <c r="G1854" t="s">
        <v>2</v>
      </c>
      <c r="H1854" cm="1">
        <f t="array" ref="H1854">-isDup(B1854,B1855,0.7)</f>
        <v>0</v>
      </c>
    </row>
    <row r="1855" spans="1:8" x14ac:dyDescent="0.2">
      <c r="A1855" s="3">
        <v>46820.921492997688</v>
      </c>
      <c r="B1855" t="s">
        <v>2013</v>
      </c>
      <c r="C1855" t="s">
        <v>1453</v>
      </c>
      <c r="D1855" t="s">
        <v>1850</v>
      </c>
      <c r="E1855">
        <v>0</v>
      </c>
      <c r="F1855">
        <v>0</v>
      </c>
      <c r="G1855" t="s">
        <v>2</v>
      </c>
      <c r="H1855" cm="1">
        <f t="array" ref="H1855">-isDup(B1855,B1856,0.7)</f>
        <v>0</v>
      </c>
    </row>
    <row r="1856" spans="1:8" x14ac:dyDescent="0.2">
      <c r="A1856" s="3">
        <v>46821.921492997688</v>
      </c>
      <c r="B1856" t="s">
        <v>2014</v>
      </c>
      <c r="C1856" t="s">
        <v>620</v>
      </c>
      <c r="D1856" t="s">
        <v>2015</v>
      </c>
      <c r="E1856">
        <v>0</v>
      </c>
      <c r="F1856">
        <v>0</v>
      </c>
      <c r="G1856" t="s">
        <v>2</v>
      </c>
      <c r="H1856" cm="1">
        <f t="array" ref="H1856">-isDup(B1856,B1857,0.7)</f>
        <v>0</v>
      </c>
    </row>
    <row r="1857" spans="1:8" x14ac:dyDescent="0.2">
      <c r="A1857" s="3">
        <v>46822.921492997688</v>
      </c>
      <c r="B1857" t="s">
        <v>2016</v>
      </c>
      <c r="C1857" t="s">
        <v>1453</v>
      </c>
      <c r="D1857" t="s">
        <v>1850</v>
      </c>
      <c r="E1857">
        <v>0</v>
      </c>
      <c r="F1857">
        <v>0</v>
      </c>
      <c r="G1857" t="s">
        <v>2</v>
      </c>
      <c r="H1857" cm="1">
        <f t="array" ref="H1857">-isDup(B1857,B1858,0.7)</f>
        <v>0</v>
      </c>
    </row>
    <row r="1858" spans="1:8" x14ac:dyDescent="0.2">
      <c r="A1858" s="3">
        <v>46823.921492997688</v>
      </c>
      <c r="B1858" t="s">
        <v>2017</v>
      </c>
      <c r="C1858" t="s">
        <v>1453</v>
      </c>
      <c r="D1858" t="s">
        <v>1850</v>
      </c>
      <c r="E1858">
        <v>1</v>
      </c>
      <c r="F1858">
        <v>1</v>
      </c>
      <c r="G1858" t="s">
        <v>2</v>
      </c>
      <c r="H1858" cm="1">
        <f t="array" ref="H1858">-isDup(B1858,B1859,0.7)</f>
        <v>0</v>
      </c>
    </row>
    <row r="1859" spans="1:8" x14ac:dyDescent="0.2">
      <c r="A1859" s="3">
        <v>46824.921492997688</v>
      </c>
      <c r="B1859" t="s">
        <v>2018</v>
      </c>
      <c r="C1859" t="s">
        <v>2019</v>
      </c>
      <c r="E1859">
        <v>0</v>
      </c>
      <c r="F1859">
        <v>3</v>
      </c>
      <c r="G1859" t="s">
        <v>2</v>
      </c>
      <c r="H1859" cm="1">
        <f t="array" ref="H1859">-isDup(B1859,B1860,0.7)</f>
        <v>0</v>
      </c>
    </row>
    <row r="1860" spans="1:8" x14ac:dyDescent="0.2">
      <c r="A1860" s="3">
        <v>46825.921492997688</v>
      </c>
      <c r="B1860" t="s">
        <v>2020</v>
      </c>
      <c r="C1860" t="s">
        <v>2021</v>
      </c>
      <c r="D1860" t="s">
        <v>158</v>
      </c>
      <c r="E1860">
        <v>0</v>
      </c>
      <c r="F1860">
        <v>1</v>
      </c>
      <c r="G1860" t="s">
        <v>2</v>
      </c>
      <c r="H1860" cm="1">
        <f t="array" ref="H1860">-isDup(B1860,B1861,0.7)</f>
        <v>0</v>
      </c>
    </row>
    <row r="1861" spans="1:8" x14ac:dyDescent="0.2">
      <c r="A1861" s="3">
        <v>46826.921492997688</v>
      </c>
      <c r="B1861" t="s">
        <v>2022</v>
      </c>
      <c r="C1861" t="s">
        <v>2023</v>
      </c>
      <c r="D1861" t="s">
        <v>2024</v>
      </c>
      <c r="E1861">
        <v>0</v>
      </c>
      <c r="F1861">
        <v>2</v>
      </c>
      <c r="G1861" t="s">
        <v>2</v>
      </c>
      <c r="H1861" cm="1">
        <f t="array" ref="H1861">-isDup(B1861,B1862,0.7)</f>
        <v>0</v>
      </c>
    </row>
    <row r="1862" spans="1:8" x14ac:dyDescent="0.2">
      <c r="A1862" s="3">
        <v>46827.921492997688</v>
      </c>
      <c r="B1862" t="s">
        <v>35</v>
      </c>
      <c r="C1862" t="s">
        <v>33</v>
      </c>
      <c r="D1862" t="s">
        <v>34</v>
      </c>
      <c r="E1862">
        <v>0</v>
      </c>
      <c r="F1862">
        <v>0</v>
      </c>
      <c r="G1862" t="s">
        <v>2</v>
      </c>
      <c r="H1862" cm="1">
        <f t="array" ref="H1862">-isDup(B1862,B1863,0.7)</f>
        <v>-1</v>
      </c>
    </row>
    <row r="1863" spans="1:8" x14ac:dyDescent="0.2">
      <c r="A1863" s="3">
        <v>46828.921492997688</v>
      </c>
      <c r="B1863" t="s">
        <v>37</v>
      </c>
      <c r="C1863" t="s">
        <v>33</v>
      </c>
      <c r="D1863" t="s">
        <v>34</v>
      </c>
      <c r="E1863">
        <v>0</v>
      </c>
      <c r="F1863">
        <v>0</v>
      </c>
      <c r="G1863" t="s">
        <v>2</v>
      </c>
      <c r="H1863" cm="1">
        <f t="array" ref="H1863">-isDup(B1863,B1864,0.7)</f>
        <v>0</v>
      </c>
    </row>
    <row r="1864" spans="1:8" x14ac:dyDescent="0.2">
      <c r="A1864" s="3">
        <v>46829.921492997688</v>
      </c>
      <c r="B1864" t="s">
        <v>36</v>
      </c>
      <c r="C1864" t="s">
        <v>33</v>
      </c>
      <c r="D1864" t="s">
        <v>34</v>
      </c>
      <c r="E1864">
        <v>0</v>
      </c>
      <c r="F1864">
        <v>0</v>
      </c>
      <c r="G1864" t="s">
        <v>2</v>
      </c>
      <c r="H1864" cm="1">
        <f t="array" ref="H1864">-isDup(B1864,B1865,0.7)</f>
        <v>0</v>
      </c>
    </row>
    <row r="1865" spans="1:8" x14ac:dyDescent="0.2">
      <c r="A1865" s="3">
        <v>46830.921492997688</v>
      </c>
      <c r="B1865" t="s">
        <v>2025</v>
      </c>
      <c r="C1865" t="s">
        <v>33</v>
      </c>
      <c r="D1865" t="s">
        <v>34</v>
      </c>
      <c r="E1865">
        <v>0</v>
      </c>
      <c r="F1865">
        <v>0</v>
      </c>
      <c r="G1865" t="s">
        <v>2</v>
      </c>
      <c r="H1865" cm="1">
        <f t="array" ref="H1865">-isDup(B1865,B1866,0.7)</f>
        <v>0</v>
      </c>
    </row>
    <row r="1866" spans="1:8" x14ac:dyDescent="0.2">
      <c r="A1866" s="3">
        <v>46831.921492997688</v>
      </c>
      <c r="B1866" t="s">
        <v>2026</v>
      </c>
      <c r="C1866" t="s">
        <v>2027</v>
      </c>
      <c r="D1866" t="s">
        <v>2028</v>
      </c>
      <c r="E1866">
        <v>0</v>
      </c>
      <c r="F1866">
        <v>0</v>
      </c>
      <c r="G1866" t="s">
        <v>2</v>
      </c>
      <c r="H1866" cm="1">
        <f t="array" ref="H1866">-isDup(B1866,B1867,0.7)</f>
        <v>0</v>
      </c>
    </row>
    <row r="1867" spans="1:8" x14ac:dyDescent="0.2">
      <c r="A1867" s="3">
        <v>46832.921492997688</v>
      </c>
      <c r="B1867" t="s">
        <v>2029</v>
      </c>
      <c r="C1867" t="s">
        <v>1866</v>
      </c>
      <c r="D1867" t="s">
        <v>278</v>
      </c>
      <c r="E1867">
        <v>1</v>
      </c>
      <c r="F1867">
        <v>8</v>
      </c>
      <c r="G1867" t="s">
        <v>2</v>
      </c>
      <c r="H1867" cm="1">
        <f t="array" ref="H1867">-isDup(B1867,B1868,0.7)</f>
        <v>0</v>
      </c>
    </row>
    <row r="1868" spans="1:8" x14ac:dyDescent="0.2">
      <c r="A1868" s="3">
        <v>46833.921492997688</v>
      </c>
      <c r="B1868" t="s">
        <v>371</v>
      </c>
      <c r="C1868" t="s">
        <v>143</v>
      </c>
      <c r="D1868" t="s">
        <v>129</v>
      </c>
      <c r="E1868">
        <v>0</v>
      </c>
      <c r="F1868">
        <v>0</v>
      </c>
      <c r="G1868" t="s">
        <v>2</v>
      </c>
      <c r="H1868" cm="1">
        <f t="array" ref="H1868">-isDup(B1868,B1869,0.7)</f>
        <v>-1</v>
      </c>
    </row>
    <row r="1869" spans="1:8" x14ac:dyDescent="0.2">
      <c r="A1869" s="3">
        <v>46834.921492997688</v>
      </c>
      <c r="B1869" t="s">
        <v>371</v>
      </c>
      <c r="C1869" t="s">
        <v>128</v>
      </c>
      <c r="D1869" t="s">
        <v>129</v>
      </c>
      <c r="E1869">
        <v>0</v>
      </c>
      <c r="F1869">
        <v>0</v>
      </c>
      <c r="G1869" t="s">
        <v>2</v>
      </c>
      <c r="H1869" cm="1">
        <f t="array" ref="H1869">-isDup(B1869,B1870,0.7)</f>
        <v>0</v>
      </c>
    </row>
    <row r="1870" spans="1:8" x14ac:dyDescent="0.2">
      <c r="A1870" s="3">
        <v>46835.921492997688</v>
      </c>
      <c r="B1870" t="s">
        <v>2030</v>
      </c>
      <c r="C1870" t="s">
        <v>2031</v>
      </c>
      <c r="D1870" t="s">
        <v>2032</v>
      </c>
      <c r="E1870">
        <v>0</v>
      </c>
      <c r="F1870">
        <v>1</v>
      </c>
      <c r="G1870" t="s">
        <v>2</v>
      </c>
      <c r="H1870" cm="1">
        <f t="array" ref="H1870">-isDup(B1870,B1871,0.7)</f>
        <v>0</v>
      </c>
    </row>
    <row r="1871" spans="1:8" x14ac:dyDescent="0.2">
      <c r="A1871" s="3">
        <v>46836.921492997688</v>
      </c>
      <c r="B1871" t="s">
        <v>336</v>
      </c>
      <c r="C1871" t="s">
        <v>128</v>
      </c>
      <c r="D1871" t="s">
        <v>129</v>
      </c>
      <c r="E1871">
        <v>0</v>
      </c>
      <c r="F1871">
        <v>0</v>
      </c>
      <c r="G1871" t="s">
        <v>2</v>
      </c>
      <c r="H1871" cm="1">
        <f t="array" ref="H1871">-isDup(B1871,B1872,0.7)</f>
        <v>-1</v>
      </c>
    </row>
    <row r="1872" spans="1:8" x14ac:dyDescent="0.2">
      <c r="A1872" s="3">
        <v>46837.921492997688</v>
      </c>
      <c r="B1872" t="s">
        <v>336</v>
      </c>
      <c r="C1872" t="s">
        <v>143</v>
      </c>
      <c r="D1872" t="s">
        <v>129</v>
      </c>
      <c r="E1872">
        <v>0</v>
      </c>
      <c r="F1872">
        <v>0</v>
      </c>
      <c r="G1872" t="s">
        <v>2</v>
      </c>
      <c r="H1872" cm="1">
        <f t="array" ref="H1872">-isDup(B1872,B1873,0.7)</f>
        <v>0</v>
      </c>
    </row>
    <row r="1873" spans="1:8" x14ac:dyDescent="0.2">
      <c r="A1873" s="3">
        <v>46838.921492997688</v>
      </c>
      <c r="B1873" t="s">
        <v>3</v>
      </c>
      <c r="C1873" t="s">
        <v>4</v>
      </c>
      <c r="D1873" t="s">
        <v>5</v>
      </c>
      <c r="E1873">
        <v>0</v>
      </c>
      <c r="F1873">
        <v>0</v>
      </c>
      <c r="G1873" t="s">
        <v>2</v>
      </c>
      <c r="H1873" cm="1">
        <f t="array" ref="H1873">-isDup(B1873,B1874,0.7)</f>
        <v>0</v>
      </c>
    </row>
    <row r="1874" spans="1:8" x14ac:dyDescent="0.2">
      <c r="A1874" s="3">
        <v>46839.921492997688</v>
      </c>
      <c r="B1874" t="s">
        <v>2033</v>
      </c>
      <c r="C1874" t="s">
        <v>686</v>
      </c>
      <c r="D1874" t="s">
        <v>13</v>
      </c>
      <c r="E1874">
        <v>0</v>
      </c>
      <c r="F1874">
        <v>0</v>
      </c>
      <c r="G1874" t="s">
        <v>2</v>
      </c>
      <c r="H1874" cm="1">
        <f t="array" ref="H1874">-isDup(B1874,B1875,0.7)</f>
        <v>0</v>
      </c>
    </row>
    <row r="1875" spans="1:8" x14ac:dyDescent="0.2">
      <c r="A1875" s="3">
        <v>46840.921492997688</v>
      </c>
      <c r="B1875" t="s">
        <v>94</v>
      </c>
      <c r="C1875" t="s">
        <v>22</v>
      </c>
      <c r="E1875">
        <v>0</v>
      </c>
      <c r="F1875">
        <v>0</v>
      </c>
      <c r="G1875" t="s">
        <v>2</v>
      </c>
      <c r="H1875" cm="1">
        <f t="array" ref="H1875">-isDup(B1875,B1876,0.7)</f>
        <v>0</v>
      </c>
    </row>
    <row r="1876" spans="1:8" x14ac:dyDescent="0.2">
      <c r="A1876" s="3">
        <v>46841.921492997688</v>
      </c>
      <c r="B1876" t="s">
        <v>2034</v>
      </c>
      <c r="C1876" t="s">
        <v>2035</v>
      </c>
      <c r="E1876">
        <v>0</v>
      </c>
      <c r="F1876">
        <v>0</v>
      </c>
      <c r="G1876" t="s">
        <v>2</v>
      </c>
      <c r="H1876" cm="1">
        <f t="array" ref="H1876">-isDup(B1876,B1877,0.7)</f>
        <v>0</v>
      </c>
    </row>
    <row r="1877" spans="1:8" x14ac:dyDescent="0.2">
      <c r="A1877" s="3">
        <v>46842.921492997688</v>
      </c>
      <c r="B1877" t="s">
        <v>2036</v>
      </c>
      <c r="C1877" t="s">
        <v>2037</v>
      </c>
      <c r="D1877" t="s">
        <v>2038</v>
      </c>
      <c r="E1877">
        <v>0</v>
      </c>
      <c r="F1877">
        <v>0</v>
      </c>
      <c r="G1877" t="s">
        <v>2</v>
      </c>
      <c r="H1877" cm="1">
        <f t="array" ref="H1877">-isDup(B1877,B1878,0.7)</f>
        <v>0</v>
      </c>
    </row>
    <row r="1878" spans="1:8" x14ac:dyDescent="0.2">
      <c r="A1878" s="3">
        <v>46843.921492997688</v>
      </c>
      <c r="B1878" t="s">
        <v>2039</v>
      </c>
      <c r="C1878" t="s">
        <v>2040</v>
      </c>
      <c r="D1878" t="s">
        <v>2041</v>
      </c>
      <c r="E1878">
        <v>0</v>
      </c>
      <c r="F1878">
        <v>1</v>
      </c>
      <c r="G1878" t="s">
        <v>2</v>
      </c>
      <c r="H1878" cm="1">
        <f t="array" ref="H1878">-isDup(B1878,B1879,0.7)</f>
        <v>0</v>
      </c>
    </row>
    <row r="1879" spans="1:8" x14ac:dyDescent="0.2">
      <c r="A1879" s="3">
        <v>46844.921492997688</v>
      </c>
      <c r="B1879" t="s">
        <v>2042</v>
      </c>
      <c r="C1879" t="s">
        <v>2043</v>
      </c>
      <c r="D1879" t="s">
        <v>2044</v>
      </c>
      <c r="E1879">
        <v>0</v>
      </c>
      <c r="F1879">
        <v>0</v>
      </c>
      <c r="G1879" t="s">
        <v>2</v>
      </c>
      <c r="H1879" cm="1">
        <f t="array" ref="H1879">-isDup(B1879,B1880,0.7)</f>
        <v>0</v>
      </c>
    </row>
    <row r="1880" spans="1:8" x14ac:dyDescent="0.2">
      <c r="A1880" s="3">
        <v>46845.921492997688</v>
      </c>
      <c r="B1880" t="s">
        <v>2045</v>
      </c>
      <c r="C1880" t="s">
        <v>259</v>
      </c>
      <c r="E1880">
        <v>0</v>
      </c>
      <c r="F1880">
        <v>0</v>
      </c>
      <c r="G1880" t="s">
        <v>2</v>
      </c>
      <c r="H1880" cm="1">
        <f t="array" ref="H1880">-isDup(B1880,B1881,0.7)</f>
        <v>0</v>
      </c>
    </row>
    <row r="1881" spans="1:8" x14ac:dyDescent="0.2">
      <c r="A1881" s="3">
        <v>46846.921492997688</v>
      </c>
      <c r="B1881" t="s">
        <v>397</v>
      </c>
      <c r="C1881" t="s">
        <v>128</v>
      </c>
      <c r="D1881" t="s">
        <v>129</v>
      </c>
      <c r="E1881">
        <v>0</v>
      </c>
      <c r="F1881">
        <v>0</v>
      </c>
      <c r="G1881" t="s">
        <v>2</v>
      </c>
      <c r="H1881" cm="1">
        <f t="array" ref="H1881">-isDup(B1881,B1882,0.7)</f>
        <v>-1</v>
      </c>
    </row>
    <row r="1882" spans="1:8" x14ac:dyDescent="0.2">
      <c r="A1882" s="3">
        <v>46847.921492997688</v>
      </c>
      <c r="B1882" t="s">
        <v>397</v>
      </c>
      <c r="C1882" t="s">
        <v>143</v>
      </c>
      <c r="D1882" t="s">
        <v>129</v>
      </c>
      <c r="E1882">
        <v>0</v>
      </c>
      <c r="F1882">
        <v>0</v>
      </c>
      <c r="G1882" t="s">
        <v>2</v>
      </c>
      <c r="H1882" cm="1">
        <f t="array" ref="H1882">-isDup(B1882,B1883,0.7)</f>
        <v>0</v>
      </c>
    </row>
    <row r="1883" spans="1:8" x14ac:dyDescent="0.2">
      <c r="A1883" s="3">
        <v>46848.921492997688</v>
      </c>
      <c r="B1883" t="s">
        <v>2045</v>
      </c>
      <c r="C1883" t="s">
        <v>1550</v>
      </c>
      <c r="D1883" t="s">
        <v>2046</v>
      </c>
      <c r="E1883">
        <v>0</v>
      </c>
      <c r="F1883">
        <v>0</v>
      </c>
      <c r="G1883" t="s">
        <v>2</v>
      </c>
      <c r="H1883" cm="1">
        <f t="array" ref="H1883">-isDup(B1883,B1884,0.7)</f>
        <v>0</v>
      </c>
    </row>
    <row r="1884" spans="1:8" x14ac:dyDescent="0.2">
      <c r="A1884" s="3">
        <v>46849.921492997688</v>
      </c>
      <c r="B1884" t="s">
        <v>2047</v>
      </c>
      <c r="C1884" t="s">
        <v>1143</v>
      </c>
      <c r="E1884">
        <v>0</v>
      </c>
      <c r="F1884">
        <v>0</v>
      </c>
      <c r="G1884" t="s">
        <v>2</v>
      </c>
      <c r="H1884" cm="1">
        <f t="array" ref="H1884">-isDup(B1884,B1885,0.7)</f>
        <v>0</v>
      </c>
    </row>
    <row r="1885" spans="1:8" x14ac:dyDescent="0.2">
      <c r="A1885" s="3">
        <v>46850.921492997688</v>
      </c>
      <c r="B1885" t="s">
        <v>2048</v>
      </c>
      <c r="C1885" t="s">
        <v>1819</v>
      </c>
      <c r="D1885" t="s">
        <v>203</v>
      </c>
      <c r="E1885">
        <v>0</v>
      </c>
      <c r="F1885">
        <v>3</v>
      </c>
      <c r="G1885" t="s">
        <v>2</v>
      </c>
      <c r="H1885" cm="1">
        <f t="array" ref="H1885">-isDup(B1885,B1886,0.7)</f>
        <v>0</v>
      </c>
    </row>
    <row r="1886" spans="1:8" x14ac:dyDescent="0.2">
      <c r="A1886" s="3">
        <v>46851.921492997688</v>
      </c>
      <c r="B1886" t="s">
        <v>2049</v>
      </c>
      <c r="C1886" t="s">
        <v>1819</v>
      </c>
      <c r="D1886" t="s">
        <v>203</v>
      </c>
      <c r="E1886">
        <v>1</v>
      </c>
      <c r="F1886">
        <v>44</v>
      </c>
      <c r="G1886" t="s">
        <v>2</v>
      </c>
      <c r="H1886" cm="1">
        <f t="array" ref="H1886">-isDup(B1886,B1887,0.7)</f>
        <v>0</v>
      </c>
    </row>
    <row r="1887" spans="1:8" x14ac:dyDescent="0.2">
      <c r="A1887" s="3">
        <v>46852.921492997688</v>
      </c>
      <c r="B1887" t="s">
        <v>2050</v>
      </c>
      <c r="C1887" t="s">
        <v>512</v>
      </c>
      <c r="E1887">
        <v>0</v>
      </c>
      <c r="F1887">
        <v>0</v>
      </c>
      <c r="G1887" t="s">
        <v>2</v>
      </c>
      <c r="H1887" cm="1">
        <f t="array" ref="H1887">-isDup(B1887,B1888,0.7)</f>
        <v>0</v>
      </c>
    </row>
    <row r="1888" spans="1:8" x14ac:dyDescent="0.2">
      <c r="A1888" s="3">
        <v>46853.921492997688</v>
      </c>
      <c r="B1888" t="s">
        <v>2051</v>
      </c>
      <c r="C1888" t="s">
        <v>2052</v>
      </c>
      <c r="D1888" t="s">
        <v>2053</v>
      </c>
      <c r="E1888">
        <v>0</v>
      </c>
      <c r="F1888">
        <v>1</v>
      </c>
      <c r="G1888" t="s">
        <v>2</v>
      </c>
      <c r="H1888" cm="1">
        <f t="array" ref="H1888">-isDup(B1888,B1889,0.7)</f>
        <v>0</v>
      </c>
    </row>
    <row r="1889" spans="1:8" x14ac:dyDescent="0.2">
      <c r="A1889" s="3">
        <v>46854.921492997688</v>
      </c>
      <c r="B1889" t="s">
        <v>2054</v>
      </c>
      <c r="C1889" t="s">
        <v>2055</v>
      </c>
      <c r="D1889" t="s">
        <v>2056</v>
      </c>
      <c r="E1889">
        <v>0</v>
      </c>
      <c r="F1889">
        <v>1</v>
      </c>
      <c r="G1889" t="s">
        <v>2</v>
      </c>
      <c r="H1889" cm="1">
        <f t="array" ref="H1889">-isDup(B1889,B1890,0.7)</f>
        <v>0</v>
      </c>
    </row>
    <row r="1890" spans="1:8" x14ac:dyDescent="0.2">
      <c r="A1890" s="3">
        <v>46855.921492997688</v>
      </c>
      <c r="B1890" t="s">
        <v>1828</v>
      </c>
      <c r="C1890" t="s">
        <v>128</v>
      </c>
      <c r="D1890" t="s">
        <v>129</v>
      </c>
      <c r="E1890">
        <v>0</v>
      </c>
      <c r="F1890">
        <v>0</v>
      </c>
      <c r="G1890" t="s">
        <v>2</v>
      </c>
      <c r="H1890" cm="1">
        <f t="array" ref="H1890">-isDup(B1890,B1891,0.7)</f>
        <v>-1</v>
      </c>
    </row>
    <row r="1891" spans="1:8" x14ac:dyDescent="0.2">
      <c r="A1891" s="3">
        <v>46856.921492997688</v>
      </c>
      <c r="B1891" t="s">
        <v>1828</v>
      </c>
      <c r="C1891" t="s">
        <v>143</v>
      </c>
      <c r="D1891" t="s">
        <v>129</v>
      </c>
      <c r="E1891">
        <v>0</v>
      </c>
      <c r="F1891">
        <v>0</v>
      </c>
      <c r="G1891" t="s">
        <v>2</v>
      </c>
      <c r="H1891" cm="1">
        <f t="array" ref="H1891">-isDup(B1891,B1892,0.7)</f>
        <v>0</v>
      </c>
    </row>
    <row r="1892" spans="1:8" x14ac:dyDescent="0.2">
      <c r="A1892" s="3">
        <v>46857.921492997688</v>
      </c>
      <c r="B1892" t="s">
        <v>2057</v>
      </c>
      <c r="C1892" t="s">
        <v>2058</v>
      </c>
      <c r="E1892">
        <v>1</v>
      </c>
      <c r="F1892">
        <v>0</v>
      </c>
      <c r="G1892" t="s">
        <v>2</v>
      </c>
      <c r="H1892" cm="1">
        <f t="array" ref="H1892">-isDup(B1892,B1893,0.7)</f>
        <v>0</v>
      </c>
    </row>
    <row r="1893" spans="1:8" x14ac:dyDescent="0.2">
      <c r="A1893" s="3">
        <v>46858.921492997688</v>
      </c>
      <c r="B1893" t="s">
        <v>2059</v>
      </c>
      <c r="C1893" t="s">
        <v>1675</v>
      </c>
      <c r="E1893">
        <v>0</v>
      </c>
      <c r="F1893">
        <v>1</v>
      </c>
      <c r="G1893" t="s">
        <v>2</v>
      </c>
      <c r="H1893" cm="1">
        <f t="array" ref="H1893">-isDup(B1893,B1894,0.7)</f>
        <v>0</v>
      </c>
    </row>
    <row r="1894" spans="1:8" x14ac:dyDescent="0.2">
      <c r="A1894" s="3">
        <v>46859.921492997688</v>
      </c>
      <c r="B1894" t="s">
        <v>2060</v>
      </c>
      <c r="C1894" t="s">
        <v>487</v>
      </c>
      <c r="D1894" t="s">
        <v>1736</v>
      </c>
      <c r="E1894">
        <v>0</v>
      </c>
      <c r="F1894">
        <v>0</v>
      </c>
      <c r="G1894" t="s">
        <v>2</v>
      </c>
      <c r="H1894" cm="1">
        <f t="array" ref="H1894">-isDup(B1894,B1895,0.7)</f>
        <v>-1</v>
      </c>
    </row>
    <row r="1895" spans="1:8" x14ac:dyDescent="0.2">
      <c r="A1895" s="3">
        <v>46860.921492997688</v>
      </c>
      <c r="B1895" t="s">
        <v>2060</v>
      </c>
      <c r="C1895" t="s">
        <v>487</v>
      </c>
      <c r="D1895" t="s">
        <v>1736</v>
      </c>
      <c r="E1895">
        <v>0</v>
      </c>
      <c r="F1895">
        <v>0</v>
      </c>
      <c r="G1895" t="s">
        <v>2</v>
      </c>
      <c r="H1895" cm="1">
        <f t="array" ref="H1895">-isDup(B1895,B1896,0.7)</f>
        <v>0</v>
      </c>
    </row>
    <row r="1896" spans="1:8" x14ac:dyDescent="0.2">
      <c r="A1896" s="3">
        <v>46861.921492997688</v>
      </c>
      <c r="B1896" t="s">
        <v>37</v>
      </c>
      <c r="C1896" t="s">
        <v>33</v>
      </c>
      <c r="D1896" t="s">
        <v>34</v>
      </c>
      <c r="E1896">
        <v>0</v>
      </c>
      <c r="F1896">
        <v>0</v>
      </c>
      <c r="G1896" t="s">
        <v>2</v>
      </c>
      <c r="H1896" cm="1">
        <f t="array" ref="H1896">-isDup(B1896,B1897,0.7)</f>
        <v>0</v>
      </c>
    </row>
    <row r="1897" spans="1:8" x14ac:dyDescent="0.2">
      <c r="A1897" s="3">
        <v>46862.921492997688</v>
      </c>
      <c r="B1897" t="s">
        <v>36</v>
      </c>
      <c r="C1897" t="s">
        <v>33</v>
      </c>
      <c r="D1897" t="s">
        <v>34</v>
      </c>
      <c r="E1897">
        <v>0</v>
      </c>
      <c r="F1897">
        <v>0</v>
      </c>
      <c r="G1897" t="s">
        <v>2</v>
      </c>
      <c r="H1897" cm="1">
        <f t="array" ref="H1897">-isDup(B1897,B1898,0.7)</f>
        <v>0</v>
      </c>
    </row>
    <row r="1898" spans="1:8" x14ac:dyDescent="0.2">
      <c r="A1898" s="3">
        <v>46863.921492997688</v>
      </c>
      <c r="B1898" t="s">
        <v>2061</v>
      </c>
      <c r="C1898" t="s">
        <v>33</v>
      </c>
      <c r="D1898" t="s">
        <v>34</v>
      </c>
      <c r="E1898">
        <v>0</v>
      </c>
      <c r="F1898">
        <v>0</v>
      </c>
      <c r="G1898" t="s">
        <v>2</v>
      </c>
      <c r="H1898" cm="1">
        <f t="array" ref="H1898">-isDup(B1898,B1899,0.7)</f>
        <v>0</v>
      </c>
    </row>
    <row r="1899" spans="1:8" x14ac:dyDescent="0.2">
      <c r="A1899" s="3">
        <v>46864.921492997688</v>
      </c>
      <c r="B1899" t="s">
        <v>35</v>
      </c>
      <c r="C1899" t="s">
        <v>33</v>
      </c>
      <c r="D1899" t="s">
        <v>34</v>
      </c>
      <c r="E1899">
        <v>0</v>
      </c>
      <c r="F1899">
        <v>0</v>
      </c>
      <c r="G1899" t="s">
        <v>2</v>
      </c>
      <c r="H1899" cm="1">
        <f t="array" ref="H1899">-isDup(B1899,B1900,0.7)</f>
        <v>0</v>
      </c>
    </row>
    <row r="1900" spans="1:8" x14ac:dyDescent="0.2">
      <c r="A1900" s="3">
        <v>46865.921492997688</v>
      </c>
      <c r="B1900" t="s">
        <v>2062</v>
      </c>
      <c r="C1900" t="s">
        <v>2063</v>
      </c>
      <c r="D1900" t="s">
        <v>2064</v>
      </c>
      <c r="E1900">
        <v>0</v>
      </c>
      <c r="F1900">
        <v>0</v>
      </c>
      <c r="G1900" t="s">
        <v>2</v>
      </c>
      <c r="H1900" cm="1">
        <f t="array" ref="H1900">-isDup(B1900,B1901,0.7)</f>
        <v>0</v>
      </c>
    </row>
    <row r="1901" spans="1:8" x14ac:dyDescent="0.2">
      <c r="A1901" s="3">
        <v>46866.921492997688</v>
      </c>
      <c r="B1901" t="s">
        <v>2065</v>
      </c>
      <c r="C1901" t="s">
        <v>707</v>
      </c>
      <c r="D1901" t="s">
        <v>1791</v>
      </c>
      <c r="E1901">
        <v>0</v>
      </c>
      <c r="F1901">
        <v>0</v>
      </c>
      <c r="G1901" t="s">
        <v>2</v>
      </c>
      <c r="H1901" cm="1">
        <f t="array" ref="H1901">-isDup(B1901,B1902,0.7)</f>
        <v>0</v>
      </c>
    </row>
    <row r="1902" spans="1:8" x14ac:dyDescent="0.2">
      <c r="A1902" s="3">
        <v>46867.921492997688</v>
      </c>
      <c r="B1902" t="s">
        <v>138</v>
      </c>
      <c r="C1902" t="s">
        <v>22</v>
      </c>
      <c r="E1902">
        <v>0</v>
      </c>
      <c r="F1902">
        <v>0</v>
      </c>
      <c r="G1902" t="s">
        <v>2</v>
      </c>
      <c r="H1902" cm="1">
        <f t="array" ref="H1902">-isDup(B1902,B1903,0.7)</f>
        <v>0</v>
      </c>
    </row>
    <row r="1903" spans="1:8" x14ac:dyDescent="0.2">
      <c r="A1903" s="3">
        <v>46868.921492997688</v>
      </c>
      <c r="B1903" t="s">
        <v>144</v>
      </c>
      <c r="C1903" t="s">
        <v>22</v>
      </c>
      <c r="E1903">
        <v>0</v>
      </c>
      <c r="F1903">
        <v>0</v>
      </c>
      <c r="G1903" t="s">
        <v>2</v>
      </c>
      <c r="H1903" cm="1">
        <f t="array" ref="H1903">-isDup(B1903,B1904,0.7)</f>
        <v>0</v>
      </c>
    </row>
    <row r="1904" spans="1:8" x14ac:dyDescent="0.2">
      <c r="A1904" s="3">
        <v>46869.921492997688</v>
      </c>
      <c r="B1904" t="s">
        <v>2066</v>
      </c>
      <c r="C1904" t="s">
        <v>2067</v>
      </c>
      <c r="D1904" t="s">
        <v>2068</v>
      </c>
      <c r="E1904">
        <v>0</v>
      </c>
      <c r="F1904">
        <v>0</v>
      </c>
      <c r="G1904" t="s">
        <v>2</v>
      </c>
      <c r="H1904" cm="1">
        <f t="array" ref="H1904">-isDup(B1904,B1905,0.7)</f>
        <v>0</v>
      </c>
    </row>
    <row r="1905" spans="1:8" x14ac:dyDescent="0.2">
      <c r="A1905" s="3">
        <v>46870.921492997688</v>
      </c>
      <c r="B1905" t="s">
        <v>152</v>
      </c>
      <c r="C1905" t="s">
        <v>22</v>
      </c>
      <c r="E1905">
        <v>0</v>
      </c>
      <c r="F1905">
        <v>0</v>
      </c>
      <c r="G1905" t="s">
        <v>2</v>
      </c>
      <c r="H1905" cm="1">
        <f t="array" ref="H1905">-isDup(B1905,B1906,0.7)</f>
        <v>0</v>
      </c>
    </row>
    <row r="1906" spans="1:8" x14ac:dyDescent="0.2">
      <c r="A1906" s="3">
        <v>46871.921492997688</v>
      </c>
      <c r="B1906" t="s">
        <v>151</v>
      </c>
      <c r="C1906" t="s">
        <v>22</v>
      </c>
      <c r="E1906">
        <v>0</v>
      </c>
      <c r="F1906">
        <v>0</v>
      </c>
      <c r="G1906" t="s">
        <v>2</v>
      </c>
      <c r="H1906" cm="1">
        <f t="array" ref="H1906">-isDup(B1906,B1907,0.7)</f>
        <v>0</v>
      </c>
    </row>
    <row r="1907" spans="1:8" x14ac:dyDescent="0.2">
      <c r="A1907" s="3">
        <v>46872.921492997688</v>
      </c>
      <c r="B1907" t="s">
        <v>153</v>
      </c>
      <c r="C1907" t="s">
        <v>22</v>
      </c>
      <c r="E1907">
        <v>0</v>
      </c>
      <c r="F1907">
        <v>0</v>
      </c>
      <c r="G1907" t="s">
        <v>2</v>
      </c>
      <c r="H1907" cm="1">
        <f t="array" ref="H1907">-isDup(B1907,B1908,0.7)</f>
        <v>0</v>
      </c>
    </row>
    <row r="1908" spans="1:8" x14ac:dyDescent="0.2">
      <c r="A1908" s="3">
        <v>46873.921492997688</v>
      </c>
      <c r="B1908" t="s">
        <v>2069</v>
      </c>
      <c r="C1908" t="s">
        <v>2070</v>
      </c>
      <c r="E1908">
        <v>0</v>
      </c>
      <c r="F1908">
        <v>0</v>
      </c>
      <c r="G1908" t="s">
        <v>2</v>
      </c>
      <c r="H1908" cm="1">
        <f t="array" ref="H1908">-isDup(B1908,B1909,0.7)</f>
        <v>0</v>
      </c>
    </row>
    <row r="1909" spans="1:8" x14ac:dyDescent="0.2">
      <c r="A1909" s="3">
        <v>46874.921492997688</v>
      </c>
      <c r="B1909" t="s">
        <v>154</v>
      </c>
      <c r="C1909" t="s">
        <v>22</v>
      </c>
      <c r="E1909">
        <v>0</v>
      </c>
      <c r="F1909">
        <v>0</v>
      </c>
      <c r="G1909" t="s">
        <v>2</v>
      </c>
      <c r="H1909" cm="1">
        <f t="array" ref="H1909">-isDup(B1909,B1910,0.7)</f>
        <v>0</v>
      </c>
    </row>
    <row r="1910" spans="1:8" x14ac:dyDescent="0.2">
      <c r="A1910" s="3">
        <v>46875.921492997688</v>
      </c>
      <c r="B1910" t="s">
        <v>3</v>
      </c>
      <c r="C1910" t="s">
        <v>4</v>
      </c>
      <c r="D1910" t="s">
        <v>5</v>
      </c>
      <c r="E1910">
        <v>0</v>
      </c>
      <c r="F1910">
        <v>0</v>
      </c>
      <c r="G1910" t="s">
        <v>2</v>
      </c>
      <c r="H1910" cm="1">
        <f t="array" ref="H1910">-isDup(B1910,B1911,0.7)</f>
        <v>0</v>
      </c>
    </row>
    <row r="1911" spans="1:8" x14ac:dyDescent="0.2">
      <c r="A1911" s="3">
        <v>46876.921492997688</v>
      </c>
      <c r="B1911" t="s">
        <v>1278</v>
      </c>
      <c r="C1911" t="s">
        <v>143</v>
      </c>
      <c r="D1911" t="s">
        <v>129</v>
      </c>
      <c r="E1911">
        <v>0</v>
      </c>
      <c r="F1911">
        <v>0</v>
      </c>
      <c r="G1911" t="s">
        <v>2</v>
      </c>
      <c r="H1911" cm="1">
        <f t="array" ref="H1911">-isDup(B1911,B1912,0.7)</f>
        <v>0</v>
      </c>
    </row>
    <row r="1912" spans="1:8" x14ac:dyDescent="0.2">
      <c r="A1912" s="3">
        <v>46877.921492997688</v>
      </c>
      <c r="B1912" t="s">
        <v>46</v>
      </c>
      <c r="C1912" t="s">
        <v>22</v>
      </c>
      <c r="E1912">
        <v>0</v>
      </c>
      <c r="F1912">
        <v>0</v>
      </c>
      <c r="G1912" t="s">
        <v>2</v>
      </c>
      <c r="H1912" cm="1">
        <f t="array" ref="H1912">-isDup(B1912,B1913,0.7)</f>
        <v>0</v>
      </c>
    </row>
    <row r="1913" spans="1:8" x14ac:dyDescent="0.2">
      <c r="A1913" s="3">
        <v>46878.921492997688</v>
      </c>
      <c r="B1913" t="s">
        <v>1278</v>
      </c>
      <c r="C1913" t="s">
        <v>128</v>
      </c>
      <c r="D1913" t="s">
        <v>129</v>
      </c>
      <c r="E1913">
        <v>0</v>
      </c>
      <c r="F1913">
        <v>0</v>
      </c>
      <c r="G1913" t="s">
        <v>2</v>
      </c>
      <c r="H1913" cm="1">
        <f t="array" ref="H1913">-isDup(B1913,B1914,0.7)</f>
        <v>0</v>
      </c>
    </row>
    <row r="1914" spans="1:8" x14ac:dyDescent="0.2">
      <c r="A1914" s="3">
        <v>46879.921492997688</v>
      </c>
      <c r="B1914" t="s">
        <v>159</v>
      </c>
      <c r="C1914" t="s">
        <v>22</v>
      </c>
      <c r="E1914">
        <v>0</v>
      </c>
      <c r="F1914">
        <v>0</v>
      </c>
      <c r="G1914" t="s">
        <v>2</v>
      </c>
      <c r="H1914" cm="1">
        <f t="array" ref="H1914">-isDup(B1914,B1915,0.7)</f>
        <v>0</v>
      </c>
    </row>
    <row r="1915" spans="1:8" x14ac:dyDescent="0.2">
      <c r="A1915" s="3">
        <v>46880.921492997688</v>
      </c>
      <c r="B1915" t="s">
        <v>27</v>
      </c>
      <c r="C1915" t="s">
        <v>12</v>
      </c>
      <c r="D1915" t="s">
        <v>13</v>
      </c>
      <c r="E1915">
        <v>0</v>
      </c>
      <c r="F1915">
        <v>0</v>
      </c>
      <c r="G1915" t="s">
        <v>2</v>
      </c>
      <c r="H1915" cm="1">
        <f t="array" ref="H1915">-isDup(B1915,B1916,0.7)</f>
        <v>0</v>
      </c>
    </row>
    <row r="1916" spans="1:8" x14ac:dyDescent="0.2">
      <c r="A1916" s="3">
        <v>46881.921492997688</v>
      </c>
      <c r="B1916" t="s">
        <v>165</v>
      </c>
      <c r="C1916" t="s">
        <v>22</v>
      </c>
      <c r="E1916">
        <v>0</v>
      </c>
      <c r="F1916">
        <v>0</v>
      </c>
      <c r="G1916" t="s">
        <v>2</v>
      </c>
      <c r="H1916" cm="1">
        <f t="array" ref="H1916">-isDup(B1916,B1917,0.7)</f>
        <v>-1</v>
      </c>
    </row>
    <row r="1917" spans="1:8" x14ac:dyDescent="0.2">
      <c r="A1917" s="3">
        <v>46882.921492997688</v>
      </c>
      <c r="B1917" t="s">
        <v>165</v>
      </c>
      <c r="C1917" t="s">
        <v>22</v>
      </c>
      <c r="E1917">
        <v>0</v>
      </c>
      <c r="F1917">
        <v>0</v>
      </c>
      <c r="G1917" t="s">
        <v>2</v>
      </c>
      <c r="H1917" cm="1">
        <f t="array" ref="H1917">-isDup(B1917,B1918,0.7)</f>
        <v>0</v>
      </c>
    </row>
    <row r="1918" spans="1:8" x14ac:dyDescent="0.2">
      <c r="A1918" s="3">
        <v>46883.921492997688</v>
      </c>
      <c r="B1918" t="s">
        <v>2071</v>
      </c>
      <c r="C1918" t="s">
        <v>2072</v>
      </c>
      <c r="D1918" t="s">
        <v>2073</v>
      </c>
      <c r="E1918">
        <v>0</v>
      </c>
      <c r="F1918">
        <v>0</v>
      </c>
      <c r="G1918" t="s">
        <v>2</v>
      </c>
      <c r="H1918" cm="1">
        <f t="array" ref="H1918">-isDup(B1918,B1919,0.7)</f>
        <v>0</v>
      </c>
    </row>
    <row r="1919" spans="1:8" x14ac:dyDescent="0.2">
      <c r="A1919" s="3">
        <v>46884.921492997688</v>
      </c>
      <c r="B1919" t="s">
        <v>2074</v>
      </c>
      <c r="C1919" t="s">
        <v>134</v>
      </c>
      <c r="E1919">
        <v>0</v>
      </c>
      <c r="F1919">
        <v>0</v>
      </c>
      <c r="G1919" t="s">
        <v>2</v>
      </c>
      <c r="H1919" cm="1">
        <f t="array" ref="H1919">-isDup(B1919,B1920,0.7)</f>
        <v>0</v>
      </c>
    </row>
    <row r="1920" spans="1:8" x14ac:dyDescent="0.2">
      <c r="A1920" s="3">
        <v>46885.921492997688</v>
      </c>
      <c r="B1920" t="s">
        <v>2075</v>
      </c>
      <c r="C1920" t="s">
        <v>2076</v>
      </c>
      <c r="E1920">
        <v>0</v>
      </c>
      <c r="F1920">
        <v>0</v>
      </c>
      <c r="G1920" t="s">
        <v>2</v>
      </c>
      <c r="H1920" cm="1">
        <f t="array" ref="H1920">-isDup(B1920,B1921,0.7)</f>
        <v>0</v>
      </c>
    </row>
    <row r="1921" spans="1:8" x14ac:dyDescent="0.2">
      <c r="A1921" s="3">
        <v>46886.921492997688</v>
      </c>
      <c r="B1921" t="s">
        <v>2077</v>
      </c>
      <c r="C1921" t="s">
        <v>128</v>
      </c>
      <c r="D1921" t="s">
        <v>129</v>
      </c>
      <c r="E1921">
        <v>0</v>
      </c>
      <c r="F1921">
        <v>0</v>
      </c>
      <c r="G1921" t="s">
        <v>2</v>
      </c>
      <c r="H1921" cm="1">
        <f t="array" ref="H1921">-isDup(B1921,B1922,0.7)</f>
        <v>-1</v>
      </c>
    </row>
    <row r="1922" spans="1:8" x14ac:dyDescent="0.2">
      <c r="A1922" s="3">
        <v>46887.921492997688</v>
      </c>
      <c r="B1922" t="s">
        <v>2077</v>
      </c>
      <c r="C1922" t="s">
        <v>143</v>
      </c>
      <c r="D1922" t="s">
        <v>129</v>
      </c>
      <c r="E1922">
        <v>0</v>
      </c>
      <c r="F1922">
        <v>0</v>
      </c>
      <c r="G1922" t="s">
        <v>2</v>
      </c>
      <c r="H1922" cm="1">
        <f t="array" ref="H1922">-isDup(B1922,B1923,0.7)</f>
        <v>0</v>
      </c>
    </row>
    <row r="1923" spans="1:8" x14ac:dyDescent="0.2">
      <c r="A1923" s="3">
        <v>46888.921492997688</v>
      </c>
      <c r="B1923" t="s">
        <v>217</v>
      </c>
      <c r="C1923" t="s">
        <v>128</v>
      </c>
      <c r="D1923" t="s">
        <v>129</v>
      </c>
      <c r="E1923">
        <v>0</v>
      </c>
      <c r="F1923">
        <v>0</v>
      </c>
      <c r="G1923" t="s">
        <v>2</v>
      </c>
      <c r="H1923" cm="1">
        <f t="array" ref="H1923">-isDup(B1923,B1924,0.7)</f>
        <v>0</v>
      </c>
    </row>
    <row r="1924" spans="1:8" x14ac:dyDescent="0.2">
      <c r="A1924" s="3">
        <v>46889.921492997688</v>
      </c>
      <c r="B1924" t="s">
        <v>192</v>
      </c>
      <c r="C1924" t="s">
        <v>143</v>
      </c>
      <c r="D1924" t="s">
        <v>129</v>
      </c>
      <c r="E1924">
        <v>0</v>
      </c>
      <c r="F1924">
        <v>0</v>
      </c>
      <c r="G1924" t="s">
        <v>2</v>
      </c>
      <c r="H1924" cm="1">
        <f t="array" ref="H1924">-isDup(B1924,B1925,0.7)</f>
        <v>-1</v>
      </c>
    </row>
    <row r="1925" spans="1:8" x14ac:dyDescent="0.2">
      <c r="A1925" s="3">
        <v>46890.921492997688</v>
      </c>
      <c r="B1925" t="s">
        <v>192</v>
      </c>
      <c r="C1925" t="s">
        <v>128</v>
      </c>
      <c r="D1925" t="s">
        <v>129</v>
      </c>
      <c r="E1925">
        <v>0</v>
      </c>
      <c r="F1925">
        <v>0</v>
      </c>
      <c r="G1925" t="s">
        <v>2</v>
      </c>
      <c r="H1925" cm="1">
        <f t="array" ref="H1925">-isDup(B1925,B1926,0.7)</f>
        <v>0</v>
      </c>
    </row>
    <row r="1926" spans="1:8" x14ac:dyDescent="0.2">
      <c r="A1926" s="3">
        <v>46891.921492997688</v>
      </c>
      <c r="B1926" t="s">
        <v>2078</v>
      </c>
      <c r="C1926" t="s">
        <v>2079</v>
      </c>
      <c r="D1926" t="s">
        <v>2080</v>
      </c>
      <c r="E1926">
        <v>0</v>
      </c>
      <c r="F1926">
        <v>0</v>
      </c>
      <c r="G1926" t="s">
        <v>2</v>
      </c>
      <c r="H1926" cm="1">
        <f t="array" ref="H1926">-isDup(B1926,B1927,0.7)</f>
        <v>0</v>
      </c>
    </row>
    <row r="1927" spans="1:8" x14ac:dyDescent="0.2">
      <c r="A1927" s="3">
        <v>46892.921492997688</v>
      </c>
      <c r="B1927" t="s">
        <v>2081</v>
      </c>
      <c r="C1927" t="s">
        <v>2082</v>
      </c>
      <c r="D1927" t="s">
        <v>2083</v>
      </c>
      <c r="E1927">
        <v>0</v>
      </c>
      <c r="F1927">
        <v>0</v>
      </c>
      <c r="G1927" t="s">
        <v>2</v>
      </c>
      <c r="H1927" cm="1">
        <f t="array" ref="H1927">-isDup(B1927,B1928,0.7)</f>
        <v>0</v>
      </c>
    </row>
    <row r="1928" spans="1:8" x14ac:dyDescent="0.2">
      <c r="A1928" s="3">
        <v>46893.921492997688</v>
      </c>
      <c r="B1928" t="s">
        <v>646</v>
      </c>
      <c r="C1928" t="s">
        <v>128</v>
      </c>
      <c r="D1928" t="s">
        <v>129</v>
      </c>
      <c r="E1928">
        <v>0</v>
      </c>
      <c r="F1928">
        <v>0</v>
      </c>
      <c r="G1928" t="s">
        <v>2</v>
      </c>
      <c r="H1928" cm="1">
        <f t="array" ref="H1928">-isDup(B1928,B1929,0.7)</f>
        <v>-1</v>
      </c>
    </row>
    <row r="1929" spans="1:8" x14ac:dyDescent="0.2">
      <c r="A1929" s="3">
        <v>46894.921492997688</v>
      </c>
      <c r="B1929" t="s">
        <v>646</v>
      </c>
      <c r="C1929" t="s">
        <v>143</v>
      </c>
      <c r="D1929" t="s">
        <v>129</v>
      </c>
      <c r="E1929">
        <v>0</v>
      </c>
      <c r="F1929">
        <v>0</v>
      </c>
      <c r="G1929" t="s">
        <v>2</v>
      </c>
      <c r="H1929" cm="1">
        <f t="array" ref="H1929">-isDup(B1929,B1930,0.7)</f>
        <v>0</v>
      </c>
    </row>
    <row r="1930" spans="1:8" x14ac:dyDescent="0.2">
      <c r="A1930" s="3">
        <v>46895.921492997688</v>
      </c>
      <c r="B1930" t="s">
        <v>2084</v>
      </c>
      <c r="C1930" t="s">
        <v>2076</v>
      </c>
      <c r="E1930">
        <v>0</v>
      </c>
      <c r="F1930">
        <v>0</v>
      </c>
      <c r="G1930" t="s">
        <v>2</v>
      </c>
      <c r="H1930" cm="1">
        <f t="array" ref="H1930">-isDup(B1930,B1931,0.7)</f>
        <v>0</v>
      </c>
    </row>
    <row r="1931" spans="1:8" x14ac:dyDescent="0.2">
      <c r="A1931" s="3">
        <v>46896.921492997688</v>
      </c>
      <c r="B1931" t="s">
        <v>1974</v>
      </c>
      <c r="C1931" t="s">
        <v>2085</v>
      </c>
      <c r="D1931" t="s">
        <v>2086</v>
      </c>
      <c r="E1931">
        <v>0</v>
      </c>
      <c r="F1931">
        <v>0</v>
      </c>
      <c r="G1931" t="s">
        <v>2</v>
      </c>
      <c r="H1931" cm="1">
        <f t="array" ref="H1931">-isDup(B1931,B1932,0.7)</f>
        <v>0</v>
      </c>
    </row>
    <row r="1932" spans="1:8" x14ac:dyDescent="0.2">
      <c r="A1932" s="3">
        <v>46897.921492997688</v>
      </c>
      <c r="B1932" t="s">
        <v>2087</v>
      </c>
      <c r="C1932" t="s">
        <v>2088</v>
      </c>
      <c r="E1932">
        <v>0</v>
      </c>
      <c r="F1932">
        <v>0</v>
      </c>
      <c r="G1932" t="s">
        <v>2</v>
      </c>
      <c r="H1932" cm="1">
        <f t="array" ref="H1932">-isDup(B1932,B1933,0.7)</f>
        <v>0</v>
      </c>
    </row>
    <row r="1933" spans="1:8" x14ac:dyDescent="0.2">
      <c r="A1933" s="3">
        <v>46898.921492997688</v>
      </c>
      <c r="B1933" t="s">
        <v>848</v>
      </c>
      <c r="C1933" t="s">
        <v>128</v>
      </c>
      <c r="D1933" t="s">
        <v>129</v>
      </c>
      <c r="E1933">
        <v>0</v>
      </c>
      <c r="F1933">
        <v>0</v>
      </c>
      <c r="G1933" t="s">
        <v>2</v>
      </c>
      <c r="H1933" cm="1">
        <f t="array" ref="H1933">-isDup(B1933,B1934,0.7)</f>
        <v>0</v>
      </c>
    </row>
    <row r="1934" spans="1:8" x14ac:dyDescent="0.2">
      <c r="A1934" s="3">
        <v>46899.921492997688</v>
      </c>
      <c r="B1934" t="s">
        <v>2089</v>
      </c>
      <c r="C1934" t="s">
        <v>167</v>
      </c>
      <c r="E1934">
        <v>0</v>
      </c>
      <c r="F1934">
        <v>0</v>
      </c>
      <c r="G1934" t="s">
        <v>2</v>
      </c>
      <c r="H1934" cm="1">
        <f t="array" ref="H1934">-isDup(B1934,B1935,0.7)</f>
        <v>0</v>
      </c>
    </row>
    <row r="1935" spans="1:8" x14ac:dyDescent="0.2">
      <c r="A1935" s="3">
        <v>46900.921492997688</v>
      </c>
      <c r="B1935" t="s">
        <v>2090</v>
      </c>
      <c r="C1935" t="s">
        <v>341</v>
      </c>
      <c r="D1935" t="s">
        <v>342</v>
      </c>
      <c r="E1935">
        <v>1</v>
      </c>
      <c r="F1935">
        <v>0</v>
      </c>
      <c r="G1935" t="s">
        <v>2</v>
      </c>
      <c r="H1935" cm="1">
        <f t="array" ref="H1935">-isDup(B1935,B1936,0.7)</f>
        <v>0</v>
      </c>
    </row>
    <row r="1936" spans="1:8" x14ac:dyDescent="0.2">
      <c r="A1936" s="3">
        <v>46901.921492997688</v>
      </c>
      <c r="B1936" t="s">
        <v>2091</v>
      </c>
      <c r="C1936" t="s">
        <v>33</v>
      </c>
      <c r="D1936" t="s">
        <v>34</v>
      </c>
      <c r="E1936">
        <v>0</v>
      </c>
      <c r="F1936">
        <v>0</v>
      </c>
      <c r="G1936" t="s">
        <v>2</v>
      </c>
      <c r="H1936" cm="1">
        <f t="array" ref="H1936">-isDup(B1936,B1937,0.7)</f>
        <v>0</v>
      </c>
    </row>
    <row r="1937" spans="1:8" x14ac:dyDescent="0.2">
      <c r="A1937" s="3">
        <v>46902.921492997688</v>
      </c>
      <c r="B1937" t="s">
        <v>37</v>
      </c>
      <c r="C1937" t="s">
        <v>33</v>
      </c>
      <c r="D1937" t="s">
        <v>34</v>
      </c>
      <c r="E1937">
        <v>0</v>
      </c>
      <c r="F1937">
        <v>0</v>
      </c>
      <c r="G1937" t="s">
        <v>2</v>
      </c>
      <c r="H1937" cm="1">
        <f t="array" ref="H1937">-isDup(B1937,B1938,0.7)</f>
        <v>0</v>
      </c>
    </row>
    <row r="1938" spans="1:8" x14ac:dyDescent="0.2">
      <c r="A1938" s="3">
        <v>46903.921492997688</v>
      </c>
      <c r="B1938" t="s">
        <v>36</v>
      </c>
      <c r="C1938" t="s">
        <v>33</v>
      </c>
      <c r="D1938" t="s">
        <v>34</v>
      </c>
      <c r="E1938">
        <v>0</v>
      </c>
      <c r="F1938">
        <v>0</v>
      </c>
      <c r="G1938" t="s">
        <v>2</v>
      </c>
      <c r="H1938" cm="1">
        <f t="array" ref="H1938">-isDup(B1938,B1939,0.7)</f>
        <v>0</v>
      </c>
    </row>
    <row r="1939" spans="1:8" x14ac:dyDescent="0.2">
      <c r="A1939" s="3">
        <v>46904.921492997688</v>
      </c>
      <c r="B1939" t="s">
        <v>35</v>
      </c>
      <c r="C1939" t="s">
        <v>33</v>
      </c>
      <c r="D1939" t="s">
        <v>34</v>
      </c>
      <c r="E1939">
        <v>0</v>
      </c>
      <c r="F1939">
        <v>0</v>
      </c>
      <c r="G1939" t="s">
        <v>2</v>
      </c>
      <c r="H1939" cm="1">
        <f t="array" ref="H1939">-isDup(B1939,B1940,0.7)</f>
        <v>0</v>
      </c>
    </row>
    <row r="1940" spans="1:8" x14ac:dyDescent="0.2">
      <c r="A1940" s="3">
        <v>46905.921492997688</v>
      </c>
      <c r="B1940" t="s">
        <v>2092</v>
      </c>
      <c r="C1940" t="s">
        <v>2093</v>
      </c>
      <c r="D1940" t="s">
        <v>2094</v>
      </c>
      <c r="E1940">
        <v>0</v>
      </c>
      <c r="F1940">
        <v>1</v>
      </c>
      <c r="G1940" t="s">
        <v>2</v>
      </c>
      <c r="H1940" cm="1">
        <f t="array" ref="H1940">-isDup(B1940,B1941,0.7)</f>
        <v>0</v>
      </c>
    </row>
    <row r="1941" spans="1:8" x14ac:dyDescent="0.2">
      <c r="A1941" s="3">
        <v>46906.921492997688</v>
      </c>
      <c r="B1941" t="s">
        <v>3</v>
      </c>
      <c r="C1941" t="s">
        <v>4</v>
      </c>
      <c r="D1941" t="s">
        <v>5</v>
      </c>
      <c r="E1941">
        <v>0</v>
      </c>
      <c r="F1941">
        <v>0</v>
      </c>
      <c r="G1941" t="s">
        <v>2</v>
      </c>
      <c r="H1941" cm="1">
        <f t="array" ref="H1941">-isDup(B1941,B1942,0.7)</f>
        <v>0</v>
      </c>
    </row>
    <row r="1942" spans="1:8" x14ac:dyDescent="0.2">
      <c r="A1942" s="3">
        <v>46907.921492997688</v>
      </c>
      <c r="B1942" t="s">
        <v>2095</v>
      </c>
      <c r="C1942" t="s">
        <v>286</v>
      </c>
      <c r="E1942">
        <v>0</v>
      </c>
      <c r="F1942">
        <v>0</v>
      </c>
      <c r="G1942" t="s">
        <v>2</v>
      </c>
      <c r="H1942" cm="1">
        <f t="array" ref="H1942">-isDup(B1942,B1943,0.7)</f>
        <v>0</v>
      </c>
    </row>
    <row r="1943" spans="1:8" x14ac:dyDescent="0.2">
      <c r="A1943" s="3">
        <v>46908.921492997688</v>
      </c>
      <c r="B1943" t="s">
        <v>2096</v>
      </c>
      <c r="C1943" t="s">
        <v>1120</v>
      </c>
      <c r="D1943" t="s">
        <v>2097</v>
      </c>
      <c r="E1943">
        <v>0</v>
      </c>
      <c r="F1943">
        <v>2</v>
      </c>
      <c r="G1943" t="s">
        <v>2</v>
      </c>
      <c r="H1943" cm="1">
        <f t="array" ref="H1943">-isDup(B1943,B1944,0.7)</f>
        <v>0</v>
      </c>
    </row>
    <row r="1944" spans="1:8" x14ac:dyDescent="0.2">
      <c r="A1944" s="3">
        <v>46909.921492997688</v>
      </c>
      <c r="B1944" t="s">
        <v>2098</v>
      </c>
      <c r="C1944" t="s">
        <v>1130</v>
      </c>
      <c r="D1944" t="s">
        <v>291</v>
      </c>
      <c r="E1944">
        <v>1</v>
      </c>
      <c r="F1944">
        <v>2</v>
      </c>
      <c r="G1944" t="s">
        <v>2</v>
      </c>
      <c r="H1944" cm="1">
        <f t="array" ref="H1944">-isDup(B1944,B1945,0.7)</f>
        <v>0</v>
      </c>
    </row>
    <row r="1945" spans="1:8" x14ac:dyDescent="0.2">
      <c r="A1945" s="3">
        <v>46910.921492997688</v>
      </c>
      <c r="B1945" t="s">
        <v>2099</v>
      </c>
      <c r="C1945" t="s">
        <v>699</v>
      </c>
      <c r="E1945">
        <v>0</v>
      </c>
      <c r="F1945">
        <v>0</v>
      </c>
      <c r="G1945" t="s">
        <v>2</v>
      </c>
      <c r="H1945" cm="1">
        <f t="array" ref="H1945">-isDup(B1945,B1946,0.7)</f>
        <v>0</v>
      </c>
    </row>
    <row r="1946" spans="1:8" x14ac:dyDescent="0.2">
      <c r="A1946" s="3">
        <v>46911.921492997688</v>
      </c>
      <c r="B1946" t="s">
        <v>2033</v>
      </c>
      <c r="C1946" t="s">
        <v>686</v>
      </c>
      <c r="D1946" t="s">
        <v>13</v>
      </c>
      <c r="E1946">
        <v>0</v>
      </c>
      <c r="F1946">
        <v>0</v>
      </c>
      <c r="G1946" t="s">
        <v>2</v>
      </c>
      <c r="H1946" cm="1">
        <f t="array" ref="H1946">-isDup(B1946,B1947,0.7)</f>
        <v>0</v>
      </c>
    </row>
    <row r="1947" spans="1:8" x14ac:dyDescent="0.2">
      <c r="A1947" s="3">
        <v>46912.921492997688</v>
      </c>
      <c r="B1947" t="s">
        <v>216</v>
      </c>
      <c r="C1947" t="s">
        <v>134</v>
      </c>
      <c r="E1947">
        <v>0</v>
      </c>
      <c r="F1947">
        <v>0</v>
      </c>
      <c r="G1947" t="s">
        <v>2</v>
      </c>
      <c r="H1947" cm="1">
        <f t="array" ref="H1947">-isDup(B1947,B1948,0.7)</f>
        <v>0</v>
      </c>
    </row>
    <row r="1948" spans="1:8" x14ac:dyDescent="0.2">
      <c r="A1948" s="3">
        <v>46913.921492997688</v>
      </c>
      <c r="B1948" t="s">
        <v>396</v>
      </c>
      <c r="C1948" t="s">
        <v>128</v>
      </c>
      <c r="D1948" t="s">
        <v>129</v>
      </c>
      <c r="E1948">
        <v>0</v>
      </c>
      <c r="F1948">
        <v>0</v>
      </c>
      <c r="G1948" t="s">
        <v>2</v>
      </c>
      <c r="H1948" cm="1">
        <f t="array" ref="H1948">-isDup(B1948,B1949,0.7)</f>
        <v>-1</v>
      </c>
    </row>
    <row r="1949" spans="1:8" x14ac:dyDescent="0.2">
      <c r="A1949" s="3">
        <v>46914.921492997688</v>
      </c>
      <c r="B1949" t="s">
        <v>396</v>
      </c>
      <c r="C1949" t="s">
        <v>143</v>
      </c>
      <c r="D1949" t="s">
        <v>129</v>
      </c>
      <c r="E1949">
        <v>0</v>
      </c>
      <c r="F1949">
        <v>0</v>
      </c>
      <c r="G1949" t="s">
        <v>2</v>
      </c>
      <c r="H1949" cm="1">
        <f t="array" ref="H1949">-isDup(B1949,B1950,0.7)</f>
        <v>0</v>
      </c>
    </row>
    <row r="1950" spans="1:8" x14ac:dyDescent="0.2">
      <c r="A1950" s="3">
        <v>46915.921492997688</v>
      </c>
      <c r="B1950" t="s">
        <v>2100</v>
      </c>
      <c r="C1950" t="s">
        <v>2101</v>
      </c>
      <c r="D1950" t="s">
        <v>2102</v>
      </c>
      <c r="E1950">
        <v>0</v>
      </c>
      <c r="F1950">
        <v>0</v>
      </c>
      <c r="G1950" t="s">
        <v>2</v>
      </c>
      <c r="H1950" cm="1">
        <f t="array" ref="H1950">-isDup(B1950,B1951,0.7)</f>
        <v>0</v>
      </c>
    </row>
    <row r="1951" spans="1:8" x14ac:dyDescent="0.2">
      <c r="A1951" s="3">
        <v>46916.921492997688</v>
      </c>
      <c r="B1951" t="s">
        <v>2103</v>
      </c>
      <c r="C1951" t="s">
        <v>1481</v>
      </c>
      <c r="D1951" t="s">
        <v>2104</v>
      </c>
      <c r="E1951">
        <v>0</v>
      </c>
      <c r="F1951">
        <v>0</v>
      </c>
      <c r="G1951" t="s">
        <v>2</v>
      </c>
      <c r="H1951" cm="1">
        <f t="array" ref="H1951">-isDup(B1951,B1952,0.7)</f>
        <v>0</v>
      </c>
    </row>
    <row r="1952" spans="1:8" x14ac:dyDescent="0.2">
      <c r="A1952" s="3">
        <v>46917.921492997688</v>
      </c>
      <c r="B1952" t="s">
        <v>155</v>
      </c>
      <c r="C1952" t="s">
        <v>12</v>
      </c>
      <c r="D1952" t="s">
        <v>13</v>
      </c>
      <c r="E1952">
        <v>0</v>
      </c>
      <c r="F1952">
        <v>0</v>
      </c>
      <c r="G1952" t="s">
        <v>2</v>
      </c>
      <c r="H1952" cm="1">
        <f t="array" ref="H1952">-isDup(B1952,B1953,0.7)</f>
        <v>0</v>
      </c>
    </row>
    <row r="1953" spans="1:8" x14ac:dyDescent="0.2">
      <c r="A1953" s="3">
        <v>46918.921492997688</v>
      </c>
      <c r="B1953" t="s">
        <v>162</v>
      </c>
      <c r="C1953" t="s">
        <v>134</v>
      </c>
      <c r="E1953">
        <v>0</v>
      </c>
      <c r="F1953">
        <v>0</v>
      </c>
      <c r="G1953" t="s">
        <v>2</v>
      </c>
      <c r="H1953" cm="1">
        <f t="array" ref="H1953">-isDup(B1953,B1954,0.7)</f>
        <v>0</v>
      </c>
    </row>
    <row r="1954" spans="1:8" x14ac:dyDescent="0.2">
      <c r="A1954" s="3">
        <v>46919.921492997688</v>
      </c>
      <c r="B1954" t="s">
        <v>339</v>
      </c>
      <c r="C1954" t="s">
        <v>143</v>
      </c>
      <c r="D1954" t="s">
        <v>129</v>
      </c>
      <c r="E1954">
        <v>0</v>
      </c>
      <c r="F1954">
        <v>0</v>
      </c>
      <c r="G1954" t="s">
        <v>2</v>
      </c>
      <c r="H1954" cm="1">
        <f t="array" ref="H1954">-isDup(B1954,B1955,0.7)</f>
        <v>-1</v>
      </c>
    </row>
    <row r="1955" spans="1:8" x14ac:dyDescent="0.2">
      <c r="A1955" s="3">
        <v>46920.921492997688</v>
      </c>
      <c r="B1955" t="s">
        <v>339</v>
      </c>
      <c r="C1955" t="s">
        <v>128</v>
      </c>
      <c r="D1955" t="s">
        <v>129</v>
      </c>
      <c r="E1955">
        <v>0</v>
      </c>
      <c r="F1955">
        <v>0</v>
      </c>
      <c r="G1955" t="s">
        <v>2</v>
      </c>
      <c r="H1955" cm="1">
        <f t="array" ref="H1955">-isDup(B1955,B1956,0.7)</f>
        <v>0</v>
      </c>
    </row>
    <row r="1956" spans="1:8" x14ac:dyDescent="0.2">
      <c r="A1956" s="3">
        <v>46921.921492997688</v>
      </c>
      <c r="B1956" t="s">
        <v>218</v>
      </c>
      <c r="C1956" t="s">
        <v>22</v>
      </c>
      <c r="E1956">
        <v>0</v>
      </c>
      <c r="F1956">
        <v>0</v>
      </c>
      <c r="G1956" t="s">
        <v>2</v>
      </c>
      <c r="H1956" cm="1">
        <f t="array" ref="H1956">-isDup(B1956,B1957,0.7)</f>
        <v>0</v>
      </c>
    </row>
    <row r="1957" spans="1:8" x14ac:dyDescent="0.2">
      <c r="A1957" s="3">
        <v>46922.921492997688</v>
      </c>
      <c r="B1957" t="s">
        <v>2105</v>
      </c>
      <c r="C1957" t="s">
        <v>2106</v>
      </c>
      <c r="D1957" t="s">
        <v>1746</v>
      </c>
      <c r="E1957">
        <v>0</v>
      </c>
      <c r="F1957">
        <v>0</v>
      </c>
      <c r="G1957" t="s">
        <v>2</v>
      </c>
      <c r="H1957" cm="1">
        <f t="array" ref="H1957">-isDup(B1957,B1958,0.7)</f>
        <v>0</v>
      </c>
    </row>
    <row r="1958" spans="1:8" x14ac:dyDescent="0.2">
      <c r="A1958" s="3">
        <v>46923.921492997688</v>
      </c>
      <c r="B1958" t="s">
        <v>2107</v>
      </c>
      <c r="C1958" t="s">
        <v>1085</v>
      </c>
      <c r="D1958" t="s">
        <v>2108</v>
      </c>
      <c r="E1958">
        <v>0</v>
      </c>
      <c r="F1958">
        <v>0</v>
      </c>
      <c r="G1958" t="s">
        <v>2</v>
      </c>
      <c r="H1958" cm="1">
        <f t="array" ref="H1958">-isDup(B1958,B1959,0.7)</f>
        <v>0</v>
      </c>
    </row>
    <row r="1959" spans="1:8" x14ac:dyDescent="0.2">
      <c r="A1959" s="3">
        <v>46924.921492997688</v>
      </c>
      <c r="B1959" t="s">
        <v>2109</v>
      </c>
      <c r="C1959" t="s">
        <v>1240</v>
      </c>
      <c r="E1959">
        <v>0</v>
      </c>
      <c r="F1959">
        <v>1</v>
      </c>
      <c r="G1959" t="s">
        <v>2</v>
      </c>
      <c r="H1959" cm="1">
        <f t="array" ref="H1959">-isDup(B1959,B1960,0.7)</f>
        <v>0</v>
      </c>
    </row>
    <row r="1960" spans="1:8" x14ac:dyDescent="0.2">
      <c r="A1960" s="3">
        <v>46925.921492997688</v>
      </c>
      <c r="B1960" t="s">
        <v>2110</v>
      </c>
      <c r="C1960" t="s">
        <v>2111</v>
      </c>
      <c r="E1960">
        <v>0</v>
      </c>
      <c r="F1960">
        <v>0</v>
      </c>
      <c r="G1960" t="s">
        <v>2</v>
      </c>
      <c r="H1960" cm="1">
        <f t="array" ref="H1960">-isDup(B1960,B1961,0.7)</f>
        <v>0</v>
      </c>
    </row>
    <row r="1961" spans="1:8" x14ac:dyDescent="0.2">
      <c r="A1961" s="3">
        <v>46926.921492997688</v>
      </c>
      <c r="B1961" t="s">
        <v>2112</v>
      </c>
      <c r="C1961" t="s">
        <v>1076</v>
      </c>
      <c r="D1961" t="s">
        <v>1107</v>
      </c>
      <c r="E1961">
        <v>1</v>
      </c>
      <c r="F1961">
        <v>1</v>
      </c>
      <c r="G1961" t="s">
        <v>2</v>
      </c>
      <c r="H1961" cm="1">
        <f t="array" ref="H1961">-isDup(B1961,B1962,0.7)</f>
        <v>0</v>
      </c>
    </row>
    <row r="1962" spans="1:8" x14ac:dyDescent="0.2">
      <c r="A1962" s="3">
        <v>46927.921492997688</v>
      </c>
      <c r="B1962" t="s">
        <v>2113</v>
      </c>
      <c r="C1962" t="s">
        <v>262</v>
      </c>
      <c r="D1962" t="s">
        <v>2114</v>
      </c>
      <c r="E1962">
        <v>0</v>
      </c>
      <c r="F1962">
        <v>2</v>
      </c>
      <c r="G1962" t="s">
        <v>2</v>
      </c>
      <c r="H1962" cm="1">
        <f t="array" ref="H1962">-isDup(B1962,B1963,0.7)</f>
        <v>0</v>
      </c>
    </row>
    <row r="1963" spans="1:8" x14ac:dyDescent="0.2">
      <c r="A1963" s="3">
        <v>46928.921492997688</v>
      </c>
      <c r="B1963" t="s">
        <v>1974</v>
      </c>
      <c r="C1963" t="s">
        <v>2115</v>
      </c>
      <c r="E1963">
        <v>0</v>
      </c>
      <c r="F1963">
        <v>0</v>
      </c>
      <c r="G1963" t="s">
        <v>2</v>
      </c>
      <c r="H1963" cm="1">
        <f t="array" ref="H1963">-isDup(B1963,B1964,0.7)</f>
        <v>-1</v>
      </c>
    </row>
    <row r="1964" spans="1:8" x14ac:dyDescent="0.2">
      <c r="A1964" s="3">
        <v>46929.921492997688</v>
      </c>
      <c r="B1964" t="s">
        <v>2116</v>
      </c>
      <c r="C1964" t="s">
        <v>2117</v>
      </c>
      <c r="D1964" t="s">
        <v>2118</v>
      </c>
      <c r="E1964">
        <v>0</v>
      </c>
      <c r="F1964">
        <v>0</v>
      </c>
      <c r="G1964" t="s">
        <v>2</v>
      </c>
      <c r="H1964" cm="1">
        <f t="array" ref="H1964">-isDup(B1964,B1965,0.7)</f>
        <v>0</v>
      </c>
    </row>
    <row r="1965" spans="1:8" x14ac:dyDescent="0.2">
      <c r="A1965" s="3">
        <v>46930.921492997688</v>
      </c>
      <c r="B1965" t="s">
        <v>2119</v>
      </c>
      <c r="C1965" t="s">
        <v>2120</v>
      </c>
      <c r="D1965" t="s">
        <v>2121</v>
      </c>
      <c r="E1965">
        <v>0</v>
      </c>
      <c r="F1965">
        <v>0</v>
      </c>
      <c r="G1965" t="s">
        <v>2</v>
      </c>
      <c r="H1965" cm="1">
        <f t="array" ref="H1965">-isDup(B1965,B1966,0.7)</f>
        <v>0</v>
      </c>
    </row>
    <row r="1966" spans="1:8" x14ac:dyDescent="0.2">
      <c r="A1966" s="3">
        <v>46931.921492997688</v>
      </c>
      <c r="B1966" t="s">
        <v>2122</v>
      </c>
      <c r="C1966" t="s">
        <v>7</v>
      </c>
      <c r="E1966">
        <v>0</v>
      </c>
      <c r="F1966">
        <v>0</v>
      </c>
      <c r="G1966" t="s">
        <v>2</v>
      </c>
      <c r="H1966" cm="1">
        <f t="array" ref="H1966">-isDup(B1966,B1967,0.7)</f>
        <v>0</v>
      </c>
    </row>
    <row r="1967" spans="1:8" x14ac:dyDescent="0.2">
      <c r="A1967" s="3">
        <v>46932.921492997688</v>
      </c>
      <c r="B1967" t="s">
        <v>3</v>
      </c>
      <c r="C1967" t="s">
        <v>4</v>
      </c>
      <c r="D1967" t="s">
        <v>5</v>
      </c>
      <c r="E1967">
        <v>0</v>
      </c>
      <c r="F1967">
        <v>0</v>
      </c>
      <c r="G1967" t="s">
        <v>2</v>
      </c>
      <c r="H1967" cm="1">
        <f t="array" ref="H1967">-isDup(B1967,B1968,0.7)</f>
        <v>0</v>
      </c>
    </row>
    <row r="1968" spans="1:8" x14ac:dyDescent="0.2">
      <c r="A1968" s="3">
        <v>46933.921492997688</v>
      </c>
      <c r="B1968" t="s">
        <v>2123</v>
      </c>
      <c r="C1968" t="s">
        <v>98</v>
      </c>
      <c r="D1968" t="s">
        <v>13</v>
      </c>
      <c r="E1968">
        <v>0</v>
      </c>
      <c r="F1968">
        <v>0</v>
      </c>
      <c r="G1968" t="s">
        <v>2</v>
      </c>
      <c r="H1968" cm="1">
        <f t="array" ref="H1968">-isDup(B1968,B1969,0.7)</f>
        <v>0</v>
      </c>
    </row>
    <row r="1969" spans="1:8" x14ac:dyDescent="0.2">
      <c r="A1969" s="3">
        <v>46934.921492997688</v>
      </c>
      <c r="B1969" t="s">
        <v>2124</v>
      </c>
      <c r="C1969" t="s">
        <v>33</v>
      </c>
      <c r="D1969" t="s">
        <v>34</v>
      </c>
      <c r="E1969">
        <v>0</v>
      </c>
      <c r="F1969">
        <v>0</v>
      </c>
      <c r="G1969" t="s">
        <v>2</v>
      </c>
      <c r="H1969" cm="1">
        <f t="array" ref="H1969">-isDup(B1969,B1970,0.7)</f>
        <v>0</v>
      </c>
    </row>
    <row r="1970" spans="1:8" x14ac:dyDescent="0.2">
      <c r="A1970" s="3">
        <v>46935.921492997688</v>
      </c>
      <c r="B1970" t="s">
        <v>35</v>
      </c>
      <c r="C1970" t="s">
        <v>33</v>
      </c>
      <c r="D1970" t="s">
        <v>34</v>
      </c>
      <c r="E1970">
        <v>0</v>
      </c>
      <c r="F1970">
        <v>0</v>
      </c>
      <c r="G1970" t="s">
        <v>2</v>
      </c>
      <c r="H1970" cm="1">
        <f t="array" ref="H1970">-isDup(B1970,B1971,0.7)</f>
        <v>0</v>
      </c>
    </row>
    <row r="1971" spans="1:8" x14ac:dyDescent="0.2">
      <c r="A1971" s="3">
        <v>46936.921492997688</v>
      </c>
      <c r="B1971" t="s">
        <v>36</v>
      </c>
      <c r="C1971" t="s">
        <v>33</v>
      </c>
      <c r="D1971" t="s">
        <v>34</v>
      </c>
      <c r="E1971">
        <v>0</v>
      </c>
      <c r="F1971">
        <v>0</v>
      </c>
      <c r="G1971" t="s">
        <v>2</v>
      </c>
      <c r="H1971" cm="1">
        <f t="array" ref="H1971">-isDup(B1971,B1972,0.7)</f>
        <v>0</v>
      </c>
    </row>
    <row r="1972" spans="1:8" x14ac:dyDescent="0.2">
      <c r="A1972" s="3">
        <v>46937.921492997688</v>
      </c>
      <c r="B1972" t="s">
        <v>37</v>
      </c>
      <c r="C1972" t="s">
        <v>33</v>
      </c>
      <c r="D1972" t="s">
        <v>34</v>
      </c>
      <c r="E1972">
        <v>0</v>
      </c>
      <c r="F1972">
        <v>0</v>
      </c>
      <c r="G1972" t="s">
        <v>2</v>
      </c>
      <c r="H1972" cm="1">
        <f t="array" ref="H1972">-isDup(B1972,B1973,0.7)</f>
        <v>0</v>
      </c>
    </row>
    <row r="1973" spans="1:8" x14ac:dyDescent="0.2">
      <c r="A1973" s="3">
        <v>46938.921492997688</v>
      </c>
      <c r="B1973" t="s">
        <v>224</v>
      </c>
      <c r="C1973" t="s">
        <v>33</v>
      </c>
      <c r="D1973" t="s">
        <v>34</v>
      </c>
      <c r="E1973">
        <v>0</v>
      </c>
      <c r="F1973">
        <v>0</v>
      </c>
      <c r="G1973" t="s">
        <v>2</v>
      </c>
      <c r="H1973" cm="1">
        <f t="array" ref="H1973">-isDup(B1973,B1974,0.7)</f>
        <v>0</v>
      </c>
    </row>
    <row r="1974" spans="1:8" x14ac:dyDescent="0.2">
      <c r="A1974" s="3">
        <v>46939.921492997688</v>
      </c>
      <c r="B1974" t="s">
        <v>231</v>
      </c>
      <c r="C1974" t="s">
        <v>33</v>
      </c>
      <c r="D1974" t="s">
        <v>34</v>
      </c>
      <c r="E1974">
        <v>0</v>
      </c>
      <c r="F1974">
        <v>0</v>
      </c>
      <c r="G1974" t="s">
        <v>2</v>
      </c>
      <c r="H1974" cm="1">
        <f t="array" ref="H1974">-isDup(B1974,B1975,0.7)</f>
        <v>0</v>
      </c>
    </row>
    <row r="1975" spans="1:8" x14ac:dyDescent="0.2">
      <c r="A1975" s="3">
        <v>46940.921492997688</v>
      </c>
      <c r="B1975" t="s">
        <v>227</v>
      </c>
      <c r="C1975" t="s">
        <v>33</v>
      </c>
      <c r="D1975" t="s">
        <v>34</v>
      </c>
      <c r="E1975">
        <v>0</v>
      </c>
      <c r="F1975">
        <v>0</v>
      </c>
      <c r="G1975" t="s">
        <v>2</v>
      </c>
      <c r="H1975" cm="1">
        <f t="array" ref="H1975">-isDup(B1975,B1976,0.7)</f>
        <v>-1</v>
      </c>
    </row>
    <row r="1976" spans="1:8" x14ac:dyDescent="0.2">
      <c r="A1976" s="3">
        <v>46941.921492997688</v>
      </c>
      <c r="B1976" t="s">
        <v>228</v>
      </c>
      <c r="C1976" t="s">
        <v>33</v>
      </c>
      <c r="D1976" t="s">
        <v>34</v>
      </c>
      <c r="E1976">
        <v>0</v>
      </c>
      <c r="F1976">
        <v>0</v>
      </c>
      <c r="G1976" t="s">
        <v>2</v>
      </c>
      <c r="H1976" cm="1">
        <f t="array" ref="H1976">-isDup(B1976,B1977,0.7)</f>
        <v>0</v>
      </c>
    </row>
    <row r="1977" spans="1:8" x14ac:dyDescent="0.2">
      <c r="A1977" s="3">
        <v>46942.921492997688</v>
      </c>
      <c r="B1977" t="s">
        <v>226</v>
      </c>
      <c r="C1977" t="s">
        <v>33</v>
      </c>
      <c r="D1977" t="s">
        <v>34</v>
      </c>
      <c r="E1977">
        <v>0</v>
      </c>
      <c r="F1977">
        <v>0</v>
      </c>
      <c r="G1977" t="s">
        <v>2</v>
      </c>
      <c r="H1977" cm="1">
        <f t="array" ref="H1977">-isDup(B1977,B1978,0.7)</f>
        <v>0</v>
      </c>
    </row>
    <row r="1978" spans="1:8" x14ac:dyDescent="0.2">
      <c r="A1978" s="3">
        <v>46943.921492997688</v>
      </c>
      <c r="B1978" t="s">
        <v>230</v>
      </c>
      <c r="C1978" t="s">
        <v>33</v>
      </c>
      <c r="D1978" t="s">
        <v>34</v>
      </c>
      <c r="E1978">
        <v>0</v>
      </c>
      <c r="F1978">
        <v>0</v>
      </c>
      <c r="G1978" t="s">
        <v>2</v>
      </c>
      <c r="H1978" cm="1">
        <f t="array" ref="H1978">-isDup(B1978,B1979,0.7)</f>
        <v>0</v>
      </c>
    </row>
    <row r="1979" spans="1:8" x14ac:dyDescent="0.2">
      <c r="A1979" s="3">
        <v>46944.921492997688</v>
      </c>
      <c r="B1979" t="s">
        <v>225</v>
      </c>
      <c r="C1979" t="s">
        <v>33</v>
      </c>
      <c r="D1979" t="s">
        <v>34</v>
      </c>
      <c r="E1979">
        <v>0</v>
      </c>
      <c r="F1979">
        <v>0</v>
      </c>
      <c r="G1979" t="s">
        <v>2</v>
      </c>
      <c r="H1979" cm="1">
        <f t="array" ref="H1979">-isDup(B1979,B1980,0.7)</f>
        <v>0</v>
      </c>
    </row>
    <row r="1980" spans="1:8" x14ac:dyDescent="0.2">
      <c r="A1980" s="3">
        <v>46945.921492997688</v>
      </c>
      <c r="B1980" t="s">
        <v>229</v>
      </c>
      <c r="C1980" t="s">
        <v>33</v>
      </c>
      <c r="D1980" t="s">
        <v>34</v>
      </c>
      <c r="E1980">
        <v>0</v>
      </c>
      <c r="F1980">
        <v>0</v>
      </c>
      <c r="G1980" t="s">
        <v>2</v>
      </c>
      <c r="H1980" cm="1">
        <f t="array" ref="H1980">-isDup(B1980,B1981,0.7)</f>
        <v>0</v>
      </c>
    </row>
    <row r="1981" spans="1:8" x14ac:dyDescent="0.2">
      <c r="A1981" s="3">
        <v>46946.921492997688</v>
      </c>
      <c r="B1981" t="s">
        <v>2125</v>
      </c>
      <c r="C1981" t="s">
        <v>128</v>
      </c>
      <c r="D1981" t="s">
        <v>129</v>
      </c>
      <c r="E1981">
        <v>0</v>
      </c>
      <c r="F1981">
        <v>0</v>
      </c>
      <c r="G1981" t="s">
        <v>2</v>
      </c>
      <c r="H1981" cm="1">
        <f t="array" ref="H1981">-isDup(B1981,B1982,0.7)</f>
        <v>0</v>
      </c>
    </row>
    <row r="1982" spans="1:8" x14ac:dyDescent="0.2">
      <c r="A1982" s="3">
        <v>46947.921492997688</v>
      </c>
      <c r="B1982" t="s">
        <v>1003</v>
      </c>
      <c r="C1982" t="s">
        <v>98</v>
      </c>
      <c r="D1982" t="s">
        <v>13</v>
      </c>
      <c r="E1982">
        <v>0</v>
      </c>
      <c r="F1982">
        <v>0</v>
      </c>
      <c r="G1982" t="s">
        <v>2</v>
      </c>
      <c r="H1982" cm="1">
        <f t="array" ref="H1982">-isDup(B1982,B1983,0.7)</f>
        <v>0</v>
      </c>
    </row>
    <row r="1983" spans="1:8" x14ac:dyDescent="0.2">
      <c r="A1983" s="3">
        <v>46948.921492997688</v>
      </c>
      <c r="B1983" t="s">
        <v>2126</v>
      </c>
      <c r="C1983" t="s">
        <v>98</v>
      </c>
      <c r="D1983" t="s">
        <v>13</v>
      </c>
      <c r="E1983">
        <v>0</v>
      </c>
      <c r="F1983">
        <v>0</v>
      </c>
      <c r="G1983" t="s">
        <v>2</v>
      </c>
      <c r="H1983" cm="1">
        <f t="array" ref="H1983">-isDup(B1983,B1984,0.7)</f>
        <v>0</v>
      </c>
    </row>
    <row r="1984" spans="1:8" x14ac:dyDescent="0.2">
      <c r="A1984" s="3">
        <v>46949.921492997688</v>
      </c>
      <c r="B1984" t="s">
        <v>370</v>
      </c>
      <c r="C1984" t="s">
        <v>143</v>
      </c>
      <c r="D1984" t="s">
        <v>129</v>
      </c>
      <c r="E1984">
        <v>0</v>
      </c>
      <c r="F1984">
        <v>0</v>
      </c>
      <c r="G1984" t="s">
        <v>2</v>
      </c>
      <c r="H1984" cm="1">
        <f t="array" ref="H1984">-isDup(B1984,B1985,0.7)</f>
        <v>-1</v>
      </c>
    </row>
    <row r="1985" spans="1:8" x14ac:dyDescent="0.2">
      <c r="A1985" s="3">
        <v>46950.921492997688</v>
      </c>
      <c r="B1985" t="s">
        <v>370</v>
      </c>
      <c r="C1985" t="s">
        <v>128</v>
      </c>
      <c r="D1985" t="s">
        <v>129</v>
      </c>
      <c r="E1985">
        <v>0</v>
      </c>
      <c r="F1985">
        <v>0</v>
      </c>
      <c r="G1985" t="s">
        <v>2</v>
      </c>
      <c r="H1985" cm="1">
        <f t="array" ref="H1985">-isDup(B1985,B1986,0.7)</f>
        <v>0</v>
      </c>
    </row>
    <row r="1986" spans="1:8" x14ac:dyDescent="0.2">
      <c r="A1986" s="3">
        <v>46951.921492997688</v>
      </c>
      <c r="B1986" t="s">
        <v>160</v>
      </c>
      <c r="C1986" t="s">
        <v>128</v>
      </c>
      <c r="D1986" t="s">
        <v>129</v>
      </c>
      <c r="E1986">
        <v>0</v>
      </c>
      <c r="F1986">
        <v>0</v>
      </c>
      <c r="G1986" t="s">
        <v>2</v>
      </c>
      <c r="H1986" cm="1">
        <f t="array" ref="H1986">-isDup(B1986,B1987,0.7)</f>
        <v>0</v>
      </c>
    </row>
    <row r="1987" spans="1:8" x14ac:dyDescent="0.2">
      <c r="A1987" s="3">
        <v>46952.921492997688</v>
      </c>
      <c r="B1987" t="s">
        <v>2127</v>
      </c>
      <c r="C1987" t="s">
        <v>178</v>
      </c>
      <c r="D1987" t="s">
        <v>291</v>
      </c>
      <c r="E1987">
        <v>0</v>
      </c>
      <c r="F1987">
        <v>0</v>
      </c>
      <c r="G1987" t="s">
        <v>2</v>
      </c>
      <c r="H1987" cm="1">
        <f t="array" ref="H1987">-isDup(B1987,B1988,0.7)</f>
        <v>0</v>
      </c>
    </row>
    <row r="1988" spans="1:8" x14ac:dyDescent="0.2">
      <c r="A1988" s="3">
        <v>46953.921492997688</v>
      </c>
      <c r="B1988" t="s">
        <v>2128</v>
      </c>
      <c r="C1988" t="s">
        <v>2129</v>
      </c>
      <c r="D1988" t="s">
        <v>2130</v>
      </c>
      <c r="E1988">
        <v>1</v>
      </c>
      <c r="F1988">
        <v>1</v>
      </c>
      <c r="G1988" t="s">
        <v>2</v>
      </c>
      <c r="H1988" cm="1">
        <f t="array" ref="H1988">-isDup(B1988,B1989,0.7)</f>
        <v>0</v>
      </c>
    </row>
    <row r="1989" spans="1:8" x14ac:dyDescent="0.2">
      <c r="A1989" s="3">
        <v>46954.921492997688</v>
      </c>
      <c r="B1989" t="s">
        <v>2131</v>
      </c>
      <c r="C1989" t="s">
        <v>2132</v>
      </c>
      <c r="D1989" t="s">
        <v>2133</v>
      </c>
      <c r="E1989">
        <v>0</v>
      </c>
      <c r="F1989">
        <v>0</v>
      </c>
      <c r="G1989" t="s">
        <v>2</v>
      </c>
      <c r="H1989" cm="1">
        <f t="array" ref="H1989">-isDup(B1989,B1990,0.7)</f>
        <v>0</v>
      </c>
    </row>
    <row r="1990" spans="1:8" x14ac:dyDescent="0.2">
      <c r="A1990" s="3">
        <v>46955.921492997688</v>
      </c>
      <c r="B1990" t="s">
        <v>2134</v>
      </c>
      <c r="C1990" t="s">
        <v>2135</v>
      </c>
      <c r="D1990" t="s">
        <v>2136</v>
      </c>
      <c r="E1990">
        <v>0</v>
      </c>
      <c r="F1990">
        <v>1</v>
      </c>
      <c r="G1990" t="s">
        <v>2</v>
      </c>
      <c r="H1990" cm="1">
        <f t="array" ref="H1990">-isDup(B1990,B1991,0.7)</f>
        <v>0</v>
      </c>
    </row>
    <row r="1991" spans="1:8" x14ac:dyDescent="0.2">
      <c r="A1991" s="3">
        <v>46956.921492997688</v>
      </c>
      <c r="B1991" t="s">
        <v>2137</v>
      </c>
      <c r="C1991" t="s">
        <v>33</v>
      </c>
      <c r="D1991" t="s">
        <v>34</v>
      </c>
      <c r="E1991">
        <v>0</v>
      </c>
      <c r="F1991">
        <v>0</v>
      </c>
      <c r="G1991" t="s">
        <v>2</v>
      </c>
      <c r="H1991" cm="1">
        <f t="array" ref="H1991">-isDup(B1991,B1992,0.7)</f>
        <v>0</v>
      </c>
    </row>
    <row r="1992" spans="1:8" x14ac:dyDescent="0.2">
      <c r="A1992" s="3">
        <v>46957.921492997688</v>
      </c>
      <c r="B1992" t="s">
        <v>2138</v>
      </c>
      <c r="C1992" t="s">
        <v>1702</v>
      </c>
      <c r="D1992" t="s">
        <v>1703</v>
      </c>
      <c r="E1992">
        <v>0</v>
      </c>
      <c r="F1992">
        <v>0</v>
      </c>
      <c r="G1992" t="s">
        <v>2</v>
      </c>
      <c r="H1992" cm="1">
        <f t="array" ref="H1992">-isDup(B1992,B1993,0.7)</f>
        <v>0</v>
      </c>
    </row>
    <row r="1993" spans="1:8" x14ac:dyDescent="0.2">
      <c r="A1993" s="3">
        <v>46958.921492997688</v>
      </c>
      <c r="B1993" t="s">
        <v>2139</v>
      </c>
      <c r="C1993" t="s">
        <v>673</v>
      </c>
      <c r="D1993" t="s">
        <v>2140</v>
      </c>
      <c r="E1993">
        <v>0</v>
      </c>
      <c r="F1993">
        <v>0</v>
      </c>
      <c r="G1993" t="s">
        <v>2</v>
      </c>
      <c r="H1993" cm="1">
        <f t="array" ref="H1993">-isDup(B1993,B1994,0.7)</f>
        <v>0</v>
      </c>
    </row>
    <row r="1994" spans="1:8" x14ac:dyDescent="0.2">
      <c r="A1994" s="3">
        <v>46959.921492997688</v>
      </c>
      <c r="B1994" t="s">
        <v>973</v>
      </c>
      <c r="C1994" t="s">
        <v>143</v>
      </c>
      <c r="D1994" t="s">
        <v>129</v>
      </c>
      <c r="E1994">
        <v>0</v>
      </c>
      <c r="F1994">
        <v>0</v>
      </c>
      <c r="G1994" t="s">
        <v>2</v>
      </c>
      <c r="H1994" cm="1">
        <f t="array" ref="H1994">-isDup(B1994,B1995,0.7)</f>
        <v>-1</v>
      </c>
    </row>
    <row r="1995" spans="1:8" x14ac:dyDescent="0.2">
      <c r="A1995" s="3">
        <v>46960.921492997688</v>
      </c>
      <c r="B1995" t="s">
        <v>973</v>
      </c>
      <c r="C1995" t="s">
        <v>128</v>
      </c>
      <c r="D1995" t="s">
        <v>129</v>
      </c>
      <c r="E1995">
        <v>0</v>
      </c>
      <c r="F1995">
        <v>0</v>
      </c>
      <c r="G1995" t="s">
        <v>2</v>
      </c>
      <c r="H1995" cm="1">
        <f t="array" ref="H1995">-isDup(B1995,B1996,0.7)</f>
        <v>0</v>
      </c>
    </row>
    <row r="1996" spans="1:8" x14ac:dyDescent="0.2">
      <c r="A1996" s="3">
        <v>46961.921492997688</v>
      </c>
      <c r="B1996" t="s">
        <v>2141</v>
      </c>
      <c r="C1996" t="s">
        <v>2142</v>
      </c>
      <c r="E1996">
        <v>0</v>
      </c>
      <c r="F1996">
        <v>0</v>
      </c>
      <c r="G1996" t="s">
        <v>2</v>
      </c>
      <c r="H1996" cm="1">
        <f t="array" ref="H1996">-isDup(B1996,B1997,0.7)</f>
        <v>0</v>
      </c>
    </row>
    <row r="1997" spans="1:8" x14ac:dyDescent="0.2">
      <c r="A1997" s="3">
        <v>46962.921492997688</v>
      </c>
      <c r="B1997" t="s">
        <v>1459</v>
      </c>
      <c r="C1997" t="s">
        <v>128</v>
      </c>
      <c r="D1997" t="s">
        <v>129</v>
      </c>
      <c r="E1997">
        <v>0</v>
      </c>
      <c r="F1997">
        <v>0</v>
      </c>
      <c r="G1997" t="s">
        <v>2</v>
      </c>
      <c r="H1997" cm="1">
        <f t="array" ref="H1997">-isDup(B1997,B1998,0.7)</f>
        <v>0</v>
      </c>
    </row>
    <row r="1998" spans="1:8" x14ac:dyDescent="0.2">
      <c r="A1998" s="3">
        <v>46963.921492997688</v>
      </c>
      <c r="B1998" t="s">
        <v>2143</v>
      </c>
      <c r="C1998" t="s">
        <v>2142</v>
      </c>
      <c r="E1998">
        <v>0</v>
      </c>
      <c r="F1998">
        <v>0</v>
      </c>
      <c r="G1998" t="s">
        <v>2</v>
      </c>
      <c r="H1998" cm="1">
        <f t="array" ref="H1998">-isDup(B1998,B1999,0.7)</f>
        <v>0</v>
      </c>
    </row>
    <row r="1999" spans="1:8" x14ac:dyDescent="0.2">
      <c r="A1999" s="3">
        <v>46964.921492997688</v>
      </c>
      <c r="B1999" t="s">
        <v>2144</v>
      </c>
      <c r="C1999" t="s">
        <v>2145</v>
      </c>
      <c r="E1999">
        <v>0</v>
      </c>
      <c r="F1999">
        <v>1</v>
      </c>
      <c r="G1999" t="s">
        <v>2</v>
      </c>
      <c r="H1999" cm="1">
        <f t="array" ref="H1999">-isDup(B1999,B2000,0.7)</f>
        <v>0</v>
      </c>
    </row>
    <row r="2000" spans="1:8" x14ac:dyDescent="0.2">
      <c r="A2000" s="3">
        <v>46965.921492997688</v>
      </c>
      <c r="B2000" t="s">
        <v>1214</v>
      </c>
      <c r="C2000" t="s">
        <v>1215</v>
      </c>
      <c r="D2000" t="s">
        <v>1216</v>
      </c>
      <c r="E2000">
        <v>0</v>
      </c>
      <c r="F2000">
        <v>0</v>
      </c>
      <c r="G2000" t="s">
        <v>2</v>
      </c>
      <c r="H2000" cm="1">
        <f t="array" ref="H2000">-isDup(B2000,B2001,0.7)</f>
        <v>0</v>
      </c>
    </row>
    <row r="2001" spans="1:8" x14ac:dyDescent="0.2">
      <c r="A2001" s="3">
        <v>46966.921492997688</v>
      </c>
      <c r="B2001" t="s">
        <v>2146</v>
      </c>
      <c r="C2001" t="s">
        <v>2147</v>
      </c>
      <c r="D2001" t="s">
        <v>158</v>
      </c>
      <c r="E2001">
        <v>0</v>
      </c>
      <c r="F2001">
        <v>0</v>
      </c>
      <c r="G2001" t="s">
        <v>2</v>
      </c>
      <c r="H2001" cm="1">
        <f t="array" ref="H2001">-isDup(B2001,B2002,0.7)</f>
        <v>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8A7397-9C3C-1042-AA4C-B46727D08BBE}">
  <sheetPr codeName="Sheet2"/>
  <dimension ref="A1:B64"/>
  <sheetViews>
    <sheetView topLeftCell="A41" workbookViewId="0">
      <selection activeCell="A20" sqref="A20"/>
    </sheetView>
  </sheetViews>
  <sheetFormatPr baseColWidth="10" defaultRowHeight="16" x14ac:dyDescent="0.2"/>
  <sheetData>
    <row r="1" spans="1:2" x14ac:dyDescent="0.2">
      <c r="A1" t="s">
        <v>2156</v>
      </c>
      <c r="B1" t="s">
        <v>2157</v>
      </c>
    </row>
    <row r="2" spans="1:2" x14ac:dyDescent="0.2">
      <c r="A2" t="s">
        <v>2158</v>
      </c>
      <c r="B2" t="s">
        <v>2159</v>
      </c>
    </row>
    <row r="3" spans="1:2" x14ac:dyDescent="0.2">
      <c r="A3" t="s">
        <v>2160</v>
      </c>
      <c r="B3" t="s">
        <v>2161</v>
      </c>
    </row>
    <row r="4" spans="1:2" x14ac:dyDescent="0.2">
      <c r="A4" t="s">
        <v>2162</v>
      </c>
      <c r="B4" t="s">
        <v>2163</v>
      </c>
    </row>
    <row r="5" spans="1:2" x14ac:dyDescent="0.2">
      <c r="A5" t="s">
        <v>2164</v>
      </c>
      <c r="B5" t="s">
        <v>2165</v>
      </c>
    </row>
    <row r="6" spans="1:2" x14ac:dyDescent="0.2">
      <c r="A6" t="s">
        <v>2166</v>
      </c>
      <c r="B6" t="s">
        <v>2167</v>
      </c>
    </row>
    <row r="7" spans="1:2" x14ac:dyDescent="0.2">
      <c r="A7" t="s">
        <v>2168</v>
      </c>
      <c r="B7" t="s">
        <v>2169</v>
      </c>
    </row>
    <row r="8" spans="1:2" x14ac:dyDescent="0.2">
      <c r="A8" t="s">
        <v>2170</v>
      </c>
      <c r="B8" t="s">
        <v>2171</v>
      </c>
    </row>
    <row r="9" spans="1:2" x14ac:dyDescent="0.2">
      <c r="A9" t="s">
        <v>2172</v>
      </c>
      <c r="B9" t="s">
        <v>2173</v>
      </c>
    </row>
    <row r="10" spans="1:2" x14ac:dyDescent="0.2">
      <c r="A10" t="s">
        <v>2174</v>
      </c>
      <c r="B10" t="s">
        <v>2175</v>
      </c>
    </row>
    <row r="11" spans="1:2" x14ac:dyDescent="0.2">
      <c r="A11" t="s">
        <v>2176</v>
      </c>
      <c r="B11" t="s">
        <v>2177</v>
      </c>
    </row>
    <row r="12" spans="1:2" x14ac:dyDescent="0.2">
      <c r="A12" t="s">
        <v>2178</v>
      </c>
      <c r="B12" t="s">
        <v>2179</v>
      </c>
    </row>
    <row r="13" spans="1:2" x14ac:dyDescent="0.2">
      <c r="A13" t="s">
        <v>2180</v>
      </c>
      <c r="B13" t="s">
        <v>2181</v>
      </c>
    </row>
    <row r="14" spans="1:2" x14ac:dyDescent="0.2">
      <c r="A14" t="s">
        <v>2182</v>
      </c>
      <c r="B14" t="s">
        <v>2183</v>
      </c>
    </row>
    <row r="15" spans="1:2" x14ac:dyDescent="0.2">
      <c r="A15" t="s">
        <v>2184</v>
      </c>
      <c r="B15" t="s">
        <v>2185</v>
      </c>
    </row>
    <row r="16" spans="1:2" x14ac:dyDescent="0.2">
      <c r="A16" t="s">
        <v>2186</v>
      </c>
      <c r="B16" t="s">
        <v>2187</v>
      </c>
    </row>
    <row r="17" spans="1:2" x14ac:dyDescent="0.2">
      <c r="A17" t="s">
        <v>2188</v>
      </c>
      <c r="B17" t="s">
        <v>2189</v>
      </c>
    </row>
    <row r="18" spans="1:2" x14ac:dyDescent="0.2">
      <c r="A18" t="s">
        <v>2190</v>
      </c>
      <c r="B18" t="s">
        <v>2191</v>
      </c>
    </row>
    <row r="19" spans="1:2" x14ac:dyDescent="0.2">
      <c r="A19" t="s">
        <v>2192</v>
      </c>
      <c r="B19" t="s">
        <v>2193</v>
      </c>
    </row>
    <row r="20" spans="1:2" x14ac:dyDescent="0.2">
      <c r="A20" t="s">
        <v>2194</v>
      </c>
      <c r="B20" t="s">
        <v>2195</v>
      </c>
    </row>
    <row r="21" spans="1:2" x14ac:dyDescent="0.2">
      <c r="A21" t="s">
        <v>2196</v>
      </c>
      <c r="B21" t="s">
        <v>2197</v>
      </c>
    </row>
    <row r="22" spans="1:2" x14ac:dyDescent="0.2">
      <c r="A22" t="s">
        <v>2198</v>
      </c>
      <c r="B22" t="s">
        <v>2199</v>
      </c>
    </row>
    <row r="23" spans="1:2" x14ac:dyDescent="0.2">
      <c r="A23" t="s">
        <v>2200</v>
      </c>
      <c r="B23" t="s">
        <v>2201</v>
      </c>
    </row>
    <row r="24" spans="1:2" x14ac:dyDescent="0.2">
      <c r="A24" t="s">
        <v>2202</v>
      </c>
      <c r="B24" t="s">
        <v>2203</v>
      </c>
    </row>
    <row r="25" spans="1:2" x14ac:dyDescent="0.2">
      <c r="A25" t="s">
        <v>2204</v>
      </c>
      <c r="B25" t="s">
        <v>2205</v>
      </c>
    </row>
    <row r="26" spans="1:2" x14ac:dyDescent="0.2">
      <c r="A26" t="s">
        <v>2206</v>
      </c>
      <c r="B26" t="s">
        <v>2207</v>
      </c>
    </row>
    <row r="27" spans="1:2" x14ac:dyDescent="0.2">
      <c r="A27" t="s">
        <v>2208</v>
      </c>
      <c r="B27" t="s">
        <v>2209</v>
      </c>
    </row>
    <row r="28" spans="1:2" x14ac:dyDescent="0.2">
      <c r="A28" t="s">
        <v>2210</v>
      </c>
      <c r="B28" t="s">
        <v>2211</v>
      </c>
    </row>
    <row r="29" spans="1:2" x14ac:dyDescent="0.2">
      <c r="A29" t="s">
        <v>2212</v>
      </c>
      <c r="B29" t="s">
        <v>2213</v>
      </c>
    </row>
    <row r="30" spans="1:2" x14ac:dyDescent="0.2">
      <c r="A30" t="s">
        <v>2214</v>
      </c>
      <c r="B30" t="s">
        <v>2215</v>
      </c>
    </row>
    <row r="31" spans="1:2" x14ac:dyDescent="0.2">
      <c r="A31" t="s">
        <v>2216</v>
      </c>
      <c r="B31" t="s">
        <v>2217</v>
      </c>
    </row>
    <row r="32" spans="1:2" x14ac:dyDescent="0.2">
      <c r="A32" t="s">
        <v>2218</v>
      </c>
      <c r="B32" t="s">
        <v>2219</v>
      </c>
    </row>
    <row r="33" spans="1:2" x14ac:dyDescent="0.2">
      <c r="A33" t="s">
        <v>2220</v>
      </c>
      <c r="B33" t="s">
        <v>2221</v>
      </c>
    </row>
    <row r="34" spans="1:2" x14ac:dyDescent="0.2">
      <c r="A34" t="s">
        <v>2222</v>
      </c>
      <c r="B34" t="s">
        <v>2223</v>
      </c>
    </row>
    <row r="35" spans="1:2" x14ac:dyDescent="0.2">
      <c r="A35" t="s">
        <v>2224</v>
      </c>
      <c r="B35" t="s">
        <v>2225</v>
      </c>
    </row>
    <row r="36" spans="1:2" x14ac:dyDescent="0.2">
      <c r="A36" t="s">
        <v>2226</v>
      </c>
      <c r="B36" t="s">
        <v>2227</v>
      </c>
    </row>
    <row r="37" spans="1:2" x14ac:dyDescent="0.2">
      <c r="A37" t="s">
        <v>2228</v>
      </c>
      <c r="B37" t="s">
        <v>2229</v>
      </c>
    </row>
    <row r="38" spans="1:2" x14ac:dyDescent="0.2">
      <c r="A38" t="s">
        <v>2230</v>
      </c>
      <c r="B38" t="s">
        <v>2231</v>
      </c>
    </row>
    <row r="39" spans="1:2" x14ac:dyDescent="0.2">
      <c r="A39" t="s">
        <v>2232</v>
      </c>
      <c r="B39" t="s">
        <v>2233</v>
      </c>
    </row>
    <row r="40" spans="1:2" x14ac:dyDescent="0.2">
      <c r="A40" t="s">
        <v>2234</v>
      </c>
      <c r="B40" t="s">
        <v>2235</v>
      </c>
    </row>
    <row r="41" spans="1:2" x14ac:dyDescent="0.2">
      <c r="A41" t="s">
        <v>2236</v>
      </c>
      <c r="B41" t="s">
        <v>2237</v>
      </c>
    </row>
    <row r="42" spans="1:2" x14ac:dyDescent="0.2">
      <c r="A42" t="s">
        <v>2238</v>
      </c>
      <c r="B42" t="s">
        <v>2239</v>
      </c>
    </row>
    <row r="43" spans="1:2" x14ac:dyDescent="0.2">
      <c r="A43" t="s">
        <v>2240</v>
      </c>
      <c r="B43" t="s">
        <v>2241</v>
      </c>
    </row>
    <row r="44" spans="1:2" x14ac:dyDescent="0.2">
      <c r="A44" t="s">
        <v>2242</v>
      </c>
      <c r="B44" t="s">
        <v>2243</v>
      </c>
    </row>
    <row r="45" spans="1:2" x14ac:dyDescent="0.2">
      <c r="A45" t="s">
        <v>2244</v>
      </c>
      <c r="B45" t="s">
        <v>2245</v>
      </c>
    </row>
    <row r="46" spans="1:2" x14ac:dyDescent="0.2">
      <c r="A46" t="s">
        <v>2246</v>
      </c>
      <c r="B46" t="s">
        <v>2247</v>
      </c>
    </row>
    <row r="47" spans="1:2" x14ac:dyDescent="0.2">
      <c r="A47" t="s">
        <v>2248</v>
      </c>
      <c r="B47" t="s">
        <v>2249</v>
      </c>
    </row>
    <row r="48" spans="1:2" x14ac:dyDescent="0.2">
      <c r="A48" t="s">
        <v>2250</v>
      </c>
      <c r="B48" t="s">
        <v>2251</v>
      </c>
    </row>
    <row r="49" spans="1:2" x14ac:dyDescent="0.2">
      <c r="A49" t="s">
        <v>2252</v>
      </c>
      <c r="B49" t="s">
        <v>2253</v>
      </c>
    </row>
    <row r="50" spans="1:2" x14ac:dyDescent="0.2">
      <c r="A50" t="s">
        <v>2254</v>
      </c>
      <c r="B50" t="s">
        <v>2255</v>
      </c>
    </row>
    <row r="51" spans="1:2" x14ac:dyDescent="0.2">
      <c r="A51" t="s">
        <v>2256</v>
      </c>
      <c r="B51" t="s">
        <v>2257</v>
      </c>
    </row>
    <row r="52" spans="1:2" x14ac:dyDescent="0.2">
      <c r="A52" t="s">
        <v>2258</v>
      </c>
      <c r="B52" t="s">
        <v>2259</v>
      </c>
    </row>
    <row r="53" spans="1:2" x14ac:dyDescent="0.2">
      <c r="A53" t="s">
        <v>2260</v>
      </c>
      <c r="B53" t="s">
        <v>2261</v>
      </c>
    </row>
    <row r="54" spans="1:2" x14ac:dyDescent="0.2">
      <c r="A54" t="s">
        <v>2262</v>
      </c>
      <c r="B54" t="s">
        <v>2263</v>
      </c>
    </row>
    <row r="55" spans="1:2" x14ac:dyDescent="0.2">
      <c r="A55" t="s">
        <v>2264</v>
      </c>
      <c r="B55" t="s">
        <v>2265</v>
      </c>
    </row>
    <row r="56" spans="1:2" x14ac:dyDescent="0.2">
      <c r="A56" t="s">
        <v>2266</v>
      </c>
      <c r="B56" t="s">
        <v>2267</v>
      </c>
    </row>
    <row r="57" spans="1:2" x14ac:dyDescent="0.2">
      <c r="A57" t="s">
        <v>2268</v>
      </c>
      <c r="B57" t="s">
        <v>2269</v>
      </c>
    </row>
    <row r="58" spans="1:2" x14ac:dyDescent="0.2">
      <c r="A58" t="s">
        <v>2270</v>
      </c>
      <c r="B58" t="s">
        <v>2271</v>
      </c>
    </row>
    <row r="59" spans="1:2" x14ac:dyDescent="0.2">
      <c r="A59" t="s">
        <v>2272</v>
      </c>
      <c r="B59" t="s">
        <v>2273</v>
      </c>
    </row>
    <row r="60" spans="1:2" x14ac:dyDescent="0.2">
      <c r="A60" t="s">
        <v>2274</v>
      </c>
      <c r="B60" t="s">
        <v>2275</v>
      </c>
    </row>
    <row r="61" spans="1:2" x14ac:dyDescent="0.2">
      <c r="A61" t="s">
        <v>2252</v>
      </c>
      <c r="B61" t="s">
        <v>2279</v>
      </c>
    </row>
    <row r="62" spans="1:2" x14ac:dyDescent="0.2">
      <c r="A62" t="s">
        <v>2276</v>
      </c>
      <c r="B62" t="s">
        <v>2280</v>
      </c>
    </row>
    <row r="63" spans="1:2" x14ac:dyDescent="0.2">
      <c r="A63" t="s">
        <v>2277</v>
      </c>
      <c r="B63" t="s">
        <v>2281</v>
      </c>
    </row>
    <row r="64" spans="1:2" x14ac:dyDescent="0.2">
      <c r="A64" t="s">
        <v>2278</v>
      </c>
      <c r="B64" t="s">
        <v>2165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D9CBE-A6D7-1646-BB07-E34DA08EB54E}">
  <sheetPr codeName="Sheet3"/>
  <dimension ref="A1:I2001"/>
  <sheetViews>
    <sheetView topLeftCell="B153" workbookViewId="0">
      <selection activeCell="D170" sqref="D170"/>
    </sheetView>
  </sheetViews>
  <sheetFormatPr baseColWidth="10" defaultRowHeight="16" x14ac:dyDescent="0.2"/>
  <cols>
    <col min="1" max="1" width="25.5" bestFit="1" customWidth="1"/>
    <col min="2" max="2" width="118.1640625" bestFit="1" customWidth="1"/>
    <col min="3" max="3" width="9.1640625" bestFit="1" customWidth="1"/>
    <col min="4" max="4" width="48.83203125" bestFit="1" customWidth="1"/>
    <col min="5" max="6" width="13.1640625" bestFit="1" customWidth="1"/>
    <col min="7" max="7" width="10.6640625" customWidth="1"/>
    <col min="9" max="9" width="10.83203125" style="4"/>
  </cols>
  <sheetData>
    <row r="1" spans="1:9" x14ac:dyDescent="0.2">
      <c r="A1" s="2" t="s">
        <v>2148</v>
      </c>
      <c r="B1" s="2" t="s">
        <v>2149</v>
      </c>
      <c r="C1" s="2" t="s">
        <v>2150</v>
      </c>
      <c r="D1" s="2" t="s">
        <v>2151</v>
      </c>
      <c r="E1" s="1" t="s">
        <v>2152</v>
      </c>
      <c r="F1" s="2" t="s">
        <v>2153</v>
      </c>
      <c r="G1" s="2" t="s">
        <v>2154</v>
      </c>
      <c r="H1" s="2"/>
    </row>
    <row r="2" spans="1:9" x14ac:dyDescent="0.2">
      <c r="A2" s="3">
        <v>44967.921493055554</v>
      </c>
      <c r="B2" t="s">
        <v>0</v>
      </c>
      <c r="C2" t="s">
        <v>1</v>
      </c>
      <c r="E2">
        <v>0</v>
      </c>
      <c r="F2">
        <v>0</v>
      </c>
      <c r="G2" t="s">
        <v>2</v>
      </c>
      <c r="H2" cm="1">
        <f t="array" ref="H2">sentimentCalc(B2)</f>
        <v>0</v>
      </c>
      <c r="I2" s="5" t="str" cm="1">
        <f t="array" ref="I2">sentimentCategory(H2)</f>
        <v>Neutral</v>
      </c>
    </row>
    <row r="3" spans="1:9" x14ac:dyDescent="0.2">
      <c r="A3" s="3">
        <v>44968.921492997688</v>
      </c>
      <c r="B3" t="s">
        <v>3</v>
      </c>
      <c r="C3" t="s">
        <v>4</v>
      </c>
      <c r="D3" t="s">
        <v>5</v>
      </c>
      <c r="E3">
        <v>0</v>
      </c>
      <c r="F3">
        <v>0</v>
      </c>
      <c r="G3" t="s">
        <v>2</v>
      </c>
      <c r="H3" cm="1">
        <f t="array" ref="H3">sentimentCalc(B3)</f>
        <v>0</v>
      </c>
      <c r="I3" s="5" t="str" cm="1">
        <f t="array" ref="I3">sentimentCategory(H3)</f>
        <v>Neutral</v>
      </c>
    </row>
    <row r="4" spans="1:9" x14ac:dyDescent="0.2">
      <c r="A4" s="3">
        <v>44969.921492997688</v>
      </c>
      <c r="B4" t="s">
        <v>6</v>
      </c>
      <c r="C4" t="s">
        <v>7</v>
      </c>
      <c r="E4">
        <v>0</v>
      </c>
      <c r="F4">
        <v>0</v>
      </c>
      <c r="G4" t="s">
        <v>2</v>
      </c>
      <c r="H4" cm="1">
        <f t="array" ref="H4">sentimentCalc(B4)</f>
        <v>0</v>
      </c>
      <c r="I4" s="5" t="str" cm="1">
        <f t="array" ref="I4">sentimentCategory(H4)</f>
        <v>Neutral</v>
      </c>
    </row>
    <row r="5" spans="1:9" x14ac:dyDescent="0.2">
      <c r="A5" s="3">
        <v>44970.921492997688</v>
      </c>
      <c r="B5" t="s">
        <v>8</v>
      </c>
      <c r="C5" t="s">
        <v>9</v>
      </c>
      <c r="D5" t="s">
        <v>10</v>
      </c>
      <c r="E5">
        <v>0</v>
      </c>
      <c r="F5">
        <v>0</v>
      </c>
      <c r="G5" t="s">
        <v>2</v>
      </c>
      <c r="H5" cm="1">
        <f t="array" ref="H5">sentimentCalc(B5)</f>
        <v>10</v>
      </c>
      <c r="I5" s="5" t="str" cm="1">
        <f t="array" ref="I5">sentimentCategory(H5)</f>
        <v>Positive</v>
      </c>
    </row>
    <row r="6" spans="1:9" x14ac:dyDescent="0.2">
      <c r="A6" s="3">
        <v>44971.921492997688</v>
      </c>
      <c r="B6" t="s">
        <v>11</v>
      </c>
      <c r="C6" t="s">
        <v>12</v>
      </c>
      <c r="D6" t="s">
        <v>13</v>
      </c>
      <c r="E6">
        <v>0</v>
      </c>
      <c r="F6">
        <v>0</v>
      </c>
      <c r="G6" t="s">
        <v>2</v>
      </c>
      <c r="H6" cm="1">
        <f t="array" ref="H6">sentimentCalc(B6)</f>
        <v>0</v>
      </c>
      <c r="I6" s="5" t="str" cm="1">
        <f t="array" ref="I6">sentimentCategory(H6)</f>
        <v>Neutral</v>
      </c>
    </row>
    <row r="7" spans="1:9" x14ac:dyDescent="0.2">
      <c r="A7" s="3">
        <v>44972.921492997688</v>
      </c>
      <c r="B7" t="s">
        <v>14</v>
      </c>
      <c r="C7" t="s">
        <v>15</v>
      </c>
      <c r="D7" t="s">
        <v>16</v>
      </c>
      <c r="E7">
        <v>0</v>
      </c>
      <c r="F7">
        <v>0</v>
      </c>
      <c r="G7" t="s">
        <v>2</v>
      </c>
      <c r="H7" cm="1">
        <f t="array" ref="H7">sentimentCalc(B7)</f>
        <v>0</v>
      </c>
      <c r="I7" s="5" t="str" cm="1">
        <f t="array" ref="I7">sentimentCategory(H7)</f>
        <v>Neutral</v>
      </c>
    </row>
    <row r="8" spans="1:9" x14ac:dyDescent="0.2">
      <c r="A8" s="3">
        <v>44973.921492997688</v>
      </c>
      <c r="B8" t="s">
        <v>17</v>
      </c>
      <c r="C8" t="s">
        <v>18</v>
      </c>
      <c r="D8" t="s">
        <v>19</v>
      </c>
      <c r="E8">
        <v>0</v>
      </c>
      <c r="F8">
        <v>0</v>
      </c>
      <c r="G8" t="s">
        <v>2</v>
      </c>
      <c r="H8" cm="1">
        <f t="array" ref="H8">sentimentCalc(B8)</f>
        <v>0</v>
      </c>
      <c r="I8" s="5" t="str" cm="1">
        <f t="array" ref="I8">sentimentCategory(H8)</f>
        <v>Neutral</v>
      </c>
    </row>
    <row r="9" spans="1:9" x14ac:dyDescent="0.2">
      <c r="A9" s="3">
        <v>44974.921492997688</v>
      </c>
      <c r="B9" t="s">
        <v>20</v>
      </c>
      <c r="C9" t="s">
        <v>7</v>
      </c>
      <c r="E9">
        <v>0</v>
      </c>
      <c r="F9">
        <v>0</v>
      </c>
      <c r="G9" t="s">
        <v>2</v>
      </c>
      <c r="H9" cm="1">
        <f t="array" ref="H9">sentimentCalc(B9)</f>
        <v>0</v>
      </c>
      <c r="I9" s="5" t="str" cm="1">
        <f t="array" ref="I9">sentimentCategory(H9)</f>
        <v>Neutral</v>
      </c>
    </row>
    <row r="10" spans="1:9" x14ac:dyDescent="0.2">
      <c r="A10" s="3"/>
      <c r="H10" cm="1">
        <f t="array" ref="H10">sentimentCalc(B10)</f>
        <v>0</v>
      </c>
      <c r="I10" s="5" t="str" cm="1">
        <f t="array" ref="I10">sentimentCategory(H10)</f>
        <v>Neutral</v>
      </c>
    </row>
    <row r="11" spans="1:9" x14ac:dyDescent="0.2">
      <c r="A11" s="3">
        <v>44976.921492997688</v>
      </c>
      <c r="B11" t="s">
        <v>21</v>
      </c>
      <c r="C11" t="s">
        <v>22</v>
      </c>
      <c r="E11">
        <v>0</v>
      </c>
      <c r="F11">
        <v>0</v>
      </c>
      <c r="G11" t="s">
        <v>2</v>
      </c>
      <c r="H11" cm="1">
        <f t="array" ref="H11">sentimentCalc(B11)</f>
        <v>0</v>
      </c>
      <c r="I11" s="5" t="str" cm="1">
        <f t="array" ref="I11">sentimentCategory(H11)</f>
        <v>Neutral</v>
      </c>
    </row>
    <row r="12" spans="1:9" x14ac:dyDescent="0.2">
      <c r="A12" s="3">
        <v>44977.921492997688</v>
      </c>
      <c r="B12" t="s">
        <v>23</v>
      </c>
      <c r="C12" t="s">
        <v>24</v>
      </c>
      <c r="D12" t="s">
        <v>25</v>
      </c>
      <c r="E12">
        <v>0</v>
      </c>
      <c r="F12">
        <v>1</v>
      </c>
      <c r="G12" t="s">
        <v>2</v>
      </c>
      <c r="H12" cm="1">
        <f t="array" ref="H12">sentimentCalc(B12)</f>
        <v>0</v>
      </c>
      <c r="I12" s="5" t="str" cm="1">
        <f t="array" ref="I12">sentimentCategory(H12)</f>
        <v>Neutral</v>
      </c>
    </row>
    <row r="13" spans="1:9" x14ac:dyDescent="0.2">
      <c r="A13" s="3">
        <v>44978.921492997688</v>
      </c>
      <c r="B13" t="s">
        <v>26</v>
      </c>
      <c r="C13" t="s">
        <v>7</v>
      </c>
      <c r="E13">
        <v>0</v>
      </c>
      <c r="F13">
        <v>0</v>
      </c>
      <c r="G13" t="s">
        <v>2</v>
      </c>
      <c r="H13" cm="1">
        <f t="array" ref="H13">sentimentCalc(B13)</f>
        <v>0</v>
      </c>
      <c r="I13" s="5" t="str" cm="1">
        <f t="array" ref="I13">sentimentCategory(H13)</f>
        <v>Neutral</v>
      </c>
    </row>
    <row r="14" spans="1:9" x14ac:dyDescent="0.2">
      <c r="A14" s="3">
        <v>44979.921492997688</v>
      </c>
      <c r="B14" t="s">
        <v>27</v>
      </c>
      <c r="C14" t="s">
        <v>12</v>
      </c>
      <c r="D14" t="s">
        <v>13</v>
      </c>
      <c r="E14">
        <v>0</v>
      </c>
      <c r="F14">
        <v>0</v>
      </c>
      <c r="G14" t="s">
        <v>2</v>
      </c>
      <c r="H14" cm="1">
        <f t="array" ref="H14">sentimentCalc(B14)</f>
        <v>10</v>
      </c>
      <c r="I14" s="5" t="str" cm="1">
        <f t="array" ref="I14">sentimentCategory(H14)</f>
        <v>Positive</v>
      </c>
    </row>
    <row r="15" spans="1:9" x14ac:dyDescent="0.2">
      <c r="A15" s="3">
        <v>44980.921492997688</v>
      </c>
      <c r="B15" t="s">
        <v>28</v>
      </c>
      <c r="C15" t="s">
        <v>7</v>
      </c>
      <c r="E15">
        <v>0</v>
      </c>
      <c r="F15">
        <v>0</v>
      </c>
      <c r="G15" t="s">
        <v>2</v>
      </c>
      <c r="H15" cm="1">
        <f t="array" ref="H15">sentimentCalc(B15)</f>
        <v>0</v>
      </c>
      <c r="I15" s="5" t="str" cm="1">
        <f t="array" ref="I15">sentimentCategory(H15)</f>
        <v>Neutral</v>
      </c>
    </row>
    <row r="16" spans="1:9" x14ac:dyDescent="0.2">
      <c r="A16" s="3">
        <v>44981.921492997688</v>
      </c>
      <c r="B16" t="s">
        <v>29</v>
      </c>
      <c r="C16" t="s">
        <v>30</v>
      </c>
      <c r="D16" t="s">
        <v>31</v>
      </c>
      <c r="E16">
        <v>0</v>
      </c>
      <c r="F16">
        <v>0</v>
      </c>
      <c r="G16" t="s">
        <v>2</v>
      </c>
      <c r="H16" cm="1">
        <f t="array" ref="H16">sentimentCalc(B16)</f>
        <v>10</v>
      </c>
      <c r="I16" s="5" t="str" cm="1">
        <f t="array" ref="I16">sentimentCategory(H16)</f>
        <v>Positive</v>
      </c>
    </row>
    <row r="17" spans="1:9" x14ac:dyDescent="0.2">
      <c r="A17" s="3">
        <v>44982.921492997688</v>
      </c>
      <c r="B17" t="s">
        <v>32</v>
      </c>
      <c r="C17" t="s">
        <v>33</v>
      </c>
      <c r="D17" t="s">
        <v>34</v>
      </c>
      <c r="E17">
        <v>0</v>
      </c>
      <c r="F17">
        <v>0</v>
      </c>
      <c r="G17" t="s">
        <v>2</v>
      </c>
      <c r="H17" cm="1">
        <f t="array" ref="H17">sentimentCalc(B17)</f>
        <v>0</v>
      </c>
      <c r="I17" s="5" t="str" cm="1">
        <f t="array" ref="I17">sentimentCategory(H17)</f>
        <v>Neutral</v>
      </c>
    </row>
    <row r="18" spans="1:9" x14ac:dyDescent="0.2">
      <c r="A18" s="3">
        <v>44983.921492997688</v>
      </c>
      <c r="B18" t="s">
        <v>35</v>
      </c>
      <c r="C18" t="s">
        <v>33</v>
      </c>
      <c r="D18" t="s">
        <v>34</v>
      </c>
      <c r="E18">
        <v>0</v>
      </c>
      <c r="F18">
        <v>0</v>
      </c>
      <c r="G18" t="s">
        <v>2</v>
      </c>
      <c r="H18" cm="1">
        <f t="array" ref="H18">sentimentCalc(B18)</f>
        <v>0</v>
      </c>
      <c r="I18" s="5" t="str" cm="1">
        <f t="array" ref="I18">sentimentCategory(H18)</f>
        <v>Neutral</v>
      </c>
    </row>
    <row r="19" spans="1:9" x14ac:dyDescent="0.2">
      <c r="A19" s="3">
        <v>44984.921492997688</v>
      </c>
      <c r="B19" t="s">
        <v>36</v>
      </c>
      <c r="C19" t="s">
        <v>33</v>
      </c>
      <c r="D19" t="s">
        <v>34</v>
      </c>
      <c r="E19">
        <v>0</v>
      </c>
      <c r="F19">
        <v>0</v>
      </c>
      <c r="G19" t="s">
        <v>2</v>
      </c>
      <c r="H19" cm="1">
        <f t="array" ref="H19">sentimentCalc(B19)</f>
        <v>10</v>
      </c>
      <c r="I19" s="5" t="str" cm="1">
        <f t="array" ref="I19">sentimentCategory(H19)</f>
        <v>Positive</v>
      </c>
    </row>
    <row r="20" spans="1:9" x14ac:dyDescent="0.2">
      <c r="A20" s="3">
        <v>44985.921492997688</v>
      </c>
      <c r="B20" t="s">
        <v>37</v>
      </c>
      <c r="C20" t="s">
        <v>33</v>
      </c>
      <c r="D20" t="s">
        <v>34</v>
      </c>
      <c r="E20">
        <v>0</v>
      </c>
      <c r="F20">
        <v>0</v>
      </c>
      <c r="G20" t="s">
        <v>2</v>
      </c>
      <c r="H20" cm="1">
        <f t="array" ref="H20">sentimentCalc(B20)</f>
        <v>0</v>
      </c>
      <c r="I20" s="5" t="str" cm="1">
        <f t="array" ref="I20">sentimentCategory(H20)</f>
        <v>Neutral</v>
      </c>
    </row>
    <row r="21" spans="1:9" x14ac:dyDescent="0.2">
      <c r="A21" s="3">
        <v>44986.921492997688</v>
      </c>
      <c r="B21" t="s">
        <v>38</v>
      </c>
      <c r="C21" t="s">
        <v>39</v>
      </c>
      <c r="E21">
        <v>0</v>
      </c>
      <c r="F21">
        <v>0</v>
      </c>
      <c r="G21" t="s">
        <v>2</v>
      </c>
      <c r="H21" cm="1">
        <f t="array" ref="H21">sentimentCalc(B21)</f>
        <v>0</v>
      </c>
      <c r="I21" s="5" t="str" cm="1">
        <f t="array" ref="I21">sentimentCategory(H21)</f>
        <v>Neutral</v>
      </c>
    </row>
    <row r="22" spans="1:9" x14ac:dyDescent="0.2">
      <c r="A22" s="3">
        <v>44987.921492997688</v>
      </c>
      <c r="B22" t="s">
        <v>40</v>
      </c>
      <c r="C22" t="s">
        <v>30</v>
      </c>
      <c r="D22" t="s">
        <v>31</v>
      </c>
      <c r="E22">
        <v>0</v>
      </c>
      <c r="F22">
        <v>0</v>
      </c>
      <c r="G22" t="s">
        <v>2</v>
      </c>
      <c r="H22" cm="1">
        <f t="array" ref="H22">sentimentCalc(B22)</f>
        <v>0</v>
      </c>
      <c r="I22" s="5" t="str" cm="1">
        <f t="array" ref="I22">sentimentCategory(H22)</f>
        <v>Neutral</v>
      </c>
    </row>
    <row r="23" spans="1:9" x14ac:dyDescent="0.2">
      <c r="A23" s="3"/>
      <c r="H23" cm="1">
        <f t="array" ref="H23">sentimentCalc(B23)</f>
        <v>0</v>
      </c>
      <c r="I23" s="5" t="str" cm="1">
        <f t="array" ref="I23">sentimentCategory(H23)</f>
        <v>Neutral</v>
      </c>
    </row>
    <row r="24" spans="1:9" x14ac:dyDescent="0.2">
      <c r="A24" s="3">
        <v>44989.921492997688</v>
      </c>
      <c r="B24" t="s">
        <v>42</v>
      </c>
      <c r="C24" t="s">
        <v>7</v>
      </c>
      <c r="E24">
        <v>0</v>
      </c>
      <c r="F24">
        <v>0</v>
      </c>
      <c r="G24" t="s">
        <v>2</v>
      </c>
      <c r="H24" cm="1">
        <f t="array" ref="H24">sentimentCalc(B24)</f>
        <v>0</v>
      </c>
      <c r="I24" s="5" t="str" cm="1">
        <f t="array" ref="I24">sentimentCategory(H24)</f>
        <v>Neutral</v>
      </c>
    </row>
    <row r="25" spans="1:9" x14ac:dyDescent="0.2">
      <c r="A25" s="3">
        <v>44990.921492997688</v>
      </c>
      <c r="B25" t="s">
        <v>43</v>
      </c>
      <c r="C25" t="s">
        <v>44</v>
      </c>
      <c r="D25" t="s">
        <v>45</v>
      </c>
      <c r="E25">
        <v>0</v>
      </c>
      <c r="F25">
        <v>0</v>
      </c>
      <c r="G25" t="s">
        <v>2</v>
      </c>
      <c r="H25" cm="1">
        <f t="array" ref="H25">sentimentCalc(B25)</f>
        <v>0</v>
      </c>
      <c r="I25" s="5" t="str" cm="1">
        <f t="array" ref="I25">sentimentCategory(H25)</f>
        <v>Neutral</v>
      </c>
    </row>
    <row r="26" spans="1:9" x14ac:dyDescent="0.2">
      <c r="A26" s="3">
        <v>44991.921492997688</v>
      </c>
      <c r="B26" t="s">
        <v>46</v>
      </c>
      <c r="C26" t="s">
        <v>22</v>
      </c>
      <c r="E26">
        <v>0</v>
      </c>
      <c r="F26">
        <v>0</v>
      </c>
      <c r="G26" t="s">
        <v>2</v>
      </c>
      <c r="H26" cm="1">
        <f t="array" ref="H26">sentimentCalc(B26)</f>
        <v>0</v>
      </c>
      <c r="I26" s="5" t="str" cm="1">
        <f t="array" ref="I26">sentimentCategory(H26)</f>
        <v>Neutral</v>
      </c>
    </row>
    <row r="27" spans="1:9" x14ac:dyDescent="0.2">
      <c r="A27" s="3">
        <v>44992.921492997688</v>
      </c>
      <c r="B27" t="s">
        <v>47</v>
      </c>
      <c r="C27" t="s">
        <v>48</v>
      </c>
      <c r="D27" t="s">
        <v>49</v>
      </c>
      <c r="E27">
        <v>6</v>
      </c>
      <c r="F27">
        <v>12</v>
      </c>
      <c r="G27" t="s">
        <v>2</v>
      </c>
      <c r="H27" cm="1">
        <f t="array" ref="H27">sentimentCalc(B27)</f>
        <v>10</v>
      </c>
      <c r="I27" s="5" t="str" cm="1">
        <f t="array" ref="I27">sentimentCategory(H27)</f>
        <v>Positive</v>
      </c>
    </row>
    <row r="28" spans="1:9" x14ac:dyDescent="0.2">
      <c r="A28" s="3">
        <v>44993.921492997688</v>
      </c>
      <c r="B28" t="s">
        <v>50</v>
      </c>
      <c r="C28" t="s">
        <v>51</v>
      </c>
      <c r="D28" t="s">
        <v>52</v>
      </c>
      <c r="E28">
        <v>0</v>
      </c>
      <c r="F28">
        <v>0</v>
      </c>
      <c r="G28" t="s">
        <v>2</v>
      </c>
      <c r="H28" cm="1">
        <f t="array" ref="H28">sentimentCalc(B28)</f>
        <v>0</v>
      </c>
      <c r="I28" s="5" t="str" cm="1">
        <f t="array" ref="I28">sentimentCategory(H28)</f>
        <v>Neutral</v>
      </c>
    </row>
    <row r="29" spans="1:9" x14ac:dyDescent="0.2">
      <c r="A29" s="3">
        <v>44994.921492997688</v>
      </c>
      <c r="B29" t="s">
        <v>53</v>
      </c>
      <c r="C29" t="s">
        <v>54</v>
      </c>
      <c r="D29" t="s">
        <v>55</v>
      </c>
      <c r="E29">
        <v>0</v>
      </c>
      <c r="F29">
        <v>0</v>
      </c>
      <c r="G29" t="s">
        <v>2</v>
      </c>
      <c r="H29" cm="1">
        <f t="array" ref="H29">sentimentCalc(B29)</f>
        <v>0</v>
      </c>
      <c r="I29" s="5" t="str" cm="1">
        <f t="array" ref="I29">sentimentCategory(H29)</f>
        <v>Neutral</v>
      </c>
    </row>
    <row r="30" spans="1:9" x14ac:dyDescent="0.2">
      <c r="A30" s="3">
        <v>44995.921492997688</v>
      </c>
      <c r="B30" t="s">
        <v>56</v>
      </c>
      <c r="C30" t="s">
        <v>57</v>
      </c>
      <c r="D30" t="s">
        <v>58</v>
      </c>
      <c r="E30">
        <v>0</v>
      </c>
      <c r="F30">
        <v>0</v>
      </c>
      <c r="G30" t="s">
        <v>2</v>
      </c>
      <c r="H30" cm="1">
        <f t="array" ref="H30">sentimentCalc(B30)</f>
        <v>0</v>
      </c>
      <c r="I30" s="5" t="str" cm="1">
        <f t="array" ref="I30">sentimentCategory(H30)</f>
        <v>Neutral</v>
      </c>
    </row>
    <row r="31" spans="1:9" x14ac:dyDescent="0.2">
      <c r="A31" s="3">
        <v>44996.921492997688</v>
      </c>
      <c r="B31" t="s">
        <v>59</v>
      </c>
      <c r="C31" t="s">
        <v>7</v>
      </c>
      <c r="E31">
        <v>0</v>
      </c>
      <c r="F31">
        <v>0</v>
      </c>
      <c r="G31" t="s">
        <v>2</v>
      </c>
      <c r="H31" cm="1">
        <f t="array" ref="H31">sentimentCalc(B31)</f>
        <v>0</v>
      </c>
      <c r="I31" s="5" t="str" cm="1">
        <f t="array" ref="I31">sentimentCategory(H31)</f>
        <v>Neutral</v>
      </c>
    </row>
    <row r="32" spans="1:9" x14ac:dyDescent="0.2">
      <c r="A32" s="3">
        <v>44997.921492997688</v>
      </c>
      <c r="B32" t="s">
        <v>3</v>
      </c>
      <c r="C32" t="s">
        <v>4</v>
      </c>
      <c r="D32" t="s">
        <v>5</v>
      </c>
      <c r="E32">
        <v>0</v>
      </c>
      <c r="F32">
        <v>0</v>
      </c>
      <c r="G32" t="s">
        <v>2</v>
      </c>
      <c r="H32" cm="1">
        <f t="array" ref="H32">sentimentCalc(B32)</f>
        <v>0</v>
      </c>
      <c r="I32" s="5" t="str" cm="1">
        <f t="array" ref="I32">sentimentCategory(H32)</f>
        <v>Neutral</v>
      </c>
    </row>
    <row r="33" spans="1:9" x14ac:dyDescent="0.2">
      <c r="A33" s="3">
        <v>44998.921492997688</v>
      </c>
      <c r="B33" t="s">
        <v>60</v>
      </c>
      <c r="C33" t="s">
        <v>7</v>
      </c>
      <c r="E33">
        <v>0</v>
      </c>
      <c r="F33">
        <v>0</v>
      </c>
      <c r="G33" t="s">
        <v>2</v>
      </c>
      <c r="H33" cm="1">
        <f t="array" ref="H33">sentimentCalc(B33)</f>
        <v>0</v>
      </c>
      <c r="I33" s="5" t="str" cm="1">
        <f t="array" ref="I33">sentimentCategory(H33)</f>
        <v>Neutral</v>
      </c>
    </row>
    <row r="34" spans="1:9" x14ac:dyDescent="0.2">
      <c r="A34" s="3">
        <v>44999.921492997688</v>
      </c>
      <c r="B34" t="s">
        <v>61</v>
      </c>
      <c r="C34" t="s">
        <v>62</v>
      </c>
      <c r="E34">
        <v>0</v>
      </c>
      <c r="F34">
        <v>0</v>
      </c>
      <c r="G34" t="s">
        <v>2</v>
      </c>
      <c r="H34" cm="1">
        <f t="array" ref="H34">sentimentCalc(B34)</f>
        <v>10</v>
      </c>
      <c r="I34" s="5" t="str" cm="1">
        <f t="array" ref="I34">sentimentCategory(H34)</f>
        <v>Positive</v>
      </c>
    </row>
    <row r="35" spans="1:9" x14ac:dyDescent="0.2">
      <c r="A35" s="3">
        <v>45000.921492997688</v>
      </c>
      <c r="B35" t="s">
        <v>63</v>
      </c>
      <c r="C35" t="s">
        <v>64</v>
      </c>
      <c r="D35" t="s">
        <v>65</v>
      </c>
      <c r="E35">
        <v>0</v>
      </c>
      <c r="F35">
        <v>0</v>
      </c>
      <c r="G35" t="s">
        <v>2</v>
      </c>
      <c r="H35" cm="1">
        <f t="array" ref="H35">sentimentCalc(B35)</f>
        <v>0</v>
      </c>
      <c r="I35" s="5" t="str" cm="1">
        <f t="array" ref="I35">sentimentCategory(H35)</f>
        <v>Neutral</v>
      </c>
    </row>
    <row r="36" spans="1:9" x14ac:dyDescent="0.2">
      <c r="A36" s="3">
        <v>45001.921492997688</v>
      </c>
      <c r="B36" t="s">
        <v>66</v>
      </c>
      <c r="C36" t="s">
        <v>7</v>
      </c>
      <c r="E36">
        <v>0</v>
      </c>
      <c r="F36">
        <v>0</v>
      </c>
      <c r="G36" t="s">
        <v>2</v>
      </c>
      <c r="H36" cm="1">
        <f t="array" ref="H36">sentimentCalc(B36)</f>
        <v>0</v>
      </c>
      <c r="I36" s="5" t="str" cm="1">
        <f t="array" ref="I36">sentimentCategory(H36)</f>
        <v>Neutral</v>
      </c>
    </row>
    <row r="37" spans="1:9" x14ac:dyDescent="0.2">
      <c r="A37" s="3">
        <v>45002.921492997688</v>
      </c>
      <c r="B37" t="s">
        <v>67</v>
      </c>
      <c r="C37" t="s">
        <v>54</v>
      </c>
      <c r="D37" t="s">
        <v>55</v>
      </c>
      <c r="E37">
        <v>0</v>
      </c>
      <c r="F37">
        <v>0</v>
      </c>
      <c r="G37" t="s">
        <v>2</v>
      </c>
      <c r="H37" cm="1">
        <f t="array" ref="H37">sentimentCalc(B37)</f>
        <v>0</v>
      </c>
      <c r="I37" s="5" t="str" cm="1">
        <f t="array" ref="I37">sentimentCategory(H37)</f>
        <v>Neutral</v>
      </c>
    </row>
    <row r="38" spans="1:9" x14ac:dyDescent="0.2">
      <c r="A38" s="3">
        <v>45003.921492997688</v>
      </c>
      <c r="B38" t="s">
        <v>68</v>
      </c>
      <c r="C38" t="s">
        <v>57</v>
      </c>
      <c r="D38" t="s">
        <v>69</v>
      </c>
      <c r="E38">
        <v>0</v>
      </c>
      <c r="F38">
        <v>0</v>
      </c>
      <c r="G38" t="s">
        <v>2</v>
      </c>
      <c r="H38" cm="1">
        <f t="array" ref="H38">sentimentCalc(B38)</f>
        <v>0</v>
      </c>
      <c r="I38" s="5" t="str" cm="1">
        <f t="array" ref="I38">sentimentCategory(H38)</f>
        <v>Neutral</v>
      </c>
    </row>
    <row r="39" spans="1:9" x14ac:dyDescent="0.2">
      <c r="A39" s="3">
        <v>45004.921492997688</v>
      </c>
      <c r="B39" t="s">
        <v>70</v>
      </c>
      <c r="C39" t="s">
        <v>7</v>
      </c>
      <c r="E39">
        <v>0</v>
      </c>
      <c r="F39">
        <v>0</v>
      </c>
      <c r="G39" t="s">
        <v>2</v>
      </c>
      <c r="H39" cm="1">
        <f t="array" ref="H39">sentimentCalc(B39)</f>
        <v>0</v>
      </c>
      <c r="I39" s="5" t="str" cm="1">
        <f t="array" ref="I39">sentimentCategory(H39)</f>
        <v>Neutral</v>
      </c>
    </row>
    <row r="40" spans="1:9" x14ac:dyDescent="0.2">
      <c r="A40" s="3">
        <v>45005.921492997688</v>
      </c>
      <c r="B40" t="s">
        <v>71</v>
      </c>
      <c r="C40" t="s">
        <v>72</v>
      </c>
      <c r="D40" t="s">
        <v>73</v>
      </c>
      <c r="E40">
        <v>0</v>
      </c>
      <c r="F40">
        <v>1</v>
      </c>
      <c r="G40" t="s">
        <v>2</v>
      </c>
      <c r="H40" cm="1">
        <f t="array" ref="H40">sentimentCalc(B40)</f>
        <v>0</v>
      </c>
      <c r="I40" s="5" t="str" cm="1">
        <f t="array" ref="I40">sentimentCategory(H40)</f>
        <v>Neutral</v>
      </c>
    </row>
    <row r="41" spans="1:9" x14ac:dyDescent="0.2">
      <c r="A41" s="3">
        <v>45006.921492997688</v>
      </c>
      <c r="B41" t="s">
        <v>74</v>
      </c>
      <c r="C41" t="s">
        <v>75</v>
      </c>
      <c r="E41">
        <v>0</v>
      </c>
      <c r="F41">
        <v>0</v>
      </c>
      <c r="G41" t="s">
        <v>2</v>
      </c>
      <c r="H41" cm="1">
        <f t="array" ref="H41">sentimentCalc(B41)</f>
        <v>0</v>
      </c>
      <c r="I41" s="5" t="str" cm="1">
        <f t="array" ref="I41">sentimentCategory(H41)</f>
        <v>Neutral</v>
      </c>
    </row>
    <row r="42" spans="1:9" x14ac:dyDescent="0.2">
      <c r="A42" s="3">
        <v>45007.921492997688</v>
      </c>
      <c r="B42" t="s">
        <v>76</v>
      </c>
      <c r="C42" t="s">
        <v>7</v>
      </c>
      <c r="E42">
        <v>0</v>
      </c>
      <c r="F42">
        <v>0</v>
      </c>
      <c r="G42" t="s">
        <v>2</v>
      </c>
      <c r="H42" cm="1">
        <f t="array" ref="H42">sentimentCalc(B42)</f>
        <v>0</v>
      </c>
      <c r="I42" s="5" t="str" cm="1">
        <f t="array" ref="I42">sentimentCategory(H42)</f>
        <v>Neutral</v>
      </c>
    </row>
    <row r="43" spans="1:9" x14ac:dyDescent="0.2">
      <c r="A43" s="3">
        <v>45008.921492997688</v>
      </c>
      <c r="B43" t="s">
        <v>77</v>
      </c>
      <c r="C43" t="s">
        <v>78</v>
      </c>
      <c r="E43">
        <v>0</v>
      </c>
      <c r="F43">
        <v>0</v>
      </c>
      <c r="G43" t="s">
        <v>2</v>
      </c>
      <c r="H43" cm="1">
        <f t="array" ref="H43">sentimentCalc(B43)</f>
        <v>0</v>
      </c>
      <c r="I43" s="5" t="str" cm="1">
        <f t="array" ref="I43">sentimentCategory(H43)</f>
        <v>Neutral</v>
      </c>
    </row>
    <row r="44" spans="1:9" x14ac:dyDescent="0.2">
      <c r="A44" s="3">
        <v>45009.921492997688</v>
      </c>
      <c r="B44" t="s">
        <v>79</v>
      </c>
      <c r="C44" t="s">
        <v>7</v>
      </c>
      <c r="E44">
        <v>0</v>
      </c>
      <c r="F44">
        <v>0</v>
      </c>
      <c r="G44" t="s">
        <v>2</v>
      </c>
      <c r="H44" cm="1">
        <f t="array" ref="H44">sentimentCalc(B44)</f>
        <v>0</v>
      </c>
      <c r="I44" s="5" t="str" cm="1">
        <f t="array" ref="I44">sentimentCategory(H44)</f>
        <v>Neutral</v>
      </c>
    </row>
    <row r="45" spans="1:9" x14ac:dyDescent="0.2">
      <c r="A45" s="3">
        <v>45010.921492997688</v>
      </c>
      <c r="B45" t="s">
        <v>80</v>
      </c>
      <c r="C45" t="s">
        <v>7</v>
      </c>
      <c r="E45">
        <v>1</v>
      </c>
      <c r="F45">
        <v>0</v>
      </c>
      <c r="G45" t="s">
        <v>2</v>
      </c>
      <c r="H45" cm="1">
        <f t="array" ref="H45">sentimentCalc(B45)</f>
        <v>0</v>
      </c>
      <c r="I45" s="5" t="str" cm="1">
        <f t="array" ref="I45">sentimentCategory(H45)</f>
        <v>Neutral</v>
      </c>
    </row>
    <row r="46" spans="1:9" x14ac:dyDescent="0.2">
      <c r="A46" s="3">
        <v>45011.921492997688</v>
      </c>
      <c r="B46" t="s">
        <v>81</v>
      </c>
      <c r="C46" t="s">
        <v>33</v>
      </c>
      <c r="D46" t="s">
        <v>34</v>
      </c>
      <c r="E46">
        <v>0</v>
      </c>
      <c r="F46">
        <v>0</v>
      </c>
      <c r="G46" t="s">
        <v>2</v>
      </c>
      <c r="H46" cm="1">
        <f t="array" ref="H46">sentimentCalc(B46)</f>
        <v>0</v>
      </c>
      <c r="I46" s="5" t="str" cm="1">
        <f t="array" ref="I46">sentimentCategory(H46)</f>
        <v>Neutral</v>
      </c>
    </row>
    <row r="47" spans="1:9" x14ac:dyDescent="0.2">
      <c r="A47" s="3">
        <v>45012.921492997688</v>
      </c>
      <c r="B47" t="s">
        <v>36</v>
      </c>
      <c r="C47" t="s">
        <v>33</v>
      </c>
      <c r="D47" t="s">
        <v>34</v>
      </c>
      <c r="E47">
        <v>0</v>
      </c>
      <c r="F47">
        <v>0</v>
      </c>
      <c r="G47" t="s">
        <v>2</v>
      </c>
      <c r="H47" cm="1">
        <f t="array" ref="H47">sentimentCalc(B47)</f>
        <v>10</v>
      </c>
      <c r="I47" s="5" t="str" cm="1">
        <f t="array" ref="I47">sentimentCategory(H47)</f>
        <v>Positive</v>
      </c>
    </row>
    <row r="48" spans="1:9" x14ac:dyDescent="0.2">
      <c r="A48" s="3">
        <v>45013.921492997688</v>
      </c>
      <c r="B48" t="s">
        <v>35</v>
      </c>
      <c r="C48" t="s">
        <v>33</v>
      </c>
      <c r="D48" t="s">
        <v>34</v>
      </c>
      <c r="E48">
        <v>0</v>
      </c>
      <c r="F48">
        <v>0</v>
      </c>
      <c r="G48" t="s">
        <v>2</v>
      </c>
      <c r="H48" cm="1">
        <f t="array" ref="H48">sentimentCalc(B48)</f>
        <v>0</v>
      </c>
      <c r="I48" s="5" t="str" cm="1">
        <f t="array" ref="I48">sentimentCategory(H48)</f>
        <v>Neutral</v>
      </c>
    </row>
    <row r="49" spans="1:9" x14ac:dyDescent="0.2">
      <c r="A49" s="3">
        <v>45014.921492997688</v>
      </c>
      <c r="B49" t="s">
        <v>37</v>
      </c>
      <c r="C49" t="s">
        <v>33</v>
      </c>
      <c r="D49" t="s">
        <v>34</v>
      </c>
      <c r="E49">
        <v>0</v>
      </c>
      <c r="F49">
        <v>0</v>
      </c>
      <c r="G49" t="s">
        <v>2</v>
      </c>
      <c r="H49" cm="1">
        <f t="array" ref="H49">sentimentCalc(B49)</f>
        <v>0</v>
      </c>
      <c r="I49" s="5" t="str" cm="1">
        <f t="array" ref="I49">sentimentCategory(H49)</f>
        <v>Neutral</v>
      </c>
    </row>
    <row r="50" spans="1:9" x14ac:dyDescent="0.2">
      <c r="A50" s="3">
        <v>45015.921492997688</v>
      </c>
      <c r="B50" t="s">
        <v>82</v>
      </c>
      <c r="C50" t="s">
        <v>83</v>
      </c>
      <c r="E50">
        <v>0</v>
      </c>
      <c r="F50">
        <v>0</v>
      </c>
      <c r="G50" t="s">
        <v>2</v>
      </c>
      <c r="H50" cm="1">
        <f t="array" ref="H50">sentimentCalc(B50)</f>
        <v>-10</v>
      </c>
      <c r="I50" s="5" t="str" cm="1">
        <f t="array" ref="I50">sentimentCategory(H50)</f>
        <v>Negative</v>
      </c>
    </row>
    <row r="51" spans="1:9" x14ac:dyDescent="0.2">
      <c r="A51" s="3">
        <v>45016.921492997688</v>
      </c>
      <c r="B51" t="s">
        <v>84</v>
      </c>
      <c r="C51" t="s">
        <v>85</v>
      </c>
      <c r="E51">
        <v>0</v>
      </c>
      <c r="F51">
        <v>0</v>
      </c>
      <c r="G51" t="s">
        <v>2</v>
      </c>
      <c r="H51" cm="1">
        <f t="array" ref="H51">sentimentCalc(B51)</f>
        <v>0</v>
      </c>
      <c r="I51" s="5" t="str" cm="1">
        <f t="array" ref="I51">sentimentCategory(H51)</f>
        <v>Neutral</v>
      </c>
    </row>
    <row r="52" spans="1:9" x14ac:dyDescent="0.2">
      <c r="A52" s="3">
        <v>45017.921492997688</v>
      </c>
      <c r="B52" t="s">
        <v>86</v>
      </c>
      <c r="C52" t="s">
        <v>87</v>
      </c>
      <c r="E52">
        <v>0</v>
      </c>
      <c r="F52">
        <v>0</v>
      </c>
      <c r="G52" t="s">
        <v>2</v>
      </c>
      <c r="H52" cm="1">
        <f t="array" ref="H52">sentimentCalc(B52)</f>
        <v>-10</v>
      </c>
      <c r="I52" s="5" t="str" cm="1">
        <f t="array" ref="I52">sentimentCategory(H52)</f>
        <v>Negative</v>
      </c>
    </row>
    <row r="53" spans="1:9" x14ac:dyDescent="0.2">
      <c r="A53" s="3">
        <v>45018.921492997688</v>
      </c>
      <c r="B53" t="s">
        <v>3</v>
      </c>
      <c r="C53" t="s">
        <v>4</v>
      </c>
      <c r="D53" t="s">
        <v>5</v>
      </c>
      <c r="E53">
        <v>0</v>
      </c>
      <c r="F53">
        <v>0</v>
      </c>
      <c r="G53" t="s">
        <v>2</v>
      </c>
      <c r="H53" cm="1">
        <f t="array" ref="H53">sentimentCalc(B53)</f>
        <v>0</v>
      </c>
      <c r="I53" s="5" t="str" cm="1">
        <f t="array" ref="I53">sentimentCategory(H53)</f>
        <v>Neutral</v>
      </c>
    </row>
    <row r="54" spans="1:9" x14ac:dyDescent="0.2">
      <c r="A54" s="3">
        <v>45019.921492997688</v>
      </c>
      <c r="B54" t="s">
        <v>88</v>
      </c>
      <c r="C54" t="s">
        <v>89</v>
      </c>
      <c r="E54">
        <v>0</v>
      </c>
      <c r="F54">
        <v>0</v>
      </c>
      <c r="G54" t="s">
        <v>2</v>
      </c>
      <c r="H54" cm="1">
        <f t="array" ref="H54">sentimentCalc(B54)</f>
        <v>0</v>
      </c>
      <c r="I54" s="5" t="str" cm="1">
        <f t="array" ref="I54">sentimentCategory(H54)</f>
        <v>Neutral</v>
      </c>
    </row>
    <row r="55" spans="1:9" x14ac:dyDescent="0.2">
      <c r="A55" s="3">
        <v>45020.921492997688</v>
      </c>
      <c r="B55" t="s">
        <v>90</v>
      </c>
      <c r="C55" t="s">
        <v>91</v>
      </c>
      <c r="D55" t="s">
        <v>92</v>
      </c>
      <c r="E55">
        <v>0</v>
      </c>
      <c r="F55">
        <v>1</v>
      </c>
      <c r="G55" t="s">
        <v>2</v>
      </c>
      <c r="H55" cm="1">
        <f t="array" ref="H55">sentimentCalc(B55)</f>
        <v>0</v>
      </c>
      <c r="I55" s="5" t="str" cm="1">
        <f t="array" ref="I55">sentimentCategory(H55)</f>
        <v>Neutral</v>
      </c>
    </row>
    <row r="56" spans="1:9" x14ac:dyDescent="0.2">
      <c r="A56" s="3">
        <v>45021.921492997688</v>
      </c>
      <c r="B56" t="s">
        <v>93</v>
      </c>
      <c r="C56" t="s">
        <v>7</v>
      </c>
      <c r="E56">
        <v>0</v>
      </c>
      <c r="F56">
        <v>0</v>
      </c>
      <c r="G56" t="s">
        <v>2</v>
      </c>
      <c r="H56" cm="1">
        <f t="array" ref="H56">sentimentCalc(B56)</f>
        <v>0</v>
      </c>
      <c r="I56" s="5" t="str" cm="1">
        <f t="array" ref="I56">sentimentCategory(H56)</f>
        <v>Neutral</v>
      </c>
    </row>
    <row r="57" spans="1:9" x14ac:dyDescent="0.2">
      <c r="A57" s="3">
        <v>45022.921492997688</v>
      </c>
      <c r="B57" t="s">
        <v>94</v>
      </c>
      <c r="C57" t="s">
        <v>22</v>
      </c>
      <c r="E57">
        <v>0</v>
      </c>
      <c r="F57">
        <v>0</v>
      </c>
      <c r="G57" t="s">
        <v>2</v>
      </c>
      <c r="H57" cm="1">
        <f t="array" ref="H57">sentimentCalc(B57)</f>
        <v>0</v>
      </c>
      <c r="I57" s="5" t="str" cm="1">
        <f t="array" ref="I57">sentimentCategory(H57)</f>
        <v>Neutral</v>
      </c>
    </row>
    <row r="58" spans="1:9" x14ac:dyDescent="0.2">
      <c r="A58" s="3">
        <v>45023.921492997688</v>
      </c>
      <c r="C58" t="s">
        <v>95</v>
      </c>
      <c r="D58" t="s">
        <v>96</v>
      </c>
      <c r="E58">
        <v>2</v>
      </c>
      <c r="F58">
        <v>2</v>
      </c>
      <c r="G58" t="s">
        <v>2</v>
      </c>
      <c r="H58" cm="1">
        <f t="array" ref="H58">sentimentCalc(B58)</f>
        <v>0</v>
      </c>
      <c r="I58" s="5" t="str" cm="1">
        <f t="array" ref="I58">sentimentCategory(H58)</f>
        <v>Neutral</v>
      </c>
    </row>
    <row r="59" spans="1:9" x14ac:dyDescent="0.2">
      <c r="A59" s="3">
        <v>45024.921492997688</v>
      </c>
      <c r="B59" t="s">
        <v>97</v>
      </c>
      <c r="C59" t="s">
        <v>98</v>
      </c>
      <c r="D59" t="s">
        <v>13</v>
      </c>
      <c r="E59">
        <v>0</v>
      </c>
      <c r="F59">
        <v>0</v>
      </c>
      <c r="G59" t="s">
        <v>2</v>
      </c>
      <c r="H59" cm="1">
        <f t="array" ref="H59">sentimentCalc(B59)</f>
        <v>0</v>
      </c>
      <c r="I59" s="5" t="str" cm="1">
        <f t="array" ref="I59">sentimentCategory(H59)</f>
        <v>Neutral</v>
      </c>
    </row>
    <row r="60" spans="1:9" x14ac:dyDescent="0.2">
      <c r="A60" s="3">
        <v>45025.921492997688</v>
      </c>
      <c r="B60" t="s">
        <v>99</v>
      </c>
      <c r="C60" t="s">
        <v>100</v>
      </c>
      <c r="E60">
        <v>0</v>
      </c>
      <c r="F60">
        <v>0</v>
      </c>
      <c r="G60" t="s">
        <v>2</v>
      </c>
      <c r="H60" cm="1">
        <f t="array" ref="H60">sentimentCalc(B60)</f>
        <v>0</v>
      </c>
      <c r="I60" s="5" t="str" cm="1">
        <f t="array" ref="I60">sentimentCategory(H60)</f>
        <v>Neutral</v>
      </c>
    </row>
    <row r="61" spans="1:9" x14ac:dyDescent="0.2">
      <c r="A61" s="3">
        <v>45026.921492997688</v>
      </c>
      <c r="B61" t="s">
        <v>101</v>
      </c>
      <c r="C61" t="s">
        <v>102</v>
      </c>
      <c r="D61" t="s">
        <v>103</v>
      </c>
      <c r="E61">
        <v>0</v>
      </c>
      <c r="F61">
        <v>0</v>
      </c>
      <c r="G61" t="s">
        <v>2</v>
      </c>
      <c r="H61" cm="1">
        <f t="array" ref="H61">sentimentCalc(B61)</f>
        <v>0</v>
      </c>
      <c r="I61" s="5" t="str" cm="1">
        <f t="array" ref="I61">sentimentCategory(H61)</f>
        <v>Neutral</v>
      </c>
    </row>
    <row r="62" spans="1:9" x14ac:dyDescent="0.2">
      <c r="A62" s="3">
        <v>45027.921492997688</v>
      </c>
      <c r="C62" t="s">
        <v>95</v>
      </c>
      <c r="D62" t="s">
        <v>96</v>
      </c>
      <c r="E62">
        <v>3</v>
      </c>
      <c r="F62">
        <v>3</v>
      </c>
      <c r="G62" t="s">
        <v>2</v>
      </c>
      <c r="H62" cm="1">
        <f t="array" ref="H62">sentimentCalc(B62)</f>
        <v>0</v>
      </c>
      <c r="I62" s="5" t="str" cm="1">
        <f t="array" ref="I62">sentimentCategory(H62)</f>
        <v>Neutral</v>
      </c>
    </row>
    <row r="63" spans="1:9" x14ac:dyDescent="0.2">
      <c r="A63" s="3">
        <v>45028.921492997688</v>
      </c>
      <c r="B63" t="s">
        <v>104</v>
      </c>
      <c r="C63" t="s">
        <v>57</v>
      </c>
      <c r="D63" t="s">
        <v>69</v>
      </c>
      <c r="E63">
        <v>0</v>
      </c>
      <c r="F63">
        <v>0</v>
      </c>
      <c r="G63" t="s">
        <v>2</v>
      </c>
      <c r="H63" cm="1">
        <f t="array" ref="H63">sentimentCalc(B63)</f>
        <v>0</v>
      </c>
      <c r="I63" s="5" t="str" cm="1">
        <f t="array" ref="I63">sentimentCategory(H63)</f>
        <v>Neutral</v>
      </c>
    </row>
    <row r="64" spans="1:9" x14ac:dyDescent="0.2">
      <c r="A64" s="3">
        <v>45029.921492997688</v>
      </c>
      <c r="B64" t="s">
        <v>105</v>
      </c>
      <c r="C64" t="s">
        <v>106</v>
      </c>
      <c r="E64">
        <v>1</v>
      </c>
      <c r="F64">
        <v>0</v>
      </c>
      <c r="G64" t="s">
        <v>2</v>
      </c>
      <c r="H64" cm="1">
        <f t="array" ref="H64">sentimentCalc(B64)</f>
        <v>20</v>
      </c>
      <c r="I64" s="5" t="str" cm="1">
        <f t="array" ref="I64">sentimentCategory(H64)</f>
        <v>Positive</v>
      </c>
    </row>
    <row r="65" spans="1:9" x14ac:dyDescent="0.2">
      <c r="A65" s="3">
        <v>45030.921492997688</v>
      </c>
      <c r="C65" t="s">
        <v>95</v>
      </c>
      <c r="D65" t="s">
        <v>96</v>
      </c>
      <c r="E65">
        <v>0</v>
      </c>
      <c r="F65">
        <v>0</v>
      </c>
      <c r="G65" t="s">
        <v>2</v>
      </c>
      <c r="H65" cm="1">
        <f t="array" ref="H65">sentimentCalc(B65)</f>
        <v>0</v>
      </c>
      <c r="I65" s="5" t="str" cm="1">
        <f t="array" ref="I65">sentimentCategory(H65)</f>
        <v>Neutral</v>
      </c>
    </row>
    <row r="66" spans="1:9" x14ac:dyDescent="0.2">
      <c r="A66" s="3">
        <v>45031.921492997688</v>
      </c>
      <c r="C66" t="s">
        <v>95</v>
      </c>
      <c r="D66" t="s">
        <v>96</v>
      </c>
      <c r="E66">
        <v>0</v>
      </c>
      <c r="F66">
        <v>0</v>
      </c>
      <c r="G66" t="s">
        <v>2</v>
      </c>
      <c r="H66" cm="1">
        <f t="array" ref="H66">sentimentCalc(B66)</f>
        <v>0</v>
      </c>
      <c r="I66" s="5" t="str" cm="1">
        <f t="array" ref="I66">sentimentCategory(H66)</f>
        <v>Neutral</v>
      </c>
    </row>
    <row r="67" spans="1:9" x14ac:dyDescent="0.2">
      <c r="A67" s="3">
        <v>45032.921492997688</v>
      </c>
      <c r="C67" t="s">
        <v>95</v>
      </c>
      <c r="D67" t="s">
        <v>96</v>
      </c>
      <c r="E67">
        <v>0</v>
      </c>
      <c r="F67">
        <v>0</v>
      </c>
      <c r="G67" t="s">
        <v>2</v>
      </c>
      <c r="H67" cm="1">
        <f t="array" ref="H67">sentimentCalc(B67)</f>
        <v>0</v>
      </c>
      <c r="I67" s="5" t="str" cm="1">
        <f t="array" ref="I67">sentimentCategory(H67)</f>
        <v>Neutral</v>
      </c>
    </row>
    <row r="68" spans="1:9" x14ac:dyDescent="0.2">
      <c r="A68" s="3">
        <v>45033.921492997688</v>
      </c>
      <c r="C68" t="s">
        <v>95</v>
      </c>
      <c r="D68" t="s">
        <v>96</v>
      </c>
      <c r="E68">
        <v>0</v>
      </c>
      <c r="F68">
        <v>0</v>
      </c>
      <c r="G68" t="s">
        <v>2</v>
      </c>
      <c r="H68" cm="1">
        <f t="array" ref="H68">sentimentCalc(B68)</f>
        <v>0</v>
      </c>
      <c r="I68" s="5" t="str" cm="1">
        <f t="array" ref="I68">sentimentCategory(H68)</f>
        <v>Neutral</v>
      </c>
    </row>
    <row r="69" spans="1:9" x14ac:dyDescent="0.2">
      <c r="A69" s="3">
        <v>45034.921492997688</v>
      </c>
      <c r="C69" t="s">
        <v>95</v>
      </c>
      <c r="D69" t="s">
        <v>96</v>
      </c>
      <c r="E69">
        <v>0</v>
      </c>
      <c r="F69">
        <v>0</v>
      </c>
      <c r="G69" t="s">
        <v>2</v>
      </c>
      <c r="H69" cm="1">
        <f t="array" ref="H69">sentimentCalc(B69)</f>
        <v>0</v>
      </c>
      <c r="I69" s="5" t="str" cm="1">
        <f t="array" ref="I69">sentimentCategory(H69)</f>
        <v>Neutral</v>
      </c>
    </row>
    <row r="70" spans="1:9" x14ac:dyDescent="0.2">
      <c r="A70" s="3">
        <v>45035.921492997688</v>
      </c>
      <c r="B70" t="s">
        <v>107</v>
      </c>
      <c r="C70" t="s">
        <v>108</v>
      </c>
      <c r="D70" t="s">
        <v>109</v>
      </c>
      <c r="E70">
        <v>0</v>
      </c>
      <c r="F70">
        <v>0</v>
      </c>
      <c r="G70" t="s">
        <v>2</v>
      </c>
      <c r="H70" cm="1">
        <f t="array" ref="H70">sentimentCalc(B70)</f>
        <v>-10</v>
      </c>
      <c r="I70" s="5" t="str" cm="1">
        <f t="array" ref="I70">sentimentCategory(H70)</f>
        <v>Negative</v>
      </c>
    </row>
    <row r="71" spans="1:9" x14ac:dyDescent="0.2">
      <c r="A71" s="3">
        <v>45036.921492997688</v>
      </c>
      <c r="C71" t="s">
        <v>95</v>
      </c>
      <c r="D71" t="s">
        <v>96</v>
      </c>
      <c r="E71">
        <v>0</v>
      </c>
      <c r="F71">
        <v>0</v>
      </c>
      <c r="G71" t="s">
        <v>2</v>
      </c>
      <c r="H71" cm="1">
        <f t="array" ref="H71">sentimentCalc(B71)</f>
        <v>0</v>
      </c>
      <c r="I71" s="5" t="str" cm="1">
        <f t="array" ref="I71">sentimentCategory(H71)</f>
        <v>Neutral</v>
      </c>
    </row>
    <row r="72" spans="1:9" x14ac:dyDescent="0.2">
      <c r="A72" s="3">
        <v>45037.921492997688</v>
      </c>
      <c r="B72" t="s">
        <v>110</v>
      </c>
      <c r="C72" t="s">
        <v>111</v>
      </c>
      <c r="E72">
        <v>0</v>
      </c>
      <c r="F72">
        <v>0</v>
      </c>
      <c r="G72" t="s">
        <v>2</v>
      </c>
      <c r="H72" cm="1">
        <f t="array" ref="H72">sentimentCalc(B72)</f>
        <v>0</v>
      </c>
      <c r="I72" s="5" t="str" cm="1">
        <f t="array" ref="I72">sentimentCategory(H72)</f>
        <v>Neutral</v>
      </c>
    </row>
    <row r="73" spans="1:9" x14ac:dyDescent="0.2">
      <c r="A73" s="3">
        <v>45038.921492997688</v>
      </c>
      <c r="B73" t="s">
        <v>112</v>
      </c>
      <c r="C73" t="s">
        <v>113</v>
      </c>
      <c r="D73" t="s">
        <v>114</v>
      </c>
      <c r="E73">
        <v>54</v>
      </c>
      <c r="F73">
        <v>189</v>
      </c>
      <c r="G73" t="s">
        <v>2</v>
      </c>
      <c r="H73" cm="1">
        <f t="array" ref="H73">sentimentCalc(B73)</f>
        <v>0</v>
      </c>
      <c r="I73" s="5" t="str" cm="1">
        <f t="array" ref="I73">sentimentCategory(H73)</f>
        <v>Neutral</v>
      </c>
    </row>
    <row r="74" spans="1:9" x14ac:dyDescent="0.2">
      <c r="A74" s="3">
        <v>45039.921492997688</v>
      </c>
      <c r="B74" t="s">
        <v>115</v>
      </c>
      <c r="C74" t="s">
        <v>95</v>
      </c>
      <c r="D74" t="s">
        <v>96</v>
      </c>
      <c r="E74">
        <v>0</v>
      </c>
      <c r="F74">
        <v>0</v>
      </c>
      <c r="G74" t="s">
        <v>2</v>
      </c>
      <c r="H74" cm="1">
        <f t="array" ref="H74">sentimentCalc(B74)</f>
        <v>0</v>
      </c>
      <c r="I74" s="5" t="str" cm="1">
        <f t="array" ref="I74">sentimentCategory(H74)</f>
        <v>Neutral</v>
      </c>
    </row>
    <row r="75" spans="1:9" x14ac:dyDescent="0.2">
      <c r="A75" s="3">
        <v>45040.921492997688</v>
      </c>
      <c r="B75" t="s">
        <v>116</v>
      </c>
      <c r="C75" t="s">
        <v>7</v>
      </c>
      <c r="E75">
        <v>0</v>
      </c>
      <c r="F75">
        <v>0</v>
      </c>
      <c r="G75" t="s">
        <v>2</v>
      </c>
      <c r="H75" cm="1">
        <f t="array" ref="H75">sentimentCalc(B75)</f>
        <v>0</v>
      </c>
      <c r="I75" s="5" t="str" cm="1">
        <f t="array" ref="I75">sentimentCategory(H75)</f>
        <v>Neutral</v>
      </c>
    </row>
    <row r="76" spans="1:9" x14ac:dyDescent="0.2">
      <c r="A76" s="3">
        <v>45041.921492997688</v>
      </c>
      <c r="B76" t="s">
        <v>117</v>
      </c>
      <c r="C76" t="s">
        <v>118</v>
      </c>
      <c r="E76">
        <v>0</v>
      </c>
      <c r="F76">
        <v>0</v>
      </c>
      <c r="G76" t="s">
        <v>2</v>
      </c>
      <c r="H76" cm="1">
        <f t="array" ref="H76">sentimentCalc(B76)</f>
        <v>0</v>
      </c>
      <c r="I76" s="5" t="str" cm="1">
        <f t="array" ref="I76">sentimentCategory(H76)</f>
        <v>Neutral</v>
      </c>
    </row>
    <row r="77" spans="1:9" x14ac:dyDescent="0.2">
      <c r="A77" s="3">
        <v>45042.921492997688</v>
      </c>
      <c r="B77" t="s">
        <v>119</v>
      </c>
      <c r="C77" t="s">
        <v>120</v>
      </c>
      <c r="D77" t="s">
        <v>121</v>
      </c>
      <c r="E77">
        <v>0</v>
      </c>
      <c r="F77">
        <v>0</v>
      </c>
      <c r="G77" t="s">
        <v>2</v>
      </c>
      <c r="H77" cm="1">
        <f t="array" ref="H77">sentimentCalc(B77)</f>
        <v>20</v>
      </c>
      <c r="I77" s="5" t="str" cm="1">
        <f t="array" ref="I77">sentimentCategory(H77)</f>
        <v>Positive</v>
      </c>
    </row>
    <row r="78" spans="1:9" x14ac:dyDescent="0.2">
      <c r="A78" s="3">
        <v>45043.921492997688</v>
      </c>
      <c r="B78" t="s">
        <v>122</v>
      </c>
      <c r="C78" t="s">
        <v>7</v>
      </c>
      <c r="E78">
        <v>0</v>
      </c>
      <c r="F78">
        <v>1</v>
      </c>
      <c r="G78" t="s">
        <v>2</v>
      </c>
      <c r="H78" cm="1">
        <f t="array" ref="H78">sentimentCalc(B78)</f>
        <v>0</v>
      </c>
      <c r="I78" s="5" t="str" cm="1">
        <f t="array" ref="I78">sentimentCategory(H78)</f>
        <v>Neutral</v>
      </c>
    </row>
    <row r="79" spans="1:9" x14ac:dyDescent="0.2">
      <c r="A79" s="3">
        <v>45044.921492997688</v>
      </c>
      <c r="B79" t="s">
        <v>123</v>
      </c>
      <c r="C79" t="s">
        <v>124</v>
      </c>
      <c r="D79" t="s">
        <v>55</v>
      </c>
      <c r="E79">
        <v>0</v>
      </c>
      <c r="F79">
        <v>0</v>
      </c>
      <c r="G79" t="s">
        <v>2</v>
      </c>
      <c r="H79" cm="1">
        <f t="array" ref="H79">sentimentCalc(B79)</f>
        <v>0</v>
      </c>
      <c r="I79" s="5" t="str" cm="1">
        <f t="array" ref="I79">sentimentCategory(H79)</f>
        <v>Neutral</v>
      </c>
    </row>
    <row r="80" spans="1:9" x14ac:dyDescent="0.2">
      <c r="A80" s="3">
        <v>45045.921492997688</v>
      </c>
      <c r="B80" t="s">
        <v>125</v>
      </c>
      <c r="C80" t="s">
        <v>126</v>
      </c>
      <c r="E80">
        <v>0</v>
      </c>
      <c r="F80">
        <v>1</v>
      </c>
      <c r="G80" t="s">
        <v>2</v>
      </c>
      <c r="H80" cm="1">
        <f t="array" ref="H80">sentimentCalc(B80)</f>
        <v>0</v>
      </c>
      <c r="I80" s="5" t="str" cm="1">
        <f t="array" ref="I80">sentimentCategory(H80)</f>
        <v>Neutral</v>
      </c>
    </row>
    <row r="81" spans="1:9" x14ac:dyDescent="0.2">
      <c r="A81" s="3">
        <v>45046.921492997688</v>
      </c>
      <c r="B81" t="s">
        <v>127</v>
      </c>
      <c r="C81" t="s">
        <v>128</v>
      </c>
      <c r="D81" t="s">
        <v>129</v>
      </c>
      <c r="E81">
        <v>0</v>
      </c>
      <c r="F81">
        <v>0</v>
      </c>
      <c r="G81" t="s">
        <v>2</v>
      </c>
      <c r="H81" cm="1">
        <f t="array" ref="H81">sentimentCalc(B81)</f>
        <v>-10</v>
      </c>
      <c r="I81" s="5" t="str" cm="1">
        <f t="array" ref="I81">sentimentCategory(H81)</f>
        <v>Negative</v>
      </c>
    </row>
    <row r="82" spans="1:9" x14ac:dyDescent="0.2">
      <c r="A82" s="3">
        <v>45047.921492997688</v>
      </c>
      <c r="B82" t="s">
        <v>130</v>
      </c>
      <c r="C82" t="s">
        <v>131</v>
      </c>
      <c r="D82" t="s">
        <v>132</v>
      </c>
      <c r="E82">
        <v>0</v>
      </c>
      <c r="F82">
        <v>1</v>
      </c>
      <c r="G82" t="s">
        <v>2</v>
      </c>
      <c r="H82" cm="1">
        <f t="array" ref="H82">sentimentCalc(B82)</f>
        <v>0</v>
      </c>
      <c r="I82" s="5" t="str" cm="1">
        <f t="array" ref="I82">sentimentCategory(H82)</f>
        <v>Neutral</v>
      </c>
    </row>
    <row r="83" spans="1:9" x14ac:dyDescent="0.2">
      <c r="A83" s="3">
        <v>45048.921492997688</v>
      </c>
      <c r="B83" t="s">
        <v>133</v>
      </c>
      <c r="C83" t="s">
        <v>134</v>
      </c>
      <c r="D83" t="s">
        <v>135</v>
      </c>
      <c r="E83">
        <v>0</v>
      </c>
      <c r="F83">
        <v>0</v>
      </c>
      <c r="G83" t="s">
        <v>2</v>
      </c>
      <c r="H83" cm="1">
        <f t="array" ref="H83">sentimentCalc(B83)</f>
        <v>0</v>
      </c>
      <c r="I83" s="5" t="str" cm="1">
        <f t="array" ref="I83">sentimentCategory(H83)</f>
        <v>Neutral</v>
      </c>
    </row>
    <row r="84" spans="1:9" x14ac:dyDescent="0.2">
      <c r="A84" s="3">
        <v>45049.921492997688</v>
      </c>
      <c r="B84" t="s">
        <v>136</v>
      </c>
      <c r="C84" t="s">
        <v>137</v>
      </c>
      <c r="E84">
        <v>0</v>
      </c>
      <c r="F84">
        <v>0</v>
      </c>
      <c r="G84" t="s">
        <v>2</v>
      </c>
      <c r="H84" cm="1">
        <f t="array" ref="H84">sentimentCalc(B84)</f>
        <v>0</v>
      </c>
      <c r="I84" s="5" t="str" cm="1">
        <f t="array" ref="I84">sentimentCategory(H84)</f>
        <v>Neutral</v>
      </c>
    </row>
    <row r="85" spans="1:9" x14ac:dyDescent="0.2">
      <c r="A85" s="3">
        <v>45050.921492997688</v>
      </c>
      <c r="B85" t="s">
        <v>138</v>
      </c>
      <c r="C85" t="s">
        <v>22</v>
      </c>
      <c r="E85">
        <v>0</v>
      </c>
      <c r="F85">
        <v>0</v>
      </c>
      <c r="G85" t="s">
        <v>2</v>
      </c>
      <c r="H85" cm="1">
        <f t="array" ref="H85">sentimentCalc(B85)</f>
        <v>0</v>
      </c>
      <c r="I85" s="5" t="str" cm="1">
        <f t="array" ref="I85">sentimentCategory(H85)</f>
        <v>Neutral</v>
      </c>
    </row>
    <row r="86" spans="1:9" x14ac:dyDescent="0.2">
      <c r="A86" s="3">
        <v>45051.921492997688</v>
      </c>
      <c r="B86" t="s">
        <v>3</v>
      </c>
      <c r="C86" t="s">
        <v>4</v>
      </c>
      <c r="D86" t="s">
        <v>5</v>
      </c>
      <c r="E86">
        <v>0</v>
      </c>
      <c r="F86">
        <v>0</v>
      </c>
      <c r="G86" t="s">
        <v>2</v>
      </c>
      <c r="H86" cm="1">
        <f t="array" ref="H86">sentimentCalc(B86)</f>
        <v>0</v>
      </c>
      <c r="I86" s="5" t="str" cm="1">
        <f t="array" ref="I86">sentimentCategory(H86)</f>
        <v>Neutral</v>
      </c>
    </row>
    <row r="87" spans="1:9" x14ac:dyDescent="0.2">
      <c r="A87" s="3">
        <v>45052.921492997688</v>
      </c>
      <c r="B87" t="s">
        <v>139</v>
      </c>
      <c r="C87" t="s">
        <v>7</v>
      </c>
      <c r="E87">
        <v>0</v>
      </c>
      <c r="F87">
        <v>0</v>
      </c>
      <c r="G87" t="s">
        <v>2</v>
      </c>
      <c r="H87" cm="1">
        <f t="array" ref="H87">sentimentCalc(B87)</f>
        <v>0</v>
      </c>
      <c r="I87" s="5" t="str" cm="1">
        <f t="array" ref="I87">sentimentCategory(H87)</f>
        <v>Neutral</v>
      </c>
    </row>
    <row r="88" spans="1:9" x14ac:dyDescent="0.2">
      <c r="A88" s="3">
        <v>45053.921492997688</v>
      </c>
      <c r="B88" t="s">
        <v>140</v>
      </c>
      <c r="C88" t="s">
        <v>128</v>
      </c>
      <c r="D88" t="s">
        <v>129</v>
      </c>
      <c r="E88">
        <v>0</v>
      </c>
      <c r="F88">
        <v>0</v>
      </c>
      <c r="G88" t="s">
        <v>2</v>
      </c>
      <c r="H88" cm="1">
        <f t="array" ref="H88">sentimentCalc(B88)</f>
        <v>-10</v>
      </c>
      <c r="I88" s="5" t="str" cm="1">
        <f t="array" ref="I88">sentimentCategory(H88)</f>
        <v>Negative</v>
      </c>
    </row>
    <row r="89" spans="1:9" x14ac:dyDescent="0.2">
      <c r="A89" s="3">
        <v>45054.921492997688</v>
      </c>
      <c r="B89" t="s">
        <v>141</v>
      </c>
      <c r="C89" t="s">
        <v>128</v>
      </c>
      <c r="D89" t="s">
        <v>129</v>
      </c>
      <c r="E89">
        <v>0</v>
      </c>
      <c r="F89">
        <v>0</v>
      </c>
      <c r="G89" t="s">
        <v>2</v>
      </c>
      <c r="H89" cm="1">
        <f t="array" ref="H89">sentimentCalc(B89)</f>
        <v>0</v>
      </c>
      <c r="I89" s="5" t="str" cm="1">
        <f t="array" ref="I89">sentimentCategory(H89)</f>
        <v>Neutral</v>
      </c>
    </row>
    <row r="90" spans="1:9" x14ac:dyDescent="0.2">
      <c r="A90" s="3"/>
      <c r="H90" cm="1">
        <f t="array" ref="H90">sentimentCalc(B90)</f>
        <v>0</v>
      </c>
      <c r="I90" s="5" t="str" cm="1">
        <f t="array" ref="I90">sentimentCategory(H90)</f>
        <v>Neutral</v>
      </c>
    </row>
    <row r="91" spans="1:9" x14ac:dyDescent="0.2">
      <c r="A91" s="3">
        <v>45056.921492997688</v>
      </c>
      <c r="B91" t="s">
        <v>37</v>
      </c>
      <c r="C91" t="s">
        <v>33</v>
      </c>
      <c r="D91" t="s">
        <v>34</v>
      </c>
      <c r="E91">
        <v>0</v>
      </c>
      <c r="F91">
        <v>0</v>
      </c>
      <c r="G91" t="s">
        <v>2</v>
      </c>
      <c r="H91" cm="1">
        <f t="array" ref="H91">sentimentCalc(B91)</f>
        <v>0</v>
      </c>
      <c r="I91" s="5" t="str" cm="1">
        <f t="array" ref="I91">sentimentCategory(H91)</f>
        <v>Neutral</v>
      </c>
    </row>
    <row r="92" spans="1:9" x14ac:dyDescent="0.2">
      <c r="A92" s="3">
        <v>45057.921492997688</v>
      </c>
      <c r="B92" t="s">
        <v>36</v>
      </c>
      <c r="C92" t="s">
        <v>33</v>
      </c>
      <c r="D92" t="s">
        <v>34</v>
      </c>
      <c r="E92">
        <v>0</v>
      </c>
      <c r="F92">
        <v>0</v>
      </c>
      <c r="G92" t="s">
        <v>2</v>
      </c>
      <c r="H92" cm="1">
        <f t="array" ref="H92">sentimentCalc(B92)</f>
        <v>10</v>
      </c>
      <c r="I92" s="5" t="str" cm="1">
        <f t="array" ref="I92">sentimentCategory(H92)</f>
        <v>Positive</v>
      </c>
    </row>
    <row r="93" spans="1:9" x14ac:dyDescent="0.2">
      <c r="A93" s="3">
        <v>45058.921492997688</v>
      </c>
      <c r="B93" t="s">
        <v>142</v>
      </c>
      <c r="C93" t="s">
        <v>33</v>
      </c>
      <c r="D93" t="s">
        <v>34</v>
      </c>
      <c r="E93">
        <v>0</v>
      </c>
      <c r="F93">
        <v>0</v>
      </c>
      <c r="G93" t="s">
        <v>2</v>
      </c>
      <c r="H93" cm="1">
        <f t="array" ref="H93">sentimentCalc(B93)</f>
        <v>0</v>
      </c>
      <c r="I93" s="5" t="str" cm="1">
        <f t="array" ref="I93">sentimentCategory(H93)</f>
        <v>Neutral</v>
      </c>
    </row>
    <row r="94" spans="1:9" x14ac:dyDescent="0.2">
      <c r="A94" s="3">
        <v>45059.921492997688</v>
      </c>
      <c r="B94" t="s">
        <v>141</v>
      </c>
      <c r="C94" t="s">
        <v>143</v>
      </c>
      <c r="D94" t="s">
        <v>129</v>
      </c>
      <c r="E94">
        <v>0</v>
      </c>
      <c r="F94">
        <v>0</v>
      </c>
      <c r="G94" t="s">
        <v>2</v>
      </c>
      <c r="H94" cm="1">
        <f t="array" ref="H94">sentimentCalc(B94)</f>
        <v>0</v>
      </c>
      <c r="I94" s="5" t="str" cm="1">
        <f t="array" ref="I94">sentimentCategory(H94)</f>
        <v>Neutral</v>
      </c>
    </row>
    <row r="95" spans="1:9" x14ac:dyDescent="0.2">
      <c r="A95" s="3">
        <v>45060.921492997688</v>
      </c>
      <c r="B95" t="s">
        <v>144</v>
      </c>
      <c r="C95" t="s">
        <v>22</v>
      </c>
      <c r="E95">
        <v>0</v>
      </c>
      <c r="F95">
        <v>0</v>
      </c>
      <c r="G95" t="s">
        <v>2</v>
      </c>
      <c r="H95" cm="1">
        <f t="array" ref="H95">sentimentCalc(B95)</f>
        <v>0</v>
      </c>
      <c r="I95" s="5" t="str" cm="1">
        <f t="array" ref="I95">sentimentCategory(H95)</f>
        <v>Neutral</v>
      </c>
    </row>
    <row r="96" spans="1:9" x14ac:dyDescent="0.2">
      <c r="A96" s="3">
        <v>45061.921492997688</v>
      </c>
      <c r="B96" t="s">
        <v>145</v>
      </c>
      <c r="C96" t="s">
        <v>146</v>
      </c>
      <c r="D96" t="s">
        <v>147</v>
      </c>
      <c r="E96">
        <v>0</v>
      </c>
      <c r="F96">
        <v>0</v>
      </c>
      <c r="G96" t="s">
        <v>2</v>
      </c>
      <c r="H96" cm="1">
        <f t="array" ref="H96">sentimentCalc(B96)</f>
        <v>-10</v>
      </c>
      <c r="I96" s="5" t="str" cm="1">
        <f t="array" ref="I96">sentimentCategory(H96)</f>
        <v>Negative</v>
      </c>
    </row>
    <row r="97" spans="1:9" x14ac:dyDescent="0.2">
      <c r="A97" s="3">
        <v>45062.921492997688</v>
      </c>
      <c r="B97" t="s">
        <v>148</v>
      </c>
      <c r="C97" t="s">
        <v>149</v>
      </c>
      <c r="D97" t="s">
        <v>150</v>
      </c>
      <c r="E97">
        <v>0</v>
      </c>
      <c r="F97">
        <v>0</v>
      </c>
      <c r="G97" t="s">
        <v>2</v>
      </c>
      <c r="H97" cm="1">
        <f t="array" ref="H97">sentimentCalc(B97)</f>
        <v>0</v>
      </c>
      <c r="I97" s="5" t="str" cm="1">
        <f t="array" ref="I97">sentimentCategory(H97)</f>
        <v>Neutral</v>
      </c>
    </row>
    <row r="98" spans="1:9" x14ac:dyDescent="0.2">
      <c r="A98" s="3">
        <v>45063.921492997688</v>
      </c>
      <c r="B98" t="s">
        <v>151</v>
      </c>
      <c r="C98" t="s">
        <v>22</v>
      </c>
      <c r="E98">
        <v>0</v>
      </c>
      <c r="F98">
        <v>0</v>
      </c>
      <c r="G98" t="s">
        <v>2</v>
      </c>
      <c r="H98" cm="1">
        <f t="array" ref="H98">sentimentCalc(B98)</f>
        <v>0</v>
      </c>
      <c r="I98" s="5" t="str" cm="1">
        <f t="array" ref="I98">sentimentCategory(H98)</f>
        <v>Neutral</v>
      </c>
    </row>
    <row r="99" spans="1:9" x14ac:dyDescent="0.2">
      <c r="A99" s="3">
        <v>45064.921492997688</v>
      </c>
      <c r="B99" t="s">
        <v>152</v>
      </c>
      <c r="C99" t="s">
        <v>22</v>
      </c>
      <c r="E99">
        <v>0</v>
      </c>
      <c r="F99">
        <v>0</v>
      </c>
      <c r="G99" t="s">
        <v>2</v>
      </c>
      <c r="H99" cm="1">
        <f t="array" ref="H99">sentimentCalc(B99)</f>
        <v>0</v>
      </c>
      <c r="I99" s="5" t="str" cm="1">
        <f t="array" ref="I99">sentimentCategory(H99)</f>
        <v>Neutral</v>
      </c>
    </row>
    <row r="100" spans="1:9" x14ac:dyDescent="0.2">
      <c r="A100" s="3">
        <v>45065.921492997688</v>
      </c>
      <c r="B100" t="s">
        <v>151</v>
      </c>
      <c r="C100" t="s">
        <v>22</v>
      </c>
      <c r="E100">
        <v>0</v>
      </c>
      <c r="F100">
        <v>0</v>
      </c>
      <c r="G100" t="s">
        <v>2</v>
      </c>
      <c r="H100" cm="1">
        <f t="array" ref="H100">sentimentCalc(B100)</f>
        <v>0</v>
      </c>
      <c r="I100" s="5" t="str" cm="1">
        <f t="array" ref="I100">sentimentCategory(H100)</f>
        <v>Neutral</v>
      </c>
    </row>
    <row r="101" spans="1:9" x14ac:dyDescent="0.2">
      <c r="A101" s="3"/>
      <c r="H101" cm="1">
        <f t="array" ref="H101">sentimentCalc(B101)</f>
        <v>0</v>
      </c>
      <c r="I101" s="5" t="str" cm="1">
        <f t="array" ref="I101">sentimentCategory(H101)</f>
        <v>Neutral</v>
      </c>
    </row>
    <row r="102" spans="1:9" x14ac:dyDescent="0.2">
      <c r="A102" s="3">
        <v>45067.921492997688</v>
      </c>
      <c r="B102" t="s">
        <v>154</v>
      </c>
      <c r="C102" t="s">
        <v>22</v>
      </c>
      <c r="E102">
        <v>0</v>
      </c>
      <c r="F102">
        <v>0</v>
      </c>
      <c r="G102" t="s">
        <v>2</v>
      </c>
      <c r="H102" cm="1">
        <f t="array" ref="H102">sentimentCalc(B102)</f>
        <v>0</v>
      </c>
      <c r="I102" s="5" t="str" cm="1">
        <f t="array" ref="I102">sentimentCategory(H102)</f>
        <v>Neutral</v>
      </c>
    </row>
    <row r="103" spans="1:9" x14ac:dyDescent="0.2">
      <c r="A103" s="3">
        <v>45068.921492997688</v>
      </c>
      <c r="B103" t="s">
        <v>155</v>
      </c>
      <c r="C103" t="s">
        <v>12</v>
      </c>
      <c r="D103" t="s">
        <v>13</v>
      </c>
      <c r="E103">
        <v>0</v>
      </c>
      <c r="F103">
        <v>0</v>
      </c>
      <c r="G103" t="s">
        <v>2</v>
      </c>
      <c r="H103" cm="1">
        <f t="array" ref="H103">sentimentCalc(B103)</f>
        <v>0</v>
      </c>
      <c r="I103" s="5" t="str" cm="1">
        <f t="array" ref="I103">sentimentCategory(H103)</f>
        <v>Neutral</v>
      </c>
    </row>
    <row r="104" spans="1:9" x14ac:dyDescent="0.2">
      <c r="A104" s="3">
        <v>45069.921492997688</v>
      </c>
      <c r="B104" t="s">
        <v>156</v>
      </c>
      <c r="C104" t="s">
        <v>157</v>
      </c>
      <c r="D104" t="s">
        <v>158</v>
      </c>
      <c r="E104">
        <v>0</v>
      </c>
      <c r="F104">
        <v>0</v>
      </c>
      <c r="G104" t="s">
        <v>2</v>
      </c>
      <c r="H104" cm="1">
        <f t="array" ref="H104">sentimentCalc(B104)</f>
        <v>0</v>
      </c>
      <c r="I104" s="5" t="str" cm="1">
        <f t="array" ref="I104">sentimentCategory(H104)</f>
        <v>Neutral</v>
      </c>
    </row>
    <row r="105" spans="1:9" x14ac:dyDescent="0.2">
      <c r="A105" s="3">
        <v>45070.921492997688</v>
      </c>
      <c r="B105" t="s">
        <v>159</v>
      </c>
      <c r="C105" t="s">
        <v>22</v>
      </c>
      <c r="E105">
        <v>0</v>
      </c>
      <c r="F105">
        <v>0</v>
      </c>
      <c r="G105" t="s">
        <v>2</v>
      </c>
      <c r="H105" cm="1">
        <f t="array" ref="H105">sentimentCalc(B105)</f>
        <v>0</v>
      </c>
      <c r="I105" s="5" t="str" cm="1">
        <f t="array" ref="I105">sentimentCategory(H105)</f>
        <v>Neutral</v>
      </c>
    </row>
    <row r="106" spans="1:9" x14ac:dyDescent="0.2">
      <c r="A106" s="3">
        <v>45071.921492997688</v>
      </c>
      <c r="B106" t="s">
        <v>160</v>
      </c>
      <c r="C106" t="s">
        <v>128</v>
      </c>
      <c r="D106" t="s">
        <v>129</v>
      </c>
      <c r="E106">
        <v>0</v>
      </c>
      <c r="F106">
        <v>0</v>
      </c>
      <c r="G106" t="s">
        <v>2</v>
      </c>
      <c r="H106" cm="1">
        <f t="array" ref="H106">sentimentCalc(B106)</f>
        <v>-10</v>
      </c>
      <c r="I106" s="5" t="str" cm="1">
        <f t="array" ref="I106">sentimentCategory(H106)</f>
        <v>Negative</v>
      </c>
    </row>
    <row r="107" spans="1:9" x14ac:dyDescent="0.2">
      <c r="A107" s="3">
        <v>45072.921492997688</v>
      </c>
      <c r="B107" t="s">
        <v>161</v>
      </c>
      <c r="C107" t="s">
        <v>7</v>
      </c>
      <c r="E107">
        <v>0</v>
      </c>
      <c r="F107">
        <v>0</v>
      </c>
      <c r="G107" t="s">
        <v>2</v>
      </c>
      <c r="H107" cm="1">
        <f t="array" ref="H107">sentimentCalc(B107)</f>
        <v>0</v>
      </c>
      <c r="I107" s="5" t="str" cm="1">
        <f t="array" ref="I107">sentimentCategory(H107)</f>
        <v>Neutral</v>
      </c>
    </row>
    <row r="108" spans="1:9" x14ac:dyDescent="0.2">
      <c r="A108" s="3">
        <v>45073.921492997688</v>
      </c>
      <c r="B108" t="s">
        <v>162</v>
      </c>
      <c r="C108" t="s">
        <v>134</v>
      </c>
      <c r="E108">
        <v>0</v>
      </c>
      <c r="F108">
        <v>0</v>
      </c>
      <c r="G108" t="s">
        <v>2</v>
      </c>
      <c r="H108" cm="1">
        <f t="array" ref="H108">sentimentCalc(B108)</f>
        <v>0</v>
      </c>
      <c r="I108" s="5" t="str" cm="1">
        <f t="array" ref="I108">sentimentCategory(H108)</f>
        <v>Neutral</v>
      </c>
    </row>
    <row r="109" spans="1:9" x14ac:dyDescent="0.2">
      <c r="A109" s="3">
        <v>45074.921492997688</v>
      </c>
      <c r="B109" t="s">
        <v>163</v>
      </c>
      <c r="C109" t="s">
        <v>164</v>
      </c>
      <c r="E109">
        <v>0</v>
      </c>
      <c r="F109">
        <v>0</v>
      </c>
      <c r="G109" t="s">
        <v>2</v>
      </c>
      <c r="H109" cm="1">
        <f t="array" ref="H109">sentimentCalc(B109)</f>
        <v>0</v>
      </c>
      <c r="I109" s="5" t="str" cm="1">
        <f t="array" ref="I109">sentimentCategory(H109)</f>
        <v>Neutral</v>
      </c>
    </row>
    <row r="110" spans="1:9" x14ac:dyDescent="0.2">
      <c r="A110" s="3">
        <v>45075.921492997688</v>
      </c>
      <c r="B110" t="s">
        <v>165</v>
      </c>
      <c r="C110" t="s">
        <v>22</v>
      </c>
      <c r="E110">
        <v>0</v>
      </c>
      <c r="F110">
        <v>0</v>
      </c>
      <c r="G110" t="s">
        <v>2</v>
      </c>
      <c r="H110" cm="1">
        <f t="array" ref="H110">sentimentCalc(B110)</f>
        <v>0</v>
      </c>
      <c r="I110" s="5" t="str" cm="1">
        <f t="array" ref="I110">sentimentCategory(H110)</f>
        <v>Neutral</v>
      </c>
    </row>
    <row r="111" spans="1:9" x14ac:dyDescent="0.2">
      <c r="A111" s="3">
        <v>45076.921492997688</v>
      </c>
      <c r="B111" t="s">
        <v>166</v>
      </c>
      <c r="C111" t="s">
        <v>167</v>
      </c>
      <c r="E111">
        <v>0</v>
      </c>
      <c r="F111">
        <v>0</v>
      </c>
      <c r="G111" t="s">
        <v>2</v>
      </c>
      <c r="H111" cm="1">
        <f t="array" ref="H111">sentimentCalc(B111)</f>
        <v>0</v>
      </c>
      <c r="I111" s="5" t="str" cm="1">
        <f t="array" ref="I111">sentimentCategory(H111)</f>
        <v>Neutral</v>
      </c>
    </row>
    <row r="112" spans="1:9" x14ac:dyDescent="0.2">
      <c r="A112" s="3">
        <v>45077.921492997688</v>
      </c>
      <c r="B112" t="s">
        <v>168</v>
      </c>
      <c r="C112" t="s">
        <v>7</v>
      </c>
      <c r="E112">
        <v>0</v>
      </c>
      <c r="F112">
        <v>0</v>
      </c>
      <c r="G112" t="s">
        <v>2</v>
      </c>
      <c r="H112" cm="1">
        <f t="array" ref="H112">sentimentCalc(B112)</f>
        <v>0</v>
      </c>
      <c r="I112" s="5" t="str" cm="1">
        <f t="array" ref="I112">sentimentCategory(H112)</f>
        <v>Neutral</v>
      </c>
    </row>
    <row r="113" spans="1:9" x14ac:dyDescent="0.2">
      <c r="A113" s="3"/>
      <c r="H113" cm="1">
        <f t="array" ref="H113">sentimentCalc(B113)</f>
        <v>0</v>
      </c>
      <c r="I113" s="5" t="str" cm="1">
        <f t="array" ref="I113">sentimentCategory(H113)</f>
        <v>Neutral</v>
      </c>
    </row>
    <row r="114" spans="1:9" x14ac:dyDescent="0.2">
      <c r="A114" s="3">
        <v>45079.921492997688</v>
      </c>
      <c r="B114" t="s">
        <v>169</v>
      </c>
      <c r="C114" t="s">
        <v>143</v>
      </c>
      <c r="D114" t="s">
        <v>129</v>
      </c>
      <c r="E114">
        <v>0</v>
      </c>
      <c r="F114">
        <v>0</v>
      </c>
      <c r="G114" t="s">
        <v>2</v>
      </c>
      <c r="H114" cm="1">
        <f t="array" ref="H114">sentimentCalc(B114)</f>
        <v>0</v>
      </c>
      <c r="I114" s="5" t="str" cm="1">
        <f t="array" ref="I114">sentimentCategory(H114)</f>
        <v>Neutral</v>
      </c>
    </row>
    <row r="115" spans="1:9" x14ac:dyDescent="0.2">
      <c r="A115" s="3">
        <v>45080.921492997688</v>
      </c>
      <c r="B115" t="s">
        <v>170</v>
      </c>
      <c r="C115" t="s">
        <v>171</v>
      </c>
      <c r="E115">
        <v>0</v>
      </c>
      <c r="F115">
        <v>0</v>
      </c>
      <c r="G115" t="s">
        <v>2</v>
      </c>
      <c r="H115" cm="1">
        <f t="array" ref="H115">sentimentCalc(B115)</f>
        <v>0</v>
      </c>
      <c r="I115" s="5" t="str" cm="1">
        <f t="array" ref="I115">sentimentCategory(H115)</f>
        <v>Neutral</v>
      </c>
    </row>
    <row r="116" spans="1:9" x14ac:dyDescent="0.2">
      <c r="A116" s="3">
        <v>45081.921492997688</v>
      </c>
      <c r="B116" t="s">
        <v>172</v>
      </c>
      <c r="C116" t="s">
        <v>164</v>
      </c>
      <c r="E116">
        <v>0</v>
      </c>
      <c r="F116">
        <v>0</v>
      </c>
      <c r="G116" t="s">
        <v>2</v>
      </c>
      <c r="H116" cm="1">
        <f t="array" ref="H116">sentimentCalc(B116)</f>
        <v>0</v>
      </c>
      <c r="I116" s="5" t="str" cm="1">
        <f t="array" ref="I116">sentimentCategory(H116)</f>
        <v>Neutral</v>
      </c>
    </row>
    <row r="117" spans="1:9" x14ac:dyDescent="0.2">
      <c r="A117" s="3">
        <v>45082.921492997688</v>
      </c>
      <c r="B117" t="s">
        <v>173</v>
      </c>
      <c r="C117" t="s">
        <v>174</v>
      </c>
      <c r="D117" t="s">
        <v>175</v>
      </c>
      <c r="E117">
        <v>0</v>
      </c>
      <c r="F117">
        <v>1</v>
      </c>
      <c r="G117" t="s">
        <v>2</v>
      </c>
      <c r="H117" cm="1">
        <f t="array" ref="H117">sentimentCalc(B117)</f>
        <v>10</v>
      </c>
      <c r="I117" s="5" t="str" cm="1">
        <f t="array" ref="I117">sentimentCategory(H117)</f>
        <v>Positive</v>
      </c>
    </row>
    <row r="118" spans="1:9" x14ac:dyDescent="0.2">
      <c r="A118" s="3">
        <v>45083.921492997688</v>
      </c>
      <c r="B118" t="s">
        <v>176</v>
      </c>
      <c r="C118" t="s">
        <v>12</v>
      </c>
      <c r="D118" t="s">
        <v>13</v>
      </c>
      <c r="E118">
        <v>0</v>
      </c>
      <c r="F118">
        <v>0</v>
      </c>
      <c r="G118" t="s">
        <v>2</v>
      </c>
      <c r="H118" cm="1">
        <f t="array" ref="H118">sentimentCalc(B118)</f>
        <v>0</v>
      </c>
      <c r="I118" s="5" t="str" cm="1">
        <f t="array" ref="I118">sentimentCategory(H118)</f>
        <v>Neutral</v>
      </c>
    </row>
    <row r="119" spans="1:9" x14ac:dyDescent="0.2">
      <c r="A119" s="3">
        <v>45084.921492997688</v>
      </c>
      <c r="B119" t="s">
        <v>177</v>
      </c>
      <c r="C119" t="s">
        <v>178</v>
      </c>
      <c r="D119" t="s">
        <v>55</v>
      </c>
      <c r="E119">
        <v>0</v>
      </c>
      <c r="F119">
        <v>0</v>
      </c>
      <c r="G119" t="s">
        <v>2</v>
      </c>
      <c r="H119" cm="1">
        <f t="array" ref="H119">sentimentCalc(B119)</f>
        <v>-10</v>
      </c>
      <c r="I119" s="5" t="str" cm="1">
        <f t="array" ref="I119">sentimentCategory(H119)</f>
        <v>Negative</v>
      </c>
    </row>
    <row r="120" spans="1:9" x14ac:dyDescent="0.2">
      <c r="A120" s="3">
        <v>45085.921492997688</v>
      </c>
      <c r="B120" t="s">
        <v>179</v>
      </c>
      <c r="C120" t="s">
        <v>128</v>
      </c>
      <c r="D120" t="s">
        <v>129</v>
      </c>
      <c r="E120">
        <v>0</v>
      </c>
      <c r="F120">
        <v>0</v>
      </c>
      <c r="G120" t="s">
        <v>2</v>
      </c>
      <c r="H120" cm="1">
        <f t="array" ref="H120">sentimentCalc(B120)</f>
        <v>-10</v>
      </c>
      <c r="I120" s="5" t="str" cm="1">
        <f t="array" ref="I120">sentimentCategory(H120)</f>
        <v>Negative</v>
      </c>
    </row>
    <row r="121" spans="1:9" x14ac:dyDescent="0.2">
      <c r="A121" s="3">
        <v>45086.921492997688</v>
      </c>
      <c r="B121" t="s">
        <v>180</v>
      </c>
      <c r="C121" t="s">
        <v>7</v>
      </c>
      <c r="E121">
        <v>0</v>
      </c>
      <c r="F121">
        <v>0</v>
      </c>
      <c r="G121" t="s">
        <v>2</v>
      </c>
      <c r="H121" cm="1">
        <f t="array" ref="H121">sentimentCalc(B121)</f>
        <v>0</v>
      </c>
      <c r="I121" s="5" t="str" cm="1">
        <f t="array" ref="I121">sentimentCategory(H121)</f>
        <v>Neutral</v>
      </c>
    </row>
    <row r="122" spans="1:9" x14ac:dyDescent="0.2">
      <c r="A122" s="3">
        <v>45087.921492997688</v>
      </c>
      <c r="B122" t="s">
        <v>181</v>
      </c>
      <c r="C122" t="s">
        <v>182</v>
      </c>
      <c r="D122" t="s">
        <v>183</v>
      </c>
      <c r="E122">
        <v>0</v>
      </c>
      <c r="F122">
        <v>1</v>
      </c>
      <c r="G122" t="s">
        <v>2</v>
      </c>
      <c r="H122" cm="1">
        <f t="array" ref="H122">sentimentCalc(B122)</f>
        <v>0</v>
      </c>
      <c r="I122" s="5" t="str" cm="1">
        <f t="array" ref="I122">sentimentCategory(H122)</f>
        <v>Neutral</v>
      </c>
    </row>
    <row r="123" spans="1:9" x14ac:dyDescent="0.2">
      <c r="A123" s="3">
        <v>45088.921492997688</v>
      </c>
      <c r="B123" t="s">
        <v>184</v>
      </c>
      <c r="C123" t="s">
        <v>57</v>
      </c>
      <c r="D123" t="s">
        <v>69</v>
      </c>
      <c r="E123">
        <v>0</v>
      </c>
      <c r="F123">
        <v>0</v>
      </c>
      <c r="G123" t="s">
        <v>2</v>
      </c>
      <c r="H123" cm="1">
        <f t="array" ref="H123">sentimentCalc(B123)</f>
        <v>0</v>
      </c>
      <c r="I123" s="5" t="str" cm="1">
        <f t="array" ref="I123">sentimentCategory(H123)</f>
        <v>Neutral</v>
      </c>
    </row>
    <row r="124" spans="1:9" x14ac:dyDescent="0.2">
      <c r="A124" s="3">
        <v>45089.921492997688</v>
      </c>
      <c r="B124" t="s">
        <v>185</v>
      </c>
      <c r="C124" t="s">
        <v>7</v>
      </c>
      <c r="E124">
        <v>1</v>
      </c>
      <c r="F124">
        <v>0</v>
      </c>
      <c r="G124" t="s">
        <v>2</v>
      </c>
      <c r="H124" cm="1">
        <f t="array" ref="H124">sentimentCalc(B124)</f>
        <v>0</v>
      </c>
      <c r="I124" s="5" t="str" cm="1">
        <f t="array" ref="I124">sentimentCategory(H124)</f>
        <v>Neutral</v>
      </c>
    </row>
    <row r="125" spans="1:9" x14ac:dyDescent="0.2">
      <c r="A125" s="3">
        <v>45090.921492997688</v>
      </c>
      <c r="B125" t="s">
        <v>186</v>
      </c>
      <c r="C125" t="s">
        <v>128</v>
      </c>
      <c r="D125" t="s">
        <v>129</v>
      </c>
      <c r="E125">
        <v>0</v>
      </c>
      <c r="F125">
        <v>0</v>
      </c>
      <c r="G125" t="s">
        <v>2</v>
      </c>
      <c r="H125" cm="1">
        <f t="array" ref="H125">sentimentCalc(B125)</f>
        <v>-10</v>
      </c>
      <c r="I125" s="5" t="str" cm="1">
        <f t="array" ref="I125">sentimentCategory(H125)</f>
        <v>Negative</v>
      </c>
    </row>
    <row r="126" spans="1:9" x14ac:dyDescent="0.2">
      <c r="A126" s="3">
        <v>45091.921492997688</v>
      </c>
      <c r="B126" t="s">
        <v>187</v>
      </c>
      <c r="C126" t="s">
        <v>188</v>
      </c>
      <c r="D126" t="s">
        <v>189</v>
      </c>
      <c r="E126">
        <v>0</v>
      </c>
      <c r="F126">
        <v>1</v>
      </c>
      <c r="G126" t="s">
        <v>2</v>
      </c>
      <c r="H126" cm="1">
        <f t="array" ref="H126">sentimentCalc(B126)</f>
        <v>0</v>
      </c>
      <c r="I126" s="5" t="str" cm="1">
        <f t="array" ref="I126">sentimentCategory(H126)</f>
        <v>Neutral</v>
      </c>
    </row>
    <row r="127" spans="1:9" x14ac:dyDescent="0.2">
      <c r="A127" s="3">
        <v>45092.921492997688</v>
      </c>
      <c r="B127" t="s">
        <v>190</v>
      </c>
      <c r="C127" t="s">
        <v>7</v>
      </c>
      <c r="E127">
        <v>0</v>
      </c>
      <c r="F127">
        <v>0</v>
      </c>
      <c r="G127" t="s">
        <v>2</v>
      </c>
      <c r="H127" cm="1">
        <f t="array" ref="H127">sentimentCalc(B127)</f>
        <v>0</v>
      </c>
      <c r="I127" s="5" t="str" cm="1">
        <f t="array" ref="I127">sentimentCategory(H127)</f>
        <v>Neutral</v>
      </c>
    </row>
    <row r="128" spans="1:9" x14ac:dyDescent="0.2">
      <c r="A128" s="3">
        <v>45093.921492997688</v>
      </c>
      <c r="B128" t="s">
        <v>191</v>
      </c>
      <c r="C128" t="s">
        <v>12</v>
      </c>
      <c r="D128" t="s">
        <v>13</v>
      </c>
      <c r="E128">
        <v>0</v>
      </c>
      <c r="F128">
        <v>0</v>
      </c>
      <c r="G128" t="s">
        <v>2</v>
      </c>
      <c r="H128" cm="1">
        <f t="array" ref="H128">sentimentCalc(B128)</f>
        <v>0</v>
      </c>
      <c r="I128" s="5" t="str" cm="1">
        <f t="array" ref="I128">sentimentCategory(H128)</f>
        <v>Neutral</v>
      </c>
    </row>
    <row r="129" spans="1:9" x14ac:dyDescent="0.2">
      <c r="A129" s="3"/>
      <c r="H129" cm="1">
        <f t="array" ref="H129">sentimentCalc(B129)</f>
        <v>0</v>
      </c>
      <c r="I129" s="5" t="str" cm="1">
        <f t="array" ref="I129">sentimentCategory(H129)</f>
        <v>Neutral</v>
      </c>
    </row>
    <row r="130" spans="1:9" x14ac:dyDescent="0.2">
      <c r="A130" s="3">
        <v>45095.921492997688</v>
      </c>
      <c r="B130" t="s">
        <v>192</v>
      </c>
      <c r="C130" t="s">
        <v>143</v>
      </c>
      <c r="D130" t="s">
        <v>129</v>
      </c>
      <c r="E130">
        <v>0</v>
      </c>
      <c r="F130">
        <v>0</v>
      </c>
      <c r="G130" t="s">
        <v>2</v>
      </c>
      <c r="H130" cm="1">
        <f t="array" ref="H130">sentimentCalc(B130)</f>
        <v>-10</v>
      </c>
      <c r="I130" s="5" t="str" cm="1">
        <f t="array" ref="I130">sentimentCategory(H130)</f>
        <v>Negative</v>
      </c>
    </row>
    <row r="131" spans="1:9" x14ac:dyDescent="0.2">
      <c r="A131" s="3"/>
      <c r="H131" cm="1">
        <f t="array" ref="H131">sentimentCalc(B131)</f>
        <v>0</v>
      </c>
      <c r="I131" s="5" t="str" cm="1">
        <f t="array" ref="I131">sentimentCategory(H131)</f>
        <v>Neutral</v>
      </c>
    </row>
    <row r="132" spans="1:9" x14ac:dyDescent="0.2">
      <c r="A132" s="3">
        <v>45097.921492997688</v>
      </c>
      <c r="B132" t="s">
        <v>193</v>
      </c>
      <c r="C132" t="s">
        <v>143</v>
      </c>
      <c r="D132" t="s">
        <v>129</v>
      </c>
      <c r="E132">
        <v>0</v>
      </c>
      <c r="F132">
        <v>0</v>
      </c>
      <c r="G132" t="s">
        <v>2</v>
      </c>
      <c r="H132" cm="1">
        <f t="array" ref="H132">sentimentCalc(B132)</f>
        <v>0</v>
      </c>
      <c r="I132" s="5" t="str" cm="1">
        <f t="array" ref="I132">sentimentCategory(H132)</f>
        <v>Neutral</v>
      </c>
    </row>
    <row r="133" spans="1:9" x14ac:dyDescent="0.2">
      <c r="A133" s="3">
        <v>45098.921492997688</v>
      </c>
      <c r="B133" t="s">
        <v>194</v>
      </c>
      <c r="C133" t="s">
        <v>128</v>
      </c>
      <c r="D133" t="s">
        <v>129</v>
      </c>
      <c r="E133">
        <v>0</v>
      </c>
      <c r="F133">
        <v>0</v>
      </c>
      <c r="G133" t="s">
        <v>2</v>
      </c>
      <c r="H133" cm="1">
        <f t="array" ref="H133">sentimentCalc(B133)</f>
        <v>-10</v>
      </c>
      <c r="I133" s="5" t="str" cm="1">
        <f t="array" ref="I133">sentimentCategory(H133)</f>
        <v>Negative</v>
      </c>
    </row>
    <row r="134" spans="1:9" x14ac:dyDescent="0.2">
      <c r="A134" s="3">
        <v>45099.921492997688</v>
      </c>
      <c r="B134" t="s">
        <v>3</v>
      </c>
      <c r="C134" t="s">
        <v>4</v>
      </c>
      <c r="D134" t="s">
        <v>5</v>
      </c>
      <c r="E134">
        <v>0</v>
      </c>
      <c r="F134">
        <v>0</v>
      </c>
      <c r="G134" t="s">
        <v>2</v>
      </c>
      <c r="H134" cm="1">
        <f t="array" ref="H134">sentimentCalc(B134)</f>
        <v>0</v>
      </c>
      <c r="I134" s="5" t="str" cm="1">
        <f t="array" ref="I134">sentimentCategory(H134)</f>
        <v>Neutral</v>
      </c>
    </row>
    <row r="135" spans="1:9" x14ac:dyDescent="0.2">
      <c r="A135" s="3">
        <v>45100.921492997688</v>
      </c>
      <c r="B135" t="s">
        <v>195</v>
      </c>
      <c r="C135" t="s">
        <v>7</v>
      </c>
      <c r="E135">
        <v>0</v>
      </c>
      <c r="F135">
        <v>0</v>
      </c>
      <c r="G135" t="s">
        <v>2</v>
      </c>
      <c r="H135" cm="1">
        <f t="array" ref="H135">sentimentCalc(B135)</f>
        <v>0</v>
      </c>
      <c r="I135" s="5" t="str" cm="1">
        <f t="array" ref="I135">sentimentCategory(H135)</f>
        <v>Neutral</v>
      </c>
    </row>
    <row r="136" spans="1:9" x14ac:dyDescent="0.2">
      <c r="A136" s="3">
        <v>45101.921492997688</v>
      </c>
      <c r="B136" t="s">
        <v>196</v>
      </c>
      <c r="C136" t="s">
        <v>7</v>
      </c>
      <c r="E136">
        <v>0</v>
      </c>
      <c r="F136">
        <v>0</v>
      </c>
      <c r="G136" t="s">
        <v>2</v>
      </c>
      <c r="H136" cm="1">
        <f t="array" ref="H136">sentimentCalc(B136)</f>
        <v>0</v>
      </c>
      <c r="I136" s="5" t="str" cm="1">
        <f t="array" ref="I136">sentimentCategory(H136)</f>
        <v>Neutral</v>
      </c>
    </row>
    <row r="137" spans="1:9" x14ac:dyDescent="0.2">
      <c r="A137" s="3">
        <v>45102.921492997688</v>
      </c>
      <c r="B137" t="s">
        <v>11</v>
      </c>
      <c r="C137" t="s">
        <v>12</v>
      </c>
      <c r="D137" t="s">
        <v>13</v>
      </c>
      <c r="E137">
        <v>0</v>
      </c>
      <c r="F137">
        <v>0</v>
      </c>
      <c r="G137" t="s">
        <v>2</v>
      </c>
      <c r="H137" cm="1">
        <f t="array" ref="H137">sentimentCalc(B137)</f>
        <v>0</v>
      </c>
      <c r="I137" s="5" t="str" cm="1">
        <f t="array" ref="I137">sentimentCategory(H137)</f>
        <v>Neutral</v>
      </c>
    </row>
    <row r="138" spans="1:9" x14ac:dyDescent="0.2">
      <c r="A138" s="3">
        <v>45103.921492997688</v>
      </c>
      <c r="B138" t="s">
        <v>197</v>
      </c>
      <c r="C138" t="s">
        <v>198</v>
      </c>
      <c r="E138">
        <v>0</v>
      </c>
      <c r="F138">
        <v>0</v>
      </c>
      <c r="G138" t="s">
        <v>2</v>
      </c>
      <c r="H138" cm="1">
        <f t="array" ref="H138">sentimentCalc(B138)</f>
        <v>0</v>
      </c>
      <c r="I138" s="5" t="str" cm="1">
        <f t="array" ref="I138">sentimentCategory(H138)</f>
        <v>Neutral</v>
      </c>
    </row>
    <row r="139" spans="1:9" x14ac:dyDescent="0.2">
      <c r="A139" s="3">
        <v>45104.921492997688</v>
      </c>
      <c r="B139" t="s">
        <v>199</v>
      </c>
      <c r="C139" t="s">
        <v>7</v>
      </c>
      <c r="E139">
        <v>0</v>
      </c>
      <c r="F139">
        <v>0</v>
      </c>
      <c r="G139" t="s">
        <v>2</v>
      </c>
      <c r="H139" cm="1">
        <f t="array" ref="H139">sentimentCalc(B139)</f>
        <v>0</v>
      </c>
      <c r="I139" s="5" t="str" cm="1">
        <f t="array" ref="I139">sentimentCategory(H139)</f>
        <v>Neutral</v>
      </c>
    </row>
    <row r="140" spans="1:9" x14ac:dyDescent="0.2">
      <c r="A140" s="3">
        <v>45105.921492997688</v>
      </c>
      <c r="B140" t="s">
        <v>200</v>
      </c>
      <c r="C140" t="s">
        <v>171</v>
      </c>
      <c r="E140">
        <v>0</v>
      </c>
      <c r="F140">
        <v>0</v>
      </c>
      <c r="G140" t="s">
        <v>2</v>
      </c>
      <c r="H140" cm="1">
        <f t="array" ref="H140">sentimentCalc(B140)</f>
        <v>0</v>
      </c>
      <c r="I140" s="5" t="str" cm="1">
        <f t="array" ref="I140">sentimentCategory(H140)</f>
        <v>Neutral</v>
      </c>
    </row>
    <row r="141" spans="1:9" x14ac:dyDescent="0.2">
      <c r="A141" s="3">
        <v>45106.921492997688</v>
      </c>
      <c r="B141" t="s">
        <v>201</v>
      </c>
      <c r="C141" t="s">
        <v>202</v>
      </c>
      <c r="D141" t="s">
        <v>203</v>
      </c>
      <c r="E141">
        <v>1</v>
      </c>
      <c r="F141">
        <v>6</v>
      </c>
      <c r="G141" t="s">
        <v>2</v>
      </c>
      <c r="H141" cm="1">
        <f t="array" ref="H141">sentimentCalc(B141)</f>
        <v>10</v>
      </c>
      <c r="I141" s="5" t="str" cm="1">
        <f t="array" ref="I141">sentimentCategory(H141)</f>
        <v>Positive</v>
      </c>
    </row>
    <row r="142" spans="1:9" x14ac:dyDescent="0.2">
      <c r="A142" s="3">
        <v>45107.921492997688</v>
      </c>
      <c r="B142" t="s">
        <v>204</v>
      </c>
      <c r="C142" t="s">
        <v>7</v>
      </c>
      <c r="E142">
        <v>0</v>
      </c>
      <c r="F142">
        <v>0</v>
      </c>
      <c r="G142" t="s">
        <v>2</v>
      </c>
      <c r="H142" cm="1">
        <f t="array" ref="H142">sentimentCalc(B142)</f>
        <v>0</v>
      </c>
      <c r="I142" s="5" t="str" cm="1">
        <f t="array" ref="I142">sentimentCategory(H142)</f>
        <v>Neutral</v>
      </c>
    </row>
    <row r="143" spans="1:9" x14ac:dyDescent="0.2">
      <c r="A143" s="3">
        <v>45108.921492997688</v>
      </c>
      <c r="B143" t="s">
        <v>205</v>
      </c>
      <c r="C143" t="s">
        <v>206</v>
      </c>
      <c r="D143" t="s">
        <v>207</v>
      </c>
      <c r="E143">
        <v>0</v>
      </c>
      <c r="F143">
        <v>0</v>
      </c>
      <c r="G143" t="s">
        <v>2</v>
      </c>
      <c r="H143" cm="1">
        <f t="array" ref="H143">sentimentCalc(B143)</f>
        <v>0</v>
      </c>
      <c r="I143" s="5" t="str" cm="1">
        <f t="array" ref="I143">sentimentCategory(H143)</f>
        <v>Neutral</v>
      </c>
    </row>
    <row r="144" spans="1:9" x14ac:dyDescent="0.2">
      <c r="A144" s="3">
        <v>45109.921492997688</v>
      </c>
      <c r="B144" t="s">
        <v>208</v>
      </c>
      <c r="C144" t="s">
        <v>209</v>
      </c>
      <c r="D144" t="s">
        <v>210</v>
      </c>
      <c r="E144">
        <v>1</v>
      </c>
      <c r="F144">
        <v>4</v>
      </c>
      <c r="G144" t="s">
        <v>2</v>
      </c>
      <c r="H144" cm="1">
        <f t="array" ref="H144">sentimentCalc(B144)</f>
        <v>0</v>
      </c>
      <c r="I144" s="5" t="str" cm="1">
        <f t="array" ref="I144">sentimentCategory(H144)</f>
        <v>Neutral</v>
      </c>
    </row>
    <row r="145" spans="1:9" x14ac:dyDescent="0.2">
      <c r="A145" s="3">
        <v>45110.921492997688</v>
      </c>
      <c r="B145" t="s">
        <v>211</v>
      </c>
      <c r="C145" t="s">
        <v>7</v>
      </c>
      <c r="E145">
        <v>0</v>
      </c>
      <c r="F145">
        <v>0</v>
      </c>
      <c r="G145" t="s">
        <v>2</v>
      </c>
      <c r="H145" cm="1">
        <f t="array" ref="H145">sentimentCalc(B145)</f>
        <v>0</v>
      </c>
      <c r="I145" s="5" t="str" cm="1">
        <f t="array" ref="I145">sentimentCategory(H145)</f>
        <v>Neutral</v>
      </c>
    </row>
    <row r="146" spans="1:9" x14ac:dyDescent="0.2">
      <c r="A146" s="3">
        <v>45111.921492997688</v>
      </c>
      <c r="B146" t="s">
        <v>212</v>
      </c>
      <c r="C146" t="s">
        <v>33</v>
      </c>
      <c r="D146" t="s">
        <v>34</v>
      </c>
      <c r="E146">
        <v>0</v>
      </c>
      <c r="F146">
        <v>0</v>
      </c>
      <c r="G146" t="s">
        <v>2</v>
      </c>
      <c r="H146" cm="1">
        <f t="array" ref="H146">sentimentCalc(B146)</f>
        <v>0</v>
      </c>
      <c r="I146" s="5" t="str" cm="1">
        <f t="array" ref="I146">sentimentCategory(H146)</f>
        <v>Neutral</v>
      </c>
    </row>
    <row r="147" spans="1:9" x14ac:dyDescent="0.2">
      <c r="A147" s="3">
        <v>45112.921492997688</v>
      </c>
      <c r="B147" t="s">
        <v>37</v>
      </c>
      <c r="C147" t="s">
        <v>33</v>
      </c>
      <c r="D147" t="s">
        <v>34</v>
      </c>
      <c r="E147">
        <v>0</v>
      </c>
      <c r="F147">
        <v>0</v>
      </c>
      <c r="G147" t="s">
        <v>2</v>
      </c>
      <c r="H147" cm="1">
        <f t="array" ref="H147">sentimentCalc(B147)</f>
        <v>0</v>
      </c>
      <c r="I147" s="5" t="str" cm="1">
        <f t="array" ref="I147">sentimentCategory(H147)</f>
        <v>Neutral</v>
      </c>
    </row>
    <row r="148" spans="1:9" x14ac:dyDescent="0.2">
      <c r="A148" s="3">
        <v>45113.921492997688</v>
      </c>
      <c r="B148" t="s">
        <v>36</v>
      </c>
      <c r="C148" t="s">
        <v>33</v>
      </c>
      <c r="D148" t="s">
        <v>34</v>
      </c>
      <c r="E148">
        <v>0</v>
      </c>
      <c r="F148">
        <v>0</v>
      </c>
      <c r="G148" t="s">
        <v>2</v>
      </c>
      <c r="H148" cm="1">
        <f t="array" ref="H148">sentimentCalc(B148)</f>
        <v>10</v>
      </c>
      <c r="I148" s="5" t="str" cm="1">
        <f t="array" ref="I148">sentimentCategory(H148)</f>
        <v>Positive</v>
      </c>
    </row>
    <row r="149" spans="1:9" x14ac:dyDescent="0.2">
      <c r="A149" s="3">
        <v>45114.921492997688</v>
      </c>
      <c r="B149" t="s">
        <v>35</v>
      </c>
      <c r="C149" t="s">
        <v>33</v>
      </c>
      <c r="D149" t="s">
        <v>34</v>
      </c>
      <c r="E149">
        <v>0</v>
      </c>
      <c r="F149">
        <v>0</v>
      </c>
      <c r="G149" t="s">
        <v>2</v>
      </c>
      <c r="H149" cm="1">
        <f t="array" ref="H149">sentimentCalc(B149)</f>
        <v>0</v>
      </c>
      <c r="I149" s="5" t="str" cm="1">
        <f t="array" ref="I149">sentimentCategory(H149)</f>
        <v>Neutral</v>
      </c>
    </row>
    <row r="150" spans="1:9" x14ac:dyDescent="0.2">
      <c r="A150" s="3">
        <v>45115.921492997688</v>
      </c>
      <c r="B150" t="s">
        <v>213</v>
      </c>
      <c r="C150" t="s">
        <v>214</v>
      </c>
      <c r="D150" t="s">
        <v>215</v>
      </c>
      <c r="E150">
        <v>0</v>
      </c>
      <c r="F150">
        <v>2</v>
      </c>
      <c r="G150" t="s">
        <v>2</v>
      </c>
      <c r="H150" cm="1">
        <f t="array" ref="H150">sentimentCalc(B150)</f>
        <v>10</v>
      </c>
      <c r="I150" s="5" t="str" cm="1">
        <f t="array" ref="I150">sentimentCategory(H150)</f>
        <v>Positive</v>
      </c>
    </row>
    <row r="151" spans="1:9" x14ac:dyDescent="0.2">
      <c r="A151" s="3">
        <v>45116.921492997688</v>
      </c>
      <c r="B151" t="s">
        <v>216</v>
      </c>
      <c r="C151" t="s">
        <v>134</v>
      </c>
      <c r="E151">
        <v>0</v>
      </c>
      <c r="F151">
        <v>0</v>
      </c>
      <c r="G151" t="s">
        <v>2</v>
      </c>
      <c r="H151" cm="1">
        <f t="array" ref="H151">sentimentCalc(B151)</f>
        <v>0</v>
      </c>
      <c r="I151" s="5" t="str" cm="1">
        <f t="array" ref="I151">sentimentCategory(H151)</f>
        <v>Neutral</v>
      </c>
    </row>
    <row r="152" spans="1:9" x14ac:dyDescent="0.2">
      <c r="A152" s="3">
        <v>45117.921492997688</v>
      </c>
      <c r="B152" t="s">
        <v>217</v>
      </c>
      <c r="C152" t="s">
        <v>128</v>
      </c>
      <c r="D152" t="s">
        <v>129</v>
      </c>
      <c r="E152">
        <v>0</v>
      </c>
      <c r="F152">
        <v>0</v>
      </c>
      <c r="G152" t="s">
        <v>2</v>
      </c>
      <c r="H152" cm="1">
        <f t="array" ref="H152">sentimentCalc(B152)</f>
        <v>-10</v>
      </c>
      <c r="I152" s="5" t="str" cm="1">
        <f t="array" ref="I152">sentimentCategory(H152)</f>
        <v>Negative</v>
      </c>
    </row>
    <row r="153" spans="1:9" x14ac:dyDescent="0.2">
      <c r="A153" s="3">
        <v>45118.921492997688</v>
      </c>
      <c r="B153" t="s">
        <v>11</v>
      </c>
      <c r="C153" t="s">
        <v>12</v>
      </c>
      <c r="D153" t="s">
        <v>13</v>
      </c>
      <c r="E153">
        <v>0</v>
      </c>
      <c r="F153">
        <v>0</v>
      </c>
      <c r="G153" t="s">
        <v>2</v>
      </c>
      <c r="H153" cm="1">
        <f t="array" ref="H153">sentimentCalc(B153)</f>
        <v>0</v>
      </c>
      <c r="I153" s="5" t="str" cm="1">
        <f t="array" ref="I153">sentimentCategory(H153)</f>
        <v>Neutral</v>
      </c>
    </row>
    <row r="154" spans="1:9" x14ac:dyDescent="0.2">
      <c r="A154" s="3">
        <v>45119.921492997688</v>
      </c>
      <c r="B154" t="s">
        <v>218</v>
      </c>
      <c r="C154" t="s">
        <v>22</v>
      </c>
      <c r="E154">
        <v>0</v>
      </c>
      <c r="F154">
        <v>0</v>
      </c>
      <c r="G154" t="s">
        <v>2</v>
      </c>
      <c r="H154" cm="1">
        <f t="array" ref="H154">sentimentCalc(B154)</f>
        <v>0</v>
      </c>
      <c r="I154" s="5" t="str" cm="1">
        <f t="array" ref="I154">sentimentCategory(H154)</f>
        <v>Neutral</v>
      </c>
    </row>
    <row r="155" spans="1:9" x14ac:dyDescent="0.2">
      <c r="A155" s="3">
        <v>45120.921492997688</v>
      </c>
      <c r="B155" t="s">
        <v>219</v>
      </c>
      <c r="C155" t="s">
        <v>7</v>
      </c>
      <c r="E155">
        <v>0</v>
      </c>
      <c r="F155">
        <v>0</v>
      </c>
      <c r="G155" t="s">
        <v>2</v>
      </c>
      <c r="H155" cm="1">
        <f t="array" ref="H155">sentimentCalc(B155)</f>
        <v>0</v>
      </c>
      <c r="I155" s="5" t="str" cm="1">
        <f t="array" ref="I155">sentimentCategory(H155)</f>
        <v>Neutral</v>
      </c>
    </row>
    <row r="156" spans="1:9" x14ac:dyDescent="0.2">
      <c r="A156" s="3">
        <v>45121.921492997688</v>
      </c>
      <c r="B156" t="s">
        <v>220</v>
      </c>
      <c r="C156" t="s">
        <v>221</v>
      </c>
      <c r="E156">
        <v>0</v>
      </c>
      <c r="F156">
        <v>0</v>
      </c>
      <c r="G156" t="s">
        <v>2</v>
      </c>
      <c r="H156" cm="1">
        <f t="array" ref="H156">sentimentCalc(B156)</f>
        <v>0</v>
      </c>
      <c r="I156" s="5" t="str" cm="1">
        <f t="array" ref="I156">sentimentCategory(H156)</f>
        <v>Neutral</v>
      </c>
    </row>
    <row r="157" spans="1:9" x14ac:dyDescent="0.2">
      <c r="A157" s="3">
        <v>45122.921492997688</v>
      </c>
      <c r="B157" t="s">
        <v>222</v>
      </c>
      <c r="C157" t="s">
        <v>223</v>
      </c>
      <c r="E157">
        <v>0</v>
      </c>
      <c r="F157">
        <v>0</v>
      </c>
      <c r="G157" t="s">
        <v>2</v>
      </c>
      <c r="H157" cm="1">
        <f t="array" ref="H157">sentimentCalc(B157)</f>
        <v>0</v>
      </c>
      <c r="I157" s="5" t="str" cm="1">
        <f t="array" ref="I157">sentimentCategory(H157)</f>
        <v>Neutral</v>
      </c>
    </row>
    <row r="158" spans="1:9" x14ac:dyDescent="0.2">
      <c r="A158" s="3">
        <v>45123.921492997688</v>
      </c>
      <c r="B158" t="s">
        <v>224</v>
      </c>
      <c r="C158" t="s">
        <v>33</v>
      </c>
      <c r="D158" t="s">
        <v>34</v>
      </c>
      <c r="E158">
        <v>0</v>
      </c>
      <c r="F158">
        <v>0</v>
      </c>
      <c r="G158" t="s">
        <v>2</v>
      </c>
      <c r="H158" cm="1">
        <f t="array" ref="H158">sentimentCalc(B158)</f>
        <v>10</v>
      </c>
      <c r="I158" s="5" t="str" cm="1">
        <f t="array" ref="I158">sentimentCategory(H158)</f>
        <v>Positive</v>
      </c>
    </row>
    <row r="159" spans="1:9" x14ac:dyDescent="0.2">
      <c r="A159" s="3">
        <v>45124.921492997688</v>
      </c>
      <c r="B159" t="s">
        <v>225</v>
      </c>
      <c r="C159" t="s">
        <v>33</v>
      </c>
      <c r="D159" t="s">
        <v>34</v>
      </c>
      <c r="E159">
        <v>0</v>
      </c>
      <c r="F159">
        <v>0</v>
      </c>
      <c r="G159" t="s">
        <v>2</v>
      </c>
      <c r="H159" cm="1">
        <f t="array" ref="H159">sentimentCalc(B159)</f>
        <v>0</v>
      </c>
      <c r="I159" s="5" t="str" cm="1">
        <f t="array" ref="I159">sentimentCategory(H159)</f>
        <v>Neutral</v>
      </c>
    </row>
    <row r="160" spans="1:9" x14ac:dyDescent="0.2">
      <c r="A160" s="3">
        <v>45125.921492997688</v>
      </c>
      <c r="B160" t="s">
        <v>226</v>
      </c>
      <c r="C160" t="s">
        <v>33</v>
      </c>
      <c r="D160" t="s">
        <v>34</v>
      </c>
      <c r="E160">
        <v>0</v>
      </c>
      <c r="F160">
        <v>0</v>
      </c>
      <c r="G160" t="s">
        <v>2</v>
      </c>
      <c r="H160" cm="1">
        <f t="array" ref="H160">sentimentCalc(B160)</f>
        <v>0</v>
      </c>
      <c r="I160" s="5" t="str" cm="1">
        <f t="array" ref="I160">sentimentCategory(H160)</f>
        <v>Neutral</v>
      </c>
    </row>
    <row r="161" spans="1:9" x14ac:dyDescent="0.2">
      <c r="A161" s="3"/>
      <c r="H161" cm="1">
        <f t="array" ref="H161">sentimentCalc(B161)</f>
        <v>0</v>
      </c>
      <c r="I161" s="5" t="str" cm="1">
        <f t="array" ref="I161">sentimentCategory(H161)</f>
        <v>Neutral</v>
      </c>
    </row>
    <row r="162" spans="1:9" x14ac:dyDescent="0.2">
      <c r="A162" s="3">
        <v>45127.921492997688</v>
      </c>
      <c r="B162" t="s">
        <v>228</v>
      </c>
      <c r="C162" t="s">
        <v>33</v>
      </c>
      <c r="D162" t="s">
        <v>34</v>
      </c>
      <c r="E162">
        <v>0</v>
      </c>
      <c r="F162">
        <v>0</v>
      </c>
      <c r="G162" t="s">
        <v>2</v>
      </c>
      <c r="H162" cm="1">
        <f t="array" ref="H162">sentimentCalc(B162)</f>
        <v>0</v>
      </c>
      <c r="I162" s="5" t="str" cm="1">
        <f t="array" ref="I162">sentimentCategory(H162)</f>
        <v>Neutral</v>
      </c>
    </row>
    <row r="163" spans="1:9" x14ac:dyDescent="0.2">
      <c r="A163" s="3">
        <v>45128.921492997688</v>
      </c>
      <c r="B163" t="s">
        <v>229</v>
      </c>
      <c r="C163" t="s">
        <v>33</v>
      </c>
      <c r="D163" t="s">
        <v>34</v>
      </c>
      <c r="E163">
        <v>0</v>
      </c>
      <c r="F163">
        <v>0</v>
      </c>
      <c r="G163" t="s">
        <v>2</v>
      </c>
      <c r="H163" cm="1">
        <f t="array" ref="H163">sentimentCalc(B163)</f>
        <v>0</v>
      </c>
      <c r="I163" s="5" t="str" cm="1">
        <f t="array" ref="I163">sentimentCategory(H163)</f>
        <v>Neutral</v>
      </c>
    </row>
    <row r="164" spans="1:9" x14ac:dyDescent="0.2">
      <c r="A164" s="3">
        <v>45129.921492997688</v>
      </c>
      <c r="B164" t="s">
        <v>230</v>
      </c>
      <c r="C164" t="s">
        <v>33</v>
      </c>
      <c r="D164" t="s">
        <v>34</v>
      </c>
      <c r="E164">
        <v>0</v>
      </c>
      <c r="F164">
        <v>0</v>
      </c>
      <c r="G164" t="s">
        <v>2</v>
      </c>
      <c r="H164" cm="1">
        <f t="array" ref="H164">sentimentCalc(B164)</f>
        <v>0</v>
      </c>
      <c r="I164" s="5" t="str" cm="1">
        <f t="array" ref="I164">sentimentCategory(H164)</f>
        <v>Neutral</v>
      </c>
    </row>
    <row r="165" spans="1:9" x14ac:dyDescent="0.2">
      <c r="A165" s="3">
        <v>45130.921492997688</v>
      </c>
      <c r="B165" t="s">
        <v>231</v>
      </c>
      <c r="C165" t="s">
        <v>33</v>
      </c>
      <c r="D165" t="s">
        <v>34</v>
      </c>
      <c r="E165">
        <v>0</v>
      </c>
      <c r="F165">
        <v>0</v>
      </c>
      <c r="G165" t="s">
        <v>2</v>
      </c>
      <c r="H165" cm="1">
        <f t="array" ref="H165">sentimentCalc(B165)</f>
        <v>0</v>
      </c>
      <c r="I165" s="5" t="str" cm="1">
        <f t="array" ref="I165">sentimentCategory(H165)</f>
        <v>Neutral</v>
      </c>
    </row>
    <row r="166" spans="1:9" x14ac:dyDescent="0.2">
      <c r="A166" s="3">
        <v>45131.921492997688</v>
      </c>
      <c r="B166" t="s">
        <v>232</v>
      </c>
      <c r="C166" t="s">
        <v>7</v>
      </c>
      <c r="E166">
        <v>0</v>
      </c>
      <c r="F166">
        <v>0</v>
      </c>
      <c r="G166" t="s">
        <v>2</v>
      </c>
      <c r="H166" cm="1">
        <f t="array" ref="H166">sentimentCalc(B166)</f>
        <v>0</v>
      </c>
      <c r="I166" s="5" t="str" cm="1">
        <f t="array" ref="I166">sentimentCategory(H166)</f>
        <v>Neutral</v>
      </c>
    </row>
    <row r="167" spans="1:9" x14ac:dyDescent="0.2">
      <c r="A167" s="3">
        <v>45132.921492997688</v>
      </c>
      <c r="B167" t="s">
        <v>233</v>
      </c>
      <c r="C167" t="s">
        <v>234</v>
      </c>
      <c r="D167" t="s">
        <v>235</v>
      </c>
      <c r="E167">
        <v>0</v>
      </c>
      <c r="F167">
        <v>0</v>
      </c>
      <c r="G167" t="s">
        <v>2</v>
      </c>
      <c r="H167" cm="1">
        <f t="array" ref="H167">sentimentCalc(B167)</f>
        <v>0</v>
      </c>
      <c r="I167" s="5" t="str" cm="1">
        <f t="array" ref="I167">sentimentCategory(H167)</f>
        <v>Neutral</v>
      </c>
    </row>
    <row r="168" spans="1:9" x14ac:dyDescent="0.2">
      <c r="A168" s="3">
        <v>45133.921492997688</v>
      </c>
      <c r="B168" t="s">
        <v>236</v>
      </c>
      <c r="C168" t="s">
        <v>237</v>
      </c>
      <c r="E168">
        <v>0</v>
      </c>
      <c r="F168">
        <v>1</v>
      </c>
      <c r="G168" t="s">
        <v>2</v>
      </c>
      <c r="H168" cm="1">
        <f t="array" ref="H168">sentimentCalc(B168)</f>
        <v>10</v>
      </c>
      <c r="I168" s="5" t="str" cm="1">
        <f t="array" ref="I168">sentimentCategory(H168)</f>
        <v>Positive</v>
      </c>
    </row>
    <row r="169" spans="1:9" x14ac:dyDescent="0.2">
      <c r="A169" s="3">
        <v>45134.921492997688</v>
      </c>
      <c r="B169" t="s">
        <v>238</v>
      </c>
      <c r="C169" t="s">
        <v>7</v>
      </c>
      <c r="E169">
        <v>0</v>
      </c>
      <c r="F169">
        <v>0</v>
      </c>
      <c r="G169" t="s">
        <v>2</v>
      </c>
      <c r="H169" cm="1">
        <f t="array" ref="H169">sentimentCalc(B169)</f>
        <v>0</v>
      </c>
      <c r="I169" s="5" t="str" cm="1">
        <f t="array" ref="I169">sentimentCategory(H169)</f>
        <v>Neutral</v>
      </c>
    </row>
    <row r="170" spans="1:9" x14ac:dyDescent="0.2">
      <c r="A170" s="3">
        <v>45135.921492997688</v>
      </c>
      <c r="B170" t="s">
        <v>239</v>
      </c>
      <c r="C170" t="s">
        <v>108</v>
      </c>
      <c r="D170" t="s">
        <v>109</v>
      </c>
      <c r="E170">
        <v>0</v>
      </c>
      <c r="F170">
        <v>0</v>
      </c>
      <c r="G170" t="s">
        <v>2</v>
      </c>
      <c r="H170" cm="1">
        <f t="array" ref="H170">sentimentCalc(B170)</f>
        <v>0</v>
      </c>
      <c r="I170" s="5" t="str" cm="1">
        <f t="array" ref="I170">sentimentCategory(H170)</f>
        <v>Neutral</v>
      </c>
    </row>
    <row r="171" spans="1:9" x14ac:dyDescent="0.2">
      <c r="A171" s="3">
        <v>45136.921492997688</v>
      </c>
      <c r="B171" t="s">
        <v>240</v>
      </c>
      <c r="C171" t="s">
        <v>137</v>
      </c>
      <c r="D171" t="s">
        <v>241</v>
      </c>
      <c r="E171">
        <v>0</v>
      </c>
      <c r="F171">
        <v>1</v>
      </c>
      <c r="G171" t="s">
        <v>2</v>
      </c>
      <c r="H171" cm="1">
        <f t="array" ref="H171">sentimentCalc(B171)</f>
        <v>0</v>
      </c>
      <c r="I171" s="5" t="str" cm="1">
        <f t="array" ref="I171">sentimentCategory(H171)</f>
        <v>Neutral</v>
      </c>
    </row>
    <row r="172" spans="1:9" x14ac:dyDescent="0.2">
      <c r="A172" s="3">
        <v>45137.921492997688</v>
      </c>
      <c r="B172" t="s">
        <v>242</v>
      </c>
      <c r="C172" t="s">
        <v>243</v>
      </c>
      <c r="D172" t="s">
        <v>244</v>
      </c>
      <c r="E172">
        <v>0</v>
      </c>
      <c r="F172">
        <v>0</v>
      </c>
      <c r="G172" t="s">
        <v>2</v>
      </c>
      <c r="H172" cm="1">
        <f t="array" ref="H172">sentimentCalc(B172)</f>
        <v>0</v>
      </c>
      <c r="I172" s="5" t="str" cm="1">
        <f t="array" ref="I172">sentimentCategory(H172)</f>
        <v>Neutral</v>
      </c>
    </row>
    <row r="173" spans="1:9" x14ac:dyDescent="0.2">
      <c r="A173" s="3">
        <v>45138.921492997688</v>
      </c>
      <c r="B173" t="s">
        <v>245</v>
      </c>
      <c r="C173" t="s">
        <v>7</v>
      </c>
      <c r="E173">
        <v>0</v>
      </c>
      <c r="F173">
        <v>0</v>
      </c>
      <c r="G173" t="s">
        <v>2</v>
      </c>
      <c r="H173" cm="1">
        <f t="array" ref="H173">sentimentCalc(B173)</f>
        <v>0</v>
      </c>
      <c r="I173" s="5" t="str" cm="1">
        <f t="array" ref="I173">sentimentCategory(H173)</f>
        <v>Neutral</v>
      </c>
    </row>
    <row r="174" spans="1:9" x14ac:dyDescent="0.2">
      <c r="A174" s="3">
        <v>45139.921492997688</v>
      </c>
      <c r="B174" t="s">
        <v>246</v>
      </c>
      <c r="C174" t="s">
        <v>98</v>
      </c>
      <c r="D174" t="s">
        <v>13</v>
      </c>
      <c r="E174">
        <v>0</v>
      </c>
      <c r="F174">
        <v>0</v>
      </c>
      <c r="G174" t="s">
        <v>2</v>
      </c>
      <c r="H174" cm="1">
        <f t="array" ref="H174">sentimentCalc(B174)</f>
        <v>0</v>
      </c>
      <c r="I174" s="5" t="str" cm="1">
        <f t="array" ref="I174">sentimentCategory(H174)</f>
        <v>Neutral</v>
      </c>
    </row>
    <row r="175" spans="1:9" x14ac:dyDescent="0.2">
      <c r="A175" s="3">
        <v>45140.921492997688</v>
      </c>
      <c r="B175" t="s">
        <v>247</v>
      </c>
      <c r="C175" t="s">
        <v>248</v>
      </c>
      <c r="D175" t="s">
        <v>249</v>
      </c>
      <c r="E175">
        <v>0</v>
      </c>
      <c r="F175">
        <v>3</v>
      </c>
      <c r="G175" t="s">
        <v>2</v>
      </c>
      <c r="H175" cm="1">
        <f t="array" ref="H175">sentimentCalc(B175)</f>
        <v>0</v>
      </c>
      <c r="I175" s="5" t="str" cm="1">
        <f t="array" ref="I175">sentimentCategory(H175)</f>
        <v>Neutral</v>
      </c>
    </row>
    <row r="176" spans="1:9" x14ac:dyDescent="0.2">
      <c r="A176" s="3">
        <v>45141.921492997688</v>
      </c>
      <c r="B176" t="s">
        <v>250</v>
      </c>
      <c r="C176" t="s">
        <v>251</v>
      </c>
      <c r="E176">
        <v>0</v>
      </c>
      <c r="F176">
        <v>54</v>
      </c>
      <c r="G176" t="s">
        <v>2</v>
      </c>
      <c r="H176" cm="1">
        <f t="array" ref="H176">sentimentCalc(B176)</f>
        <v>10</v>
      </c>
      <c r="I176" s="5" t="str" cm="1">
        <f t="array" ref="I176">sentimentCategory(H176)</f>
        <v>Positive</v>
      </c>
    </row>
    <row r="177" spans="1:9" x14ac:dyDescent="0.2">
      <c r="A177" s="3">
        <v>45142.921492997688</v>
      </c>
      <c r="B177" t="s">
        <v>252</v>
      </c>
      <c r="C177" t="s">
        <v>253</v>
      </c>
      <c r="D177" t="s">
        <v>254</v>
      </c>
      <c r="E177">
        <v>0</v>
      </c>
      <c r="F177">
        <v>0</v>
      </c>
      <c r="G177" t="s">
        <v>2</v>
      </c>
      <c r="H177" cm="1">
        <f t="array" ref="H177">sentimentCalc(B177)</f>
        <v>0</v>
      </c>
      <c r="I177" s="5" t="str" cm="1">
        <f t="array" ref="I177">sentimentCategory(H177)</f>
        <v>Neutral</v>
      </c>
    </row>
    <row r="178" spans="1:9" x14ac:dyDescent="0.2">
      <c r="A178" s="3">
        <v>45143.921492997688</v>
      </c>
      <c r="B178" t="s">
        <v>3</v>
      </c>
      <c r="C178" t="s">
        <v>4</v>
      </c>
      <c r="D178" t="s">
        <v>5</v>
      </c>
      <c r="E178">
        <v>0</v>
      </c>
      <c r="F178">
        <v>0</v>
      </c>
      <c r="G178" t="s">
        <v>2</v>
      </c>
      <c r="H178" cm="1">
        <f t="array" ref="H178">sentimentCalc(B178)</f>
        <v>0</v>
      </c>
      <c r="I178" s="5" t="str" cm="1">
        <f t="array" ref="I178">sentimentCategory(H178)</f>
        <v>Neutral</v>
      </c>
    </row>
    <row r="179" spans="1:9" x14ac:dyDescent="0.2">
      <c r="A179" s="3">
        <v>45144.921492997688</v>
      </c>
      <c r="B179" t="s">
        <v>255</v>
      </c>
      <c r="C179" t="s">
        <v>256</v>
      </c>
      <c r="E179">
        <v>0</v>
      </c>
      <c r="F179">
        <v>0</v>
      </c>
      <c r="G179" t="s">
        <v>2</v>
      </c>
      <c r="H179" cm="1">
        <f t="array" ref="H179">sentimentCalc(B179)</f>
        <v>0</v>
      </c>
      <c r="I179" s="5" t="str" cm="1">
        <f t="array" ref="I179">sentimentCategory(H179)</f>
        <v>Neutral</v>
      </c>
    </row>
    <row r="180" spans="1:9" x14ac:dyDescent="0.2">
      <c r="A180" s="3">
        <v>45145.921492997688</v>
      </c>
      <c r="B180" t="s">
        <v>257</v>
      </c>
      <c r="C180" t="s">
        <v>7</v>
      </c>
      <c r="E180">
        <v>0</v>
      </c>
      <c r="F180">
        <v>0</v>
      </c>
      <c r="G180" t="s">
        <v>2</v>
      </c>
      <c r="H180" cm="1">
        <f t="array" ref="H180">sentimentCalc(B180)</f>
        <v>0</v>
      </c>
      <c r="I180" s="5" t="str" cm="1">
        <f t="array" ref="I180">sentimentCategory(H180)</f>
        <v>Neutral</v>
      </c>
    </row>
    <row r="181" spans="1:9" x14ac:dyDescent="0.2">
      <c r="A181" s="3">
        <v>45146.921492997688</v>
      </c>
      <c r="B181" t="s">
        <v>258</v>
      </c>
      <c r="C181" t="s">
        <v>259</v>
      </c>
      <c r="D181" t="s">
        <v>260</v>
      </c>
      <c r="E181">
        <v>0</v>
      </c>
      <c r="F181">
        <v>0</v>
      </c>
      <c r="G181" t="s">
        <v>2</v>
      </c>
      <c r="H181" cm="1">
        <f t="array" ref="H181">sentimentCalc(B181)</f>
        <v>10</v>
      </c>
      <c r="I181" s="5" t="str" cm="1">
        <f t="array" ref="I181">sentimentCategory(H181)</f>
        <v>Positive</v>
      </c>
    </row>
    <row r="182" spans="1:9" x14ac:dyDescent="0.2">
      <c r="A182" s="3">
        <v>45147.921492997688</v>
      </c>
      <c r="B182" t="s">
        <v>261</v>
      </c>
      <c r="C182" t="s">
        <v>262</v>
      </c>
      <c r="D182" t="s">
        <v>263</v>
      </c>
      <c r="E182">
        <v>0</v>
      </c>
      <c r="F182">
        <v>0</v>
      </c>
      <c r="G182" t="s">
        <v>2</v>
      </c>
      <c r="H182" cm="1">
        <f t="array" ref="H182">sentimentCalc(B182)</f>
        <v>0</v>
      </c>
      <c r="I182" s="5" t="str" cm="1">
        <f t="array" ref="I182">sentimentCategory(H182)</f>
        <v>Neutral</v>
      </c>
    </row>
    <row r="183" spans="1:9" x14ac:dyDescent="0.2">
      <c r="A183" s="3">
        <v>45148.921492997688</v>
      </c>
      <c r="B183" t="s">
        <v>264</v>
      </c>
      <c r="C183" t="s">
        <v>262</v>
      </c>
      <c r="D183" t="s">
        <v>263</v>
      </c>
      <c r="E183">
        <v>0</v>
      </c>
      <c r="F183">
        <v>1</v>
      </c>
      <c r="G183" t="s">
        <v>2</v>
      </c>
      <c r="H183" cm="1">
        <f t="array" ref="H183">sentimentCalc(B183)</f>
        <v>10</v>
      </c>
      <c r="I183" s="5" t="str" cm="1">
        <f t="array" ref="I183">sentimentCategory(H183)</f>
        <v>Positive</v>
      </c>
    </row>
    <row r="184" spans="1:9" x14ac:dyDescent="0.2">
      <c r="A184" s="3">
        <v>45149.921492997688</v>
      </c>
      <c r="B184" t="s">
        <v>265</v>
      </c>
      <c r="C184" t="s">
        <v>7</v>
      </c>
      <c r="E184">
        <v>0</v>
      </c>
      <c r="F184">
        <v>0</v>
      </c>
      <c r="G184" t="s">
        <v>2</v>
      </c>
      <c r="H184" cm="1">
        <f t="array" ref="H184">sentimentCalc(B184)</f>
        <v>0</v>
      </c>
      <c r="I184" s="5" t="str" cm="1">
        <f t="array" ref="I184">sentimentCategory(H184)</f>
        <v>Neutral</v>
      </c>
    </row>
    <row r="185" spans="1:9" x14ac:dyDescent="0.2">
      <c r="A185" s="3">
        <v>45150.921492997688</v>
      </c>
      <c r="B185" t="s">
        <v>266</v>
      </c>
      <c r="C185" t="s">
        <v>267</v>
      </c>
      <c r="D185" t="s">
        <v>268</v>
      </c>
      <c r="E185">
        <v>1</v>
      </c>
      <c r="F185">
        <v>0</v>
      </c>
      <c r="G185" t="s">
        <v>2</v>
      </c>
      <c r="H185" cm="1">
        <f t="array" ref="H185">sentimentCalc(B185)</f>
        <v>0</v>
      </c>
      <c r="I185" s="5" t="str" cm="1">
        <f t="array" ref="I185">sentimentCategory(H185)</f>
        <v>Neutral</v>
      </c>
    </row>
    <row r="186" spans="1:9" x14ac:dyDescent="0.2">
      <c r="A186" s="3">
        <v>45151.921492997688</v>
      </c>
      <c r="B186" t="s">
        <v>269</v>
      </c>
      <c r="C186" t="s">
        <v>270</v>
      </c>
      <c r="D186" t="s">
        <v>271</v>
      </c>
      <c r="E186">
        <v>0</v>
      </c>
      <c r="F186">
        <v>0</v>
      </c>
      <c r="G186" t="s">
        <v>2</v>
      </c>
      <c r="H186" cm="1">
        <f t="array" ref="H186">sentimentCalc(B186)</f>
        <v>10</v>
      </c>
      <c r="I186" s="5" t="str" cm="1">
        <f t="array" ref="I186">sentimentCategory(H186)</f>
        <v>Positive</v>
      </c>
    </row>
    <row r="187" spans="1:9" x14ac:dyDescent="0.2">
      <c r="A187" s="3">
        <v>45152.921492997688</v>
      </c>
      <c r="B187" t="s">
        <v>272</v>
      </c>
      <c r="C187" t="s">
        <v>273</v>
      </c>
      <c r="E187">
        <v>0</v>
      </c>
      <c r="F187">
        <v>0</v>
      </c>
      <c r="G187" t="s">
        <v>2</v>
      </c>
      <c r="H187" cm="1">
        <f t="array" ref="H187">sentimentCalc(B187)</f>
        <v>0</v>
      </c>
      <c r="I187" s="5" t="str" cm="1">
        <f t="array" ref="I187">sentimentCategory(H187)</f>
        <v>Neutral</v>
      </c>
    </row>
    <row r="188" spans="1:9" x14ac:dyDescent="0.2">
      <c r="A188" s="3">
        <v>45153.921492997688</v>
      </c>
      <c r="B188" t="s">
        <v>274</v>
      </c>
      <c r="C188" t="s">
        <v>275</v>
      </c>
      <c r="E188">
        <v>0</v>
      </c>
      <c r="F188">
        <v>2</v>
      </c>
      <c r="G188" t="s">
        <v>2</v>
      </c>
      <c r="H188" cm="1">
        <f t="array" ref="H188">sentimentCalc(B188)</f>
        <v>0</v>
      </c>
      <c r="I188" s="5" t="str" cm="1">
        <f t="array" ref="I188">sentimentCategory(H188)</f>
        <v>Neutral</v>
      </c>
    </row>
    <row r="189" spans="1:9" x14ac:dyDescent="0.2">
      <c r="A189" s="3">
        <v>45154.921492997688</v>
      </c>
      <c r="B189" t="s">
        <v>276</v>
      </c>
      <c r="C189" t="s">
        <v>277</v>
      </c>
      <c r="D189" t="s">
        <v>278</v>
      </c>
      <c r="E189">
        <v>0</v>
      </c>
      <c r="F189">
        <v>0</v>
      </c>
      <c r="G189" t="s">
        <v>2</v>
      </c>
      <c r="H189" cm="1">
        <f t="array" ref="H189">sentimentCalc(B189)</f>
        <v>20</v>
      </c>
      <c r="I189" s="5" t="str" cm="1">
        <f t="array" ref="I189">sentimentCategory(H189)</f>
        <v>Positive</v>
      </c>
    </row>
    <row r="190" spans="1:9" x14ac:dyDescent="0.2">
      <c r="A190" s="3"/>
      <c r="H190" cm="1">
        <f t="array" ref="H190">sentimentCalc(B190)</f>
        <v>0</v>
      </c>
      <c r="I190" s="5" t="str" cm="1">
        <f t="array" ref="I190">sentimentCategory(H190)</f>
        <v>Neutral</v>
      </c>
    </row>
    <row r="191" spans="1:9" x14ac:dyDescent="0.2">
      <c r="A191" s="3"/>
      <c r="H191" cm="1">
        <f t="array" ref="H191">sentimentCalc(B191)</f>
        <v>0</v>
      </c>
      <c r="I191" s="5" t="str" cm="1">
        <f t="array" ref="I191">sentimentCategory(H191)</f>
        <v>Neutral</v>
      </c>
    </row>
    <row r="192" spans="1:9" x14ac:dyDescent="0.2">
      <c r="A192" s="3">
        <v>45157.921492997688</v>
      </c>
      <c r="B192" t="s">
        <v>279</v>
      </c>
      <c r="C192" t="s">
        <v>33</v>
      </c>
      <c r="D192" t="s">
        <v>34</v>
      </c>
      <c r="E192">
        <v>0</v>
      </c>
      <c r="F192">
        <v>0</v>
      </c>
      <c r="G192" t="s">
        <v>2</v>
      </c>
      <c r="H192" cm="1">
        <f t="array" ref="H192">sentimentCalc(B192)</f>
        <v>0</v>
      </c>
      <c r="I192" s="5" t="str" cm="1">
        <f t="array" ref="I192">sentimentCategory(H192)</f>
        <v>Neutral</v>
      </c>
    </row>
    <row r="193" spans="1:9" x14ac:dyDescent="0.2">
      <c r="A193" s="3">
        <v>45158.921492997688</v>
      </c>
      <c r="B193" t="s">
        <v>36</v>
      </c>
      <c r="C193" t="s">
        <v>33</v>
      </c>
      <c r="D193" t="s">
        <v>34</v>
      </c>
      <c r="E193">
        <v>0</v>
      </c>
      <c r="F193">
        <v>0</v>
      </c>
      <c r="G193" t="s">
        <v>2</v>
      </c>
      <c r="H193" cm="1">
        <f t="array" ref="H193">sentimentCalc(B193)</f>
        <v>10</v>
      </c>
      <c r="I193" s="5" t="str" cm="1">
        <f t="array" ref="I193">sentimentCategory(H193)</f>
        <v>Positive</v>
      </c>
    </row>
    <row r="194" spans="1:9" x14ac:dyDescent="0.2">
      <c r="A194" s="3">
        <v>45159.921492997688</v>
      </c>
      <c r="B194" t="s">
        <v>280</v>
      </c>
      <c r="C194" t="s">
        <v>281</v>
      </c>
      <c r="E194">
        <v>0</v>
      </c>
      <c r="F194">
        <v>1</v>
      </c>
      <c r="G194" t="s">
        <v>2</v>
      </c>
      <c r="H194" cm="1">
        <f t="array" ref="H194">sentimentCalc(B194)</f>
        <v>20</v>
      </c>
      <c r="I194" s="5" t="str" cm="1">
        <f t="array" ref="I194">sentimentCategory(H194)</f>
        <v>Positive</v>
      </c>
    </row>
    <row r="195" spans="1:9" x14ac:dyDescent="0.2">
      <c r="A195" s="3">
        <v>45160.921492997688</v>
      </c>
      <c r="B195" t="s">
        <v>282</v>
      </c>
      <c r="C195" t="s">
        <v>283</v>
      </c>
      <c r="D195" t="s">
        <v>34</v>
      </c>
      <c r="E195">
        <v>0</v>
      </c>
      <c r="F195">
        <v>0</v>
      </c>
      <c r="G195" t="s">
        <v>2</v>
      </c>
      <c r="H195" cm="1">
        <f t="array" ref="H195">sentimentCalc(B195)</f>
        <v>0</v>
      </c>
      <c r="I195" s="5" t="str" cm="1">
        <f t="array" ref="I195">sentimentCategory(H195)</f>
        <v>Neutral</v>
      </c>
    </row>
    <row r="196" spans="1:9" x14ac:dyDescent="0.2">
      <c r="A196" s="3">
        <v>45161.921492997688</v>
      </c>
      <c r="B196" t="s">
        <v>284</v>
      </c>
      <c r="C196" t="s">
        <v>7</v>
      </c>
      <c r="E196">
        <v>1</v>
      </c>
      <c r="F196">
        <v>0</v>
      </c>
      <c r="G196" t="s">
        <v>2</v>
      </c>
      <c r="H196" cm="1">
        <f t="array" ref="H196">sentimentCalc(B196)</f>
        <v>0</v>
      </c>
      <c r="I196" s="5" t="str" cm="1">
        <f t="array" ref="I196">sentimentCategory(H196)</f>
        <v>Neutral</v>
      </c>
    </row>
    <row r="197" spans="1:9" x14ac:dyDescent="0.2">
      <c r="A197" s="3">
        <v>45162.921492997688</v>
      </c>
      <c r="B197" t="s">
        <v>285</v>
      </c>
      <c r="C197" t="s">
        <v>286</v>
      </c>
      <c r="E197">
        <v>0</v>
      </c>
      <c r="F197">
        <v>0</v>
      </c>
      <c r="G197" t="s">
        <v>2</v>
      </c>
      <c r="H197" cm="1">
        <f t="array" ref="H197">sentimentCalc(B197)</f>
        <v>0</v>
      </c>
      <c r="I197" s="5" t="str" cm="1">
        <f t="array" ref="I197">sentimentCategory(H197)</f>
        <v>Neutral</v>
      </c>
    </row>
    <row r="198" spans="1:9" x14ac:dyDescent="0.2">
      <c r="A198" s="3">
        <v>45163.921492997688</v>
      </c>
      <c r="B198" t="s">
        <v>287</v>
      </c>
      <c r="C198" t="s">
        <v>33</v>
      </c>
      <c r="D198" t="s">
        <v>34</v>
      </c>
      <c r="E198">
        <v>0</v>
      </c>
      <c r="F198">
        <v>0</v>
      </c>
      <c r="G198" t="s">
        <v>2</v>
      </c>
      <c r="H198" cm="1">
        <f t="array" ref="H198">sentimentCalc(B198)</f>
        <v>0</v>
      </c>
      <c r="I198" s="5" t="str" cm="1">
        <f t="array" ref="I198">sentimentCategory(H198)</f>
        <v>Neutral</v>
      </c>
    </row>
    <row r="199" spans="1:9" x14ac:dyDescent="0.2">
      <c r="A199" s="3">
        <v>45164.921492997688</v>
      </c>
      <c r="B199" t="s">
        <v>288</v>
      </c>
      <c r="C199" t="s">
        <v>7</v>
      </c>
      <c r="E199">
        <v>0</v>
      </c>
      <c r="F199">
        <v>0</v>
      </c>
      <c r="G199" t="s">
        <v>2</v>
      </c>
      <c r="H199" cm="1">
        <f t="array" ref="H199">sentimentCalc(B199)</f>
        <v>0</v>
      </c>
      <c r="I199" s="5" t="str" cm="1">
        <f t="array" ref="I199">sentimentCategory(H199)</f>
        <v>Neutral</v>
      </c>
    </row>
    <row r="200" spans="1:9" x14ac:dyDescent="0.2">
      <c r="A200" s="3">
        <v>45165.921492997688</v>
      </c>
      <c r="B200" t="s">
        <v>289</v>
      </c>
      <c r="C200" t="s">
        <v>290</v>
      </c>
      <c r="D200" t="s">
        <v>291</v>
      </c>
      <c r="E200">
        <v>0</v>
      </c>
      <c r="F200">
        <v>0</v>
      </c>
      <c r="G200" t="s">
        <v>2</v>
      </c>
      <c r="H200" cm="1">
        <f t="array" ref="H200">sentimentCalc(B200)</f>
        <v>0</v>
      </c>
      <c r="I200" s="5" t="str" cm="1">
        <f t="array" ref="I200">sentimentCategory(H200)</f>
        <v>Neutral</v>
      </c>
    </row>
    <row r="201" spans="1:9" x14ac:dyDescent="0.2">
      <c r="A201" s="3">
        <v>45166.921492997688</v>
      </c>
      <c r="B201" t="s">
        <v>292</v>
      </c>
      <c r="C201" t="s">
        <v>286</v>
      </c>
      <c r="E201">
        <v>0</v>
      </c>
      <c r="F201">
        <v>0</v>
      </c>
      <c r="G201" t="s">
        <v>2</v>
      </c>
      <c r="H201" cm="1">
        <f t="array" ref="H201">sentimentCalc(B201)</f>
        <v>0</v>
      </c>
      <c r="I201" s="5" t="str" cm="1">
        <f t="array" ref="I201">sentimentCategory(H201)</f>
        <v>Neutral</v>
      </c>
    </row>
    <row r="202" spans="1:9" x14ac:dyDescent="0.2">
      <c r="A202" s="3">
        <v>45167.921492997688</v>
      </c>
      <c r="B202" t="s">
        <v>293</v>
      </c>
      <c r="C202" t="s">
        <v>294</v>
      </c>
      <c r="E202">
        <v>0</v>
      </c>
      <c r="F202">
        <v>0</v>
      </c>
      <c r="G202" t="s">
        <v>2</v>
      </c>
      <c r="H202" cm="1">
        <f t="array" ref="H202">sentimentCalc(B202)</f>
        <v>0</v>
      </c>
      <c r="I202" s="5" t="str" cm="1">
        <f t="array" ref="I202">sentimentCategory(H202)</f>
        <v>Neutral</v>
      </c>
    </row>
    <row r="203" spans="1:9" x14ac:dyDescent="0.2">
      <c r="A203" s="3">
        <v>45168.921492997688</v>
      </c>
      <c r="B203" t="s">
        <v>295</v>
      </c>
      <c r="C203" t="s">
        <v>7</v>
      </c>
      <c r="E203">
        <v>0</v>
      </c>
      <c r="F203">
        <v>0</v>
      </c>
      <c r="G203" t="s">
        <v>2</v>
      </c>
      <c r="H203" cm="1">
        <f t="array" ref="H203">sentimentCalc(B203)</f>
        <v>0</v>
      </c>
      <c r="I203" s="5" t="str" cm="1">
        <f t="array" ref="I203">sentimentCategory(H203)</f>
        <v>Neutral</v>
      </c>
    </row>
    <row r="204" spans="1:9" x14ac:dyDescent="0.2">
      <c r="A204" s="3">
        <v>45169.921492997688</v>
      </c>
      <c r="B204" t="s">
        <v>3</v>
      </c>
      <c r="C204" t="s">
        <v>4</v>
      </c>
      <c r="D204" t="s">
        <v>5</v>
      </c>
      <c r="E204">
        <v>0</v>
      </c>
      <c r="F204">
        <v>0</v>
      </c>
      <c r="G204" t="s">
        <v>2</v>
      </c>
      <c r="H204" cm="1">
        <f t="array" ref="H204">sentimentCalc(B204)</f>
        <v>0</v>
      </c>
      <c r="I204" s="5" t="str" cm="1">
        <f t="array" ref="I204">sentimentCategory(H204)</f>
        <v>Neutral</v>
      </c>
    </row>
    <row r="205" spans="1:9" x14ac:dyDescent="0.2">
      <c r="A205" s="3">
        <v>45170.921492997688</v>
      </c>
      <c r="B205" t="s">
        <v>296</v>
      </c>
      <c r="C205" t="s">
        <v>297</v>
      </c>
      <c r="E205">
        <v>0</v>
      </c>
      <c r="F205">
        <v>0</v>
      </c>
      <c r="G205" t="s">
        <v>2</v>
      </c>
      <c r="H205" cm="1">
        <f t="array" ref="H205">sentimentCalc(B205)</f>
        <v>0</v>
      </c>
      <c r="I205" s="5" t="str" cm="1">
        <f t="array" ref="I205">sentimentCategory(H205)</f>
        <v>Neutral</v>
      </c>
    </row>
    <row r="206" spans="1:9" x14ac:dyDescent="0.2">
      <c r="A206" s="3">
        <v>45171.921492997688</v>
      </c>
      <c r="B206" t="s">
        <v>298</v>
      </c>
      <c r="C206" t="s">
        <v>7</v>
      </c>
      <c r="E206">
        <v>0</v>
      </c>
      <c r="F206">
        <v>0</v>
      </c>
      <c r="G206" t="s">
        <v>2</v>
      </c>
      <c r="H206" cm="1">
        <f t="array" ref="H206">sentimentCalc(B206)</f>
        <v>0</v>
      </c>
      <c r="I206" s="5" t="str" cm="1">
        <f t="array" ref="I206">sentimentCategory(H206)</f>
        <v>Neutral</v>
      </c>
    </row>
    <row r="207" spans="1:9" x14ac:dyDescent="0.2">
      <c r="A207" s="3">
        <v>45172.921492997688</v>
      </c>
      <c r="B207" t="s">
        <v>299</v>
      </c>
      <c r="C207" t="s">
        <v>300</v>
      </c>
      <c r="D207" t="s">
        <v>301</v>
      </c>
      <c r="E207">
        <v>0</v>
      </c>
      <c r="F207">
        <v>0</v>
      </c>
      <c r="G207" t="s">
        <v>2</v>
      </c>
      <c r="H207" cm="1">
        <f t="array" ref="H207">sentimentCalc(B207)</f>
        <v>0</v>
      </c>
      <c r="I207" s="5" t="str" cm="1">
        <f t="array" ref="I207">sentimentCategory(H207)</f>
        <v>Neutral</v>
      </c>
    </row>
    <row r="208" spans="1:9" x14ac:dyDescent="0.2">
      <c r="A208" s="3">
        <v>45173.921492997688</v>
      </c>
      <c r="B208" t="s">
        <v>197</v>
      </c>
      <c r="C208" t="s">
        <v>198</v>
      </c>
      <c r="E208">
        <v>0</v>
      </c>
      <c r="F208">
        <v>0</v>
      </c>
      <c r="G208" t="s">
        <v>2</v>
      </c>
      <c r="H208" cm="1">
        <f t="array" ref="H208">sentimentCalc(B208)</f>
        <v>0</v>
      </c>
      <c r="I208" s="5" t="str" cm="1">
        <f t="array" ref="I208">sentimentCategory(H208)</f>
        <v>Neutral</v>
      </c>
    </row>
    <row r="209" spans="1:9" x14ac:dyDescent="0.2">
      <c r="A209" s="3">
        <v>45174.921492997688</v>
      </c>
      <c r="B209" t="s">
        <v>302</v>
      </c>
      <c r="C209" t="s">
        <v>7</v>
      </c>
      <c r="E209">
        <v>0</v>
      </c>
      <c r="F209">
        <v>0</v>
      </c>
      <c r="G209" t="s">
        <v>2</v>
      </c>
      <c r="H209" cm="1">
        <f t="array" ref="H209">sentimentCalc(B209)</f>
        <v>0</v>
      </c>
      <c r="I209" s="5" t="str" cm="1">
        <f t="array" ref="I209">sentimentCategory(H209)</f>
        <v>Neutral</v>
      </c>
    </row>
    <row r="210" spans="1:9" x14ac:dyDescent="0.2">
      <c r="A210" s="3">
        <v>45175.921492997688</v>
      </c>
      <c r="B210" t="s">
        <v>303</v>
      </c>
      <c r="C210" t="s">
        <v>131</v>
      </c>
      <c r="D210" t="s">
        <v>304</v>
      </c>
      <c r="E210">
        <v>0</v>
      </c>
      <c r="F210">
        <v>1</v>
      </c>
      <c r="G210" t="s">
        <v>2</v>
      </c>
      <c r="H210" cm="1">
        <f t="array" ref="H210">sentimentCalc(B210)</f>
        <v>10</v>
      </c>
      <c r="I210" s="5" t="str" cm="1">
        <f t="array" ref="I210">sentimentCategory(H210)</f>
        <v>Positive</v>
      </c>
    </row>
    <row r="211" spans="1:9" x14ac:dyDescent="0.2">
      <c r="A211" s="3">
        <v>45176.921492997688</v>
      </c>
      <c r="B211" t="s">
        <v>305</v>
      </c>
      <c r="C211" t="s">
        <v>306</v>
      </c>
      <c r="D211" t="s">
        <v>307</v>
      </c>
      <c r="E211">
        <v>0</v>
      </c>
      <c r="F211">
        <v>1</v>
      </c>
      <c r="G211" t="s">
        <v>2</v>
      </c>
      <c r="H211" cm="1">
        <f t="array" ref="H211">sentimentCalc(B211)</f>
        <v>0</v>
      </c>
      <c r="I211" s="5" t="str" cm="1">
        <f t="array" ref="I211">sentimentCategory(H211)</f>
        <v>Neutral</v>
      </c>
    </row>
    <row r="212" spans="1:9" x14ac:dyDescent="0.2">
      <c r="A212" s="3">
        <v>45177.921492997688</v>
      </c>
      <c r="B212" t="s">
        <v>308</v>
      </c>
      <c r="C212" t="s">
        <v>309</v>
      </c>
      <c r="D212" t="s">
        <v>310</v>
      </c>
      <c r="E212">
        <v>0</v>
      </c>
      <c r="F212">
        <v>0</v>
      </c>
      <c r="G212" t="s">
        <v>2</v>
      </c>
      <c r="H212" cm="1">
        <f t="array" ref="H212">sentimentCalc(B212)</f>
        <v>0</v>
      </c>
      <c r="I212" s="5" t="str" cm="1">
        <f t="array" ref="I212">sentimentCategory(H212)</f>
        <v>Neutral</v>
      </c>
    </row>
    <row r="213" spans="1:9" x14ac:dyDescent="0.2">
      <c r="A213" s="3">
        <v>45178.921492997688</v>
      </c>
      <c r="B213" t="s">
        <v>21</v>
      </c>
      <c r="C213" t="s">
        <v>22</v>
      </c>
      <c r="E213">
        <v>0</v>
      </c>
      <c r="F213">
        <v>0</v>
      </c>
      <c r="G213" t="s">
        <v>2</v>
      </c>
      <c r="H213" cm="1">
        <f t="array" ref="H213">sentimentCalc(B213)</f>
        <v>0</v>
      </c>
      <c r="I213" s="5" t="str" cm="1">
        <f t="array" ref="I213">sentimentCategory(H213)</f>
        <v>Neutral</v>
      </c>
    </row>
    <row r="214" spans="1:9" x14ac:dyDescent="0.2">
      <c r="A214" s="3">
        <v>45179.921492997688</v>
      </c>
      <c r="B214" t="s">
        <v>311</v>
      </c>
      <c r="C214" t="s">
        <v>312</v>
      </c>
      <c r="D214" t="s">
        <v>313</v>
      </c>
      <c r="E214">
        <v>0</v>
      </c>
      <c r="F214">
        <v>2</v>
      </c>
      <c r="G214" t="s">
        <v>2</v>
      </c>
      <c r="H214" cm="1">
        <f t="array" ref="H214">sentimentCalc(B214)</f>
        <v>0</v>
      </c>
      <c r="I214" s="5" t="str" cm="1">
        <f t="array" ref="I214">sentimentCategory(H214)</f>
        <v>Neutral</v>
      </c>
    </row>
    <row r="215" spans="1:9" x14ac:dyDescent="0.2">
      <c r="A215" s="3">
        <v>45180.921492997688</v>
      </c>
      <c r="B215" t="s">
        <v>314</v>
      </c>
      <c r="C215" t="s">
        <v>7</v>
      </c>
      <c r="E215">
        <v>1</v>
      </c>
      <c r="F215">
        <v>0</v>
      </c>
      <c r="G215" t="s">
        <v>2</v>
      </c>
      <c r="H215" cm="1">
        <f t="array" ref="H215">sentimentCalc(B215)</f>
        <v>0</v>
      </c>
      <c r="I215" s="5" t="str" cm="1">
        <f t="array" ref="I215">sentimentCategory(H215)</f>
        <v>Neutral</v>
      </c>
    </row>
    <row r="216" spans="1:9" x14ac:dyDescent="0.2">
      <c r="A216" s="3">
        <v>45181.921492997688</v>
      </c>
      <c r="B216" t="s">
        <v>315</v>
      </c>
      <c r="C216" t="s">
        <v>316</v>
      </c>
      <c r="D216" t="s">
        <v>317</v>
      </c>
      <c r="E216">
        <v>0</v>
      </c>
      <c r="F216">
        <v>2</v>
      </c>
      <c r="G216" t="s">
        <v>2</v>
      </c>
      <c r="H216" cm="1">
        <f t="array" ref="H216">sentimentCalc(B216)</f>
        <v>-10</v>
      </c>
      <c r="I216" s="5" t="str" cm="1">
        <f t="array" ref="I216">sentimentCategory(H216)</f>
        <v>Negative</v>
      </c>
    </row>
    <row r="217" spans="1:9" x14ac:dyDescent="0.2">
      <c r="A217" s="3">
        <v>45182.921492997688</v>
      </c>
      <c r="B217" t="s">
        <v>318</v>
      </c>
      <c r="C217" t="s">
        <v>319</v>
      </c>
      <c r="D217" t="s">
        <v>55</v>
      </c>
      <c r="E217">
        <v>0</v>
      </c>
      <c r="F217">
        <v>0</v>
      </c>
      <c r="G217" t="s">
        <v>2</v>
      </c>
      <c r="H217" cm="1">
        <f t="array" ref="H217">sentimentCalc(B217)</f>
        <v>0</v>
      </c>
      <c r="I217" s="5" t="str" cm="1">
        <f t="array" ref="I217">sentimentCategory(H217)</f>
        <v>Neutral</v>
      </c>
    </row>
    <row r="218" spans="1:9" x14ac:dyDescent="0.2">
      <c r="A218" s="3">
        <v>45183.921492997688</v>
      </c>
      <c r="B218" t="s">
        <v>320</v>
      </c>
      <c r="C218" t="s">
        <v>7</v>
      </c>
      <c r="E218">
        <v>0</v>
      </c>
      <c r="F218">
        <v>0</v>
      </c>
      <c r="G218" t="s">
        <v>2</v>
      </c>
      <c r="H218" cm="1">
        <f t="array" ref="H218">sentimentCalc(B218)</f>
        <v>0</v>
      </c>
      <c r="I218" s="5" t="str" cm="1">
        <f t="array" ref="I218">sentimentCategory(H218)</f>
        <v>Neutral</v>
      </c>
    </row>
    <row r="219" spans="1:9" x14ac:dyDescent="0.2">
      <c r="A219" s="3">
        <v>45184.921492997688</v>
      </c>
      <c r="B219" t="s">
        <v>36</v>
      </c>
      <c r="C219" t="s">
        <v>33</v>
      </c>
      <c r="D219" t="s">
        <v>34</v>
      </c>
      <c r="E219">
        <v>0</v>
      </c>
      <c r="F219">
        <v>0</v>
      </c>
      <c r="G219" t="s">
        <v>2</v>
      </c>
      <c r="H219" cm="1">
        <f t="array" ref="H219">sentimentCalc(B219)</f>
        <v>10</v>
      </c>
      <c r="I219" s="5" t="str" cm="1">
        <f t="array" ref="I219">sentimentCategory(H219)</f>
        <v>Positive</v>
      </c>
    </row>
    <row r="220" spans="1:9" x14ac:dyDescent="0.2">
      <c r="A220" s="3"/>
      <c r="H220" cm="1">
        <f t="array" ref="H220">sentimentCalc(B220)</f>
        <v>0</v>
      </c>
      <c r="I220" s="5" t="str" cm="1">
        <f t="array" ref="I220">sentimentCategory(H220)</f>
        <v>Neutral</v>
      </c>
    </row>
    <row r="221" spans="1:9" x14ac:dyDescent="0.2">
      <c r="A221" s="3">
        <v>45186.921492997688</v>
      </c>
      <c r="B221" t="s">
        <v>321</v>
      </c>
      <c r="C221" t="s">
        <v>33</v>
      </c>
      <c r="D221" t="s">
        <v>34</v>
      </c>
      <c r="E221">
        <v>0</v>
      </c>
      <c r="F221">
        <v>0</v>
      </c>
      <c r="G221" t="s">
        <v>2</v>
      </c>
      <c r="H221" cm="1">
        <f t="array" ref="H221">sentimentCalc(B221)</f>
        <v>0</v>
      </c>
      <c r="I221" s="5" t="str" cm="1">
        <f t="array" ref="I221">sentimentCategory(H221)</f>
        <v>Neutral</v>
      </c>
    </row>
    <row r="222" spans="1:9" x14ac:dyDescent="0.2">
      <c r="A222" s="3">
        <v>45187.921492997688</v>
      </c>
      <c r="B222" t="s">
        <v>37</v>
      </c>
      <c r="C222" t="s">
        <v>33</v>
      </c>
      <c r="D222" t="s">
        <v>34</v>
      </c>
      <c r="E222">
        <v>0</v>
      </c>
      <c r="F222">
        <v>0</v>
      </c>
      <c r="G222" t="s">
        <v>2</v>
      </c>
      <c r="H222" cm="1">
        <f t="array" ref="H222">sentimentCalc(B222)</f>
        <v>0</v>
      </c>
      <c r="I222" s="5" t="str" cm="1">
        <f t="array" ref="I222">sentimentCategory(H222)</f>
        <v>Neutral</v>
      </c>
    </row>
    <row r="223" spans="1:9" x14ac:dyDescent="0.2">
      <c r="A223" s="3">
        <v>45188.921492997688</v>
      </c>
      <c r="B223" t="s">
        <v>322</v>
      </c>
      <c r="C223" t="s">
        <v>7</v>
      </c>
      <c r="E223">
        <v>0</v>
      </c>
      <c r="F223">
        <v>0</v>
      </c>
      <c r="G223" t="s">
        <v>2</v>
      </c>
      <c r="H223" cm="1">
        <f t="array" ref="H223">sentimentCalc(B223)</f>
        <v>0</v>
      </c>
      <c r="I223" s="5" t="str" cm="1">
        <f t="array" ref="I223">sentimentCategory(H223)</f>
        <v>Neutral</v>
      </c>
    </row>
    <row r="224" spans="1:9" x14ac:dyDescent="0.2">
      <c r="A224" s="3">
        <v>45189.921492997688</v>
      </c>
      <c r="B224" t="s">
        <v>323</v>
      </c>
      <c r="C224" t="s">
        <v>324</v>
      </c>
      <c r="E224">
        <v>0</v>
      </c>
      <c r="F224">
        <v>0</v>
      </c>
      <c r="G224" t="s">
        <v>2</v>
      </c>
      <c r="H224" cm="1">
        <f t="array" ref="H224">sentimentCalc(B224)</f>
        <v>0</v>
      </c>
      <c r="I224" s="5" t="str" cm="1">
        <f t="array" ref="I224">sentimentCategory(H224)</f>
        <v>Neutral</v>
      </c>
    </row>
    <row r="225" spans="1:9" x14ac:dyDescent="0.2">
      <c r="A225" s="3"/>
      <c r="H225" cm="1">
        <f t="array" ref="H225">sentimentCalc(B225)</f>
        <v>0</v>
      </c>
      <c r="I225" s="5" t="str" cm="1">
        <f t="array" ref="I225">sentimentCategory(H225)</f>
        <v>Neutral</v>
      </c>
    </row>
    <row r="226" spans="1:9" x14ac:dyDescent="0.2">
      <c r="A226" s="3">
        <v>45191.921492997688</v>
      </c>
      <c r="B226" t="s">
        <v>325</v>
      </c>
      <c r="C226" t="s">
        <v>128</v>
      </c>
      <c r="D226" t="s">
        <v>129</v>
      </c>
      <c r="E226">
        <v>0</v>
      </c>
      <c r="F226">
        <v>0</v>
      </c>
      <c r="G226" t="s">
        <v>2</v>
      </c>
      <c r="H226" cm="1">
        <f t="array" ref="H226">sentimentCalc(B226)</f>
        <v>-10</v>
      </c>
      <c r="I226" s="5" t="str" cm="1">
        <f t="array" ref="I226">sentimentCategory(H226)</f>
        <v>Negative</v>
      </c>
    </row>
    <row r="227" spans="1:9" x14ac:dyDescent="0.2">
      <c r="A227" s="3"/>
      <c r="H227" cm="1">
        <f t="array" ref="H227">sentimentCalc(B227)</f>
        <v>0</v>
      </c>
      <c r="I227" s="5" t="str" cm="1">
        <f t="array" ref="I227">sentimentCategory(H227)</f>
        <v>Neutral</v>
      </c>
    </row>
    <row r="228" spans="1:9" x14ac:dyDescent="0.2">
      <c r="A228" s="3">
        <v>45193.921492997688</v>
      </c>
      <c r="B228" t="s">
        <v>326</v>
      </c>
      <c r="C228" t="s">
        <v>128</v>
      </c>
      <c r="D228" t="s">
        <v>129</v>
      </c>
      <c r="E228">
        <v>0</v>
      </c>
      <c r="F228">
        <v>0</v>
      </c>
      <c r="G228" t="s">
        <v>2</v>
      </c>
      <c r="H228" cm="1">
        <f t="array" ref="H228">sentimentCalc(B228)</f>
        <v>-10</v>
      </c>
      <c r="I228" s="5" t="str" cm="1">
        <f t="array" ref="I228">sentimentCategory(H228)</f>
        <v>Negative</v>
      </c>
    </row>
    <row r="229" spans="1:9" x14ac:dyDescent="0.2">
      <c r="A229" s="3">
        <v>45194.921492997688</v>
      </c>
      <c r="B229" t="s">
        <v>327</v>
      </c>
      <c r="C229" t="s">
        <v>328</v>
      </c>
      <c r="E229">
        <v>0</v>
      </c>
      <c r="F229">
        <v>0</v>
      </c>
      <c r="G229" t="s">
        <v>2</v>
      </c>
      <c r="H229" cm="1">
        <f t="array" ref="H229">sentimentCalc(B229)</f>
        <v>0</v>
      </c>
      <c r="I229" s="5" t="str" cm="1">
        <f t="array" ref="I229">sentimentCategory(H229)</f>
        <v>Neutral</v>
      </c>
    </row>
    <row r="230" spans="1:9" x14ac:dyDescent="0.2">
      <c r="A230" s="3">
        <v>45195.921492997688</v>
      </c>
      <c r="B230" t="s">
        <v>46</v>
      </c>
      <c r="C230" t="s">
        <v>22</v>
      </c>
      <c r="E230">
        <v>0</v>
      </c>
      <c r="F230">
        <v>0</v>
      </c>
      <c r="G230" t="s">
        <v>2</v>
      </c>
      <c r="H230" cm="1">
        <f t="array" ref="H230">sentimentCalc(B230)</f>
        <v>0</v>
      </c>
      <c r="I230" s="5" t="str" cm="1">
        <f t="array" ref="I230">sentimentCategory(H230)</f>
        <v>Neutral</v>
      </c>
    </row>
    <row r="231" spans="1:9" x14ac:dyDescent="0.2">
      <c r="A231" s="3">
        <v>45196.921492997688</v>
      </c>
      <c r="B231" t="s">
        <v>329</v>
      </c>
      <c r="C231" t="s">
        <v>330</v>
      </c>
      <c r="D231" t="s">
        <v>331</v>
      </c>
      <c r="E231">
        <v>0</v>
      </c>
      <c r="F231">
        <v>1</v>
      </c>
      <c r="G231" t="s">
        <v>2</v>
      </c>
      <c r="H231" cm="1">
        <f t="array" ref="H231">sentimentCalc(B231)</f>
        <v>0</v>
      </c>
      <c r="I231" s="5" t="str" cm="1">
        <f t="array" ref="I231">sentimentCategory(H231)</f>
        <v>Neutral</v>
      </c>
    </row>
    <row r="232" spans="1:9" x14ac:dyDescent="0.2">
      <c r="A232" s="3">
        <v>45197.921492997688</v>
      </c>
      <c r="B232" t="s">
        <v>332</v>
      </c>
      <c r="C232" t="s">
        <v>7</v>
      </c>
      <c r="E232">
        <v>0</v>
      </c>
      <c r="F232">
        <v>0</v>
      </c>
      <c r="G232" t="s">
        <v>2</v>
      </c>
      <c r="H232" cm="1">
        <f t="array" ref="H232">sentimentCalc(B232)</f>
        <v>0</v>
      </c>
      <c r="I232" s="5" t="str" cm="1">
        <f t="array" ref="I232">sentimentCategory(H232)</f>
        <v>Neutral</v>
      </c>
    </row>
    <row r="233" spans="1:9" x14ac:dyDescent="0.2">
      <c r="A233" s="3">
        <v>45198.921492997688</v>
      </c>
      <c r="B233" t="s">
        <v>333</v>
      </c>
      <c r="C233" t="s">
        <v>128</v>
      </c>
      <c r="D233" t="s">
        <v>129</v>
      </c>
      <c r="E233">
        <v>0</v>
      </c>
      <c r="F233">
        <v>0</v>
      </c>
      <c r="G233" t="s">
        <v>2</v>
      </c>
      <c r="H233" cm="1">
        <f t="array" ref="H233">sentimentCalc(B233)</f>
        <v>-10</v>
      </c>
      <c r="I233" s="5" t="str" cm="1">
        <f t="array" ref="I233">sentimentCategory(H233)</f>
        <v>Negative</v>
      </c>
    </row>
    <row r="234" spans="1:9" x14ac:dyDescent="0.2">
      <c r="A234" s="3">
        <v>45199.921492997688</v>
      </c>
      <c r="B234" t="s">
        <v>334</v>
      </c>
      <c r="C234" t="s">
        <v>335</v>
      </c>
      <c r="D234" t="s">
        <v>25</v>
      </c>
      <c r="E234">
        <v>1</v>
      </c>
      <c r="F234">
        <v>3</v>
      </c>
      <c r="G234" t="s">
        <v>2</v>
      </c>
      <c r="H234" cm="1">
        <f t="array" ref="H234">sentimentCalc(B234)</f>
        <v>0</v>
      </c>
      <c r="I234" s="5" t="str" cm="1">
        <f t="array" ref="I234">sentimentCategory(H234)</f>
        <v>Neutral</v>
      </c>
    </row>
    <row r="235" spans="1:9" x14ac:dyDescent="0.2">
      <c r="A235" s="3"/>
      <c r="H235" cm="1">
        <f t="array" ref="H235">sentimentCalc(B235)</f>
        <v>0</v>
      </c>
      <c r="I235" s="5" t="str" cm="1">
        <f t="array" ref="I235">sentimentCategory(H235)</f>
        <v>Neutral</v>
      </c>
    </row>
    <row r="236" spans="1:9" x14ac:dyDescent="0.2">
      <c r="A236" s="3">
        <v>45201.921492997688</v>
      </c>
      <c r="B236" t="s">
        <v>337</v>
      </c>
      <c r="C236" t="s">
        <v>143</v>
      </c>
      <c r="D236" t="s">
        <v>129</v>
      </c>
      <c r="E236">
        <v>0</v>
      </c>
      <c r="F236">
        <v>0</v>
      </c>
      <c r="G236" t="s">
        <v>2</v>
      </c>
      <c r="H236" cm="1">
        <f t="array" ref="H236">sentimentCalc(B236)</f>
        <v>0</v>
      </c>
      <c r="I236" s="5" t="str" cm="1">
        <f t="array" ref="I236">sentimentCategory(H236)</f>
        <v>Neutral</v>
      </c>
    </row>
    <row r="237" spans="1:9" x14ac:dyDescent="0.2">
      <c r="A237" s="3">
        <v>45202.921492997688</v>
      </c>
      <c r="B237" t="s">
        <v>338</v>
      </c>
      <c r="C237" t="s">
        <v>134</v>
      </c>
      <c r="E237">
        <v>0</v>
      </c>
      <c r="F237">
        <v>0</v>
      </c>
      <c r="G237" t="s">
        <v>2</v>
      </c>
      <c r="H237" cm="1">
        <f t="array" ref="H237">sentimentCalc(B237)</f>
        <v>0</v>
      </c>
      <c r="I237" s="5" t="str" cm="1">
        <f t="array" ref="I237">sentimentCategory(H237)</f>
        <v>Neutral</v>
      </c>
    </row>
    <row r="238" spans="1:9" x14ac:dyDescent="0.2">
      <c r="A238" s="3">
        <v>45203.921492997688</v>
      </c>
      <c r="B238" t="s">
        <v>339</v>
      </c>
      <c r="C238" t="s">
        <v>143</v>
      </c>
      <c r="D238" t="s">
        <v>129</v>
      </c>
      <c r="E238">
        <v>0</v>
      </c>
      <c r="F238">
        <v>0</v>
      </c>
      <c r="G238" t="s">
        <v>2</v>
      </c>
      <c r="H238" cm="1">
        <f t="array" ref="H238">sentimentCalc(B238)</f>
        <v>-10</v>
      </c>
      <c r="I238" s="5" t="str" cm="1">
        <f t="array" ref="I238">sentimentCategory(H238)</f>
        <v>Negative</v>
      </c>
    </row>
    <row r="239" spans="1:9" x14ac:dyDescent="0.2">
      <c r="A239" s="3">
        <v>45204.921492997688</v>
      </c>
      <c r="B239" t="s">
        <v>318</v>
      </c>
      <c r="C239" t="s">
        <v>340</v>
      </c>
      <c r="E239">
        <v>0</v>
      </c>
      <c r="F239">
        <v>0</v>
      </c>
      <c r="G239" t="s">
        <v>2</v>
      </c>
      <c r="H239" cm="1">
        <f t="array" ref="H239">sentimentCalc(B239)</f>
        <v>0</v>
      </c>
      <c r="I239" s="5" t="str" cm="1">
        <f t="array" ref="I239">sentimentCategory(H239)</f>
        <v>Neutral</v>
      </c>
    </row>
    <row r="240" spans="1:9" x14ac:dyDescent="0.2">
      <c r="A240" s="3">
        <v>45205.921492997688</v>
      </c>
      <c r="B240" t="s">
        <v>287</v>
      </c>
      <c r="C240" t="s">
        <v>33</v>
      </c>
      <c r="D240" t="s">
        <v>34</v>
      </c>
      <c r="E240">
        <v>0</v>
      </c>
      <c r="F240">
        <v>0</v>
      </c>
      <c r="G240" t="s">
        <v>2</v>
      </c>
      <c r="H240" cm="1">
        <f t="array" ref="H240">sentimentCalc(B240)</f>
        <v>0</v>
      </c>
      <c r="I240" s="5" t="str" cm="1">
        <f t="array" ref="I240">sentimentCategory(H240)</f>
        <v>Neutral</v>
      </c>
    </row>
    <row r="241" spans="1:9" x14ac:dyDescent="0.2">
      <c r="A241" s="3">
        <v>45206.921492997688</v>
      </c>
      <c r="B241" t="s">
        <v>318</v>
      </c>
      <c r="C241" t="s">
        <v>341</v>
      </c>
      <c r="D241" t="s">
        <v>342</v>
      </c>
      <c r="E241">
        <v>1</v>
      </c>
      <c r="F241">
        <v>0</v>
      </c>
      <c r="G241" t="s">
        <v>2</v>
      </c>
      <c r="H241" cm="1">
        <f t="array" ref="H241">sentimentCalc(B241)</f>
        <v>0</v>
      </c>
      <c r="I241" s="5" t="str" cm="1">
        <f t="array" ref="I241">sentimentCategory(H241)</f>
        <v>Neutral</v>
      </c>
    </row>
    <row r="242" spans="1:9" x14ac:dyDescent="0.2">
      <c r="A242" s="3">
        <v>45207.921492997688</v>
      </c>
      <c r="B242" t="s">
        <v>141</v>
      </c>
      <c r="C242" t="s">
        <v>143</v>
      </c>
      <c r="D242" t="s">
        <v>129</v>
      </c>
      <c r="E242">
        <v>0</v>
      </c>
      <c r="F242">
        <v>0</v>
      </c>
      <c r="G242" t="s">
        <v>2</v>
      </c>
      <c r="H242" cm="1">
        <f t="array" ref="H242">sentimentCalc(B242)</f>
        <v>0</v>
      </c>
      <c r="I242" s="5" t="str" cm="1">
        <f t="array" ref="I242">sentimentCategory(H242)</f>
        <v>Neutral</v>
      </c>
    </row>
    <row r="243" spans="1:9" x14ac:dyDescent="0.2">
      <c r="A243" s="3">
        <v>45208.921492997688</v>
      </c>
      <c r="B243" t="s">
        <v>3</v>
      </c>
      <c r="C243" t="s">
        <v>4</v>
      </c>
      <c r="D243" t="s">
        <v>5</v>
      </c>
      <c r="E243">
        <v>0</v>
      </c>
      <c r="F243">
        <v>0</v>
      </c>
      <c r="G243" t="s">
        <v>2</v>
      </c>
      <c r="H243" cm="1">
        <f t="array" ref="H243">sentimentCalc(B243)</f>
        <v>0</v>
      </c>
      <c r="I243" s="5" t="str" cm="1">
        <f t="array" ref="I243">sentimentCategory(H243)</f>
        <v>Neutral</v>
      </c>
    </row>
    <row r="244" spans="1:9" x14ac:dyDescent="0.2">
      <c r="A244" s="3">
        <v>45209.921492997688</v>
      </c>
      <c r="B244" t="s">
        <v>343</v>
      </c>
      <c r="C244" t="s">
        <v>344</v>
      </c>
      <c r="D244" t="s">
        <v>345</v>
      </c>
      <c r="E244">
        <v>0</v>
      </c>
      <c r="F244">
        <v>4</v>
      </c>
      <c r="G244" t="s">
        <v>2</v>
      </c>
      <c r="H244" cm="1">
        <f t="array" ref="H244">sentimentCalc(B244)</f>
        <v>10</v>
      </c>
      <c r="I244" s="5" t="str" cm="1">
        <f t="array" ref="I244">sentimentCategory(H244)</f>
        <v>Positive</v>
      </c>
    </row>
    <row r="245" spans="1:9" x14ac:dyDescent="0.2">
      <c r="A245" s="3">
        <v>45210.921492997688</v>
      </c>
      <c r="B245" t="s">
        <v>346</v>
      </c>
      <c r="C245" t="s">
        <v>57</v>
      </c>
      <c r="D245" t="s">
        <v>69</v>
      </c>
      <c r="E245">
        <v>0</v>
      </c>
      <c r="F245">
        <v>0</v>
      </c>
      <c r="G245" t="s">
        <v>2</v>
      </c>
      <c r="H245" cm="1">
        <f t="array" ref="H245">sentimentCalc(B245)</f>
        <v>0</v>
      </c>
      <c r="I245" s="5" t="str" cm="1">
        <f t="array" ref="I245">sentimentCategory(H245)</f>
        <v>Neutral</v>
      </c>
    </row>
    <row r="246" spans="1:9" x14ac:dyDescent="0.2">
      <c r="A246" s="3"/>
      <c r="H246" cm="1">
        <f t="array" ref="H246">sentimentCalc(B246)</f>
        <v>0</v>
      </c>
      <c r="I246" s="5" t="str" cm="1">
        <f t="array" ref="I246">sentimentCategory(H246)</f>
        <v>Neutral</v>
      </c>
    </row>
    <row r="247" spans="1:9" x14ac:dyDescent="0.2">
      <c r="A247" s="3">
        <v>45212.921492997688</v>
      </c>
      <c r="B247" t="s">
        <v>347</v>
      </c>
      <c r="C247" t="s">
        <v>143</v>
      </c>
      <c r="D247" t="s">
        <v>129</v>
      </c>
      <c r="E247">
        <v>0</v>
      </c>
      <c r="F247">
        <v>0</v>
      </c>
      <c r="G247" t="s">
        <v>2</v>
      </c>
      <c r="H247" cm="1">
        <f t="array" ref="H247">sentimentCalc(B247)</f>
        <v>-10</v>
      </c>
      <c r="I247" s="5" t="str" cm="1">
        <f t="array" ref="I247">sentimentCategory(H247)</f>
        <v>Negative</v>
      </c>
    </row>
    <row r="248" spans="1:9" x14ac:dyDescent="0.2">
      <c r="A248" s="3">
        <v>45213.921492997688</v>
      </c>
      <c r="B248" t="s">
        <v>348</v>
      </c>
      <c r="C248" t="s">
        <v>98</v>
      </c>
      <c r="D248" t="s">
        <v>13</v>
      </c>
      <c r="E248">
        <v>0</v>
      </c>
      <c r="F248">
        <v>0</v>
      </c>
      <c r="G248" t="s">
        <v>2</v>
      </c>
      <c r="H248" cm="1">
        <f t="array" ref="H248">sentimentCalc(B248)</f>
        <v>0</v>
      </c>
      <c r="I248" s="5" t="str" cm="1">
        <f t="array" ref="I248">sentimentCategory(H248)</f>
        <v>Neutral</v>
      </c>
    </row>
    <row r="249" spans="1:9" x14ac:dyDescent="0.2">
      <c r="A249" s="3">
        <v>45214.921492997688</v>
      </c>
      <c r="B249" t="s">
        <v>27</v>
      </c>
      <c r="C249" t="s">
        <v>12</v>
      </c>
      <c r="D249" t="s">
        <v>13</v>
      </c>
      <c r="E249">
        <v>0</v>
      </c>
      <c r="F249">
        <v>0</v>
      </c>
      <c r="G249" t="s">
        <v>2</v>
      </c>
      <c r="H249" cm="1">
        <f t="array" ref="H249">sentimentCalc(B249)</f>
        <v>10</v>
      </c>
      <c r="I249" s="5" t="str" cm="1">
        <f t="array" ref="I249">sentimentCategory(H249)</f>
        <v>Positive</v>
      </c>
    </row>
    <row r="250" spans="1:9" x14ac:dyDescent="0.2">
      <c r="A250" s="3">
        <v>45215.921492997688</v>
      </c>
      <c r="B250" t="s">
        <v>349</v>
      </c>
      <c r="C250" t="s">
        <v>350</v>
      </c>
      <c r="D250" t="s">
        <v>351</v>
      </c>
      <c r="E250">
        <v>0</v>
      </c>
      <c r="F250">
        <v>0</v>
      </c>
      <c r="G250" t="s">
        <v>2</v>
      </c>
      <c r="H250" cm="1">
        <f t="array" ref="H250">sentimentCalc(B250)</f>
        <v>0</v>
      </c>
      <c r="I250" s="5" t="str" cm="1">
        <f t="array" ref="I250">sentimentCategory(H250)</f>
        <v>Neutral</v>
      </c>
    </row>
    <row r="251" spans="1:9" x14ac:dyDescent="0.2">
      <c r="A251" s="3">
        <v>45216.921492997688</v>
      </c>
      <c r="B251" t="s">
        <v>352</v>
      </c>
      <c r="C251" t="s">
        <v>353</v>
      </c>
      <c r="E251">
        <v>0</v>
      </c>
      <c r="F251">
        <v>0</v>
      </c>
      <c r="G251" t="s">
        <v>2</v>
      </c>
      <c r="H251" cm="1">
        <f t="array" ref="H251">sentimentCalc(B251)</f>
        <v>10</v>
      </c>
      <c r="I251" s="5" t="str" cm="1">
        <f t="array" ref="I251">sentimentCategory(H251)</f>
        <v>Positive</v>
      </c>
    </row>
    <row r="252" spans="1:9" x14ac:dyDescent="0.2">
      <c r="A252" s="3">
        <v>45217.921492997688</v>
      </c>
      <c r="B252" t="s">
        <v>354</v>
      </c>
      <c r="C252" t="s">
        <v>7</v>
      </c>
      <c r="E252">
        <v>0</v>
      </c>
      <c r="F252">
        <v>0</v>
      </c>
      <c r="G252" t="s">
        <v>2</v>
      </c>
      <c r="H252" cm="1">
        <f t="array" ref="H252">sentimentCalc(B252)</f>
        <v>0</v>
      </c>
      <c r="I252" s="5" t="str" cm="1">
        <f t="array" ref="I252">sentimentCategory(H252)</f>
        <v>Neutral</v>
      </c>
    </row>
    <row r="253" spans="1:9" x14ac:dyDescent="0.2">
      <c r="A253" s="3">
        <v>45218.921492997688</v>
      </c>
      <c r="B253" t="s">
        <v>355</v>
      </c>
      <c r="C253" t="s">
        <v>356</v>
      </c>
      <c r="D253" t="s">
        <v>357</v>
      </c>
      <c r="E253">
        <v>0</v>
      </c>
      <c r="F253">
        <v>4</v>
      </c>
      <c r="G253" t="s">
        <v>2</v>
      </c>
      <c r="H253" cm="1">
        <f t="array" ref="H253">sentimentCalc(B253)</f>
        <v>0</v>
      </c>
      <c r="I253" s="5" t="str" cm="1">
        <f t="array" ref="I253">sentimentCategory(H253)</f>
        <v>Neutral</v>
      </c>
    </row>
    <row r="254" spans="1:9" x14ac:dyDescent="0.2">
      <c r="A254" s="3">
        <v>45219.921492997688</v>
      </c>
      <c r="B254" t="s">
        <v>358</v>
      </c>
      <c r="C254" t="s">
        <v>359</v>
      </c>
      <c r="E254">
        <v>0</v>
      </c>
      <c r="F254">
        <v>0</v>
      </c>
      <c r="G254" t="s">
        <v>2</v>
      </c>
      <c r="H254" cm="1">
        <f t="array" ref="H254">sentimentCalc(B254)</f>
        <v>0</v>
      </c>
      <c r="I254" s="5" t="str" cm="1">
        <f t="array" ref="I254">sentimentCategory(H254)</f>
        <v>Neutral</v>
      </c>
    </row>
    <row r="255" spans="1:9" x14ac:dyDescent="0.2">
      <c r="A255" s="3">
        <v>45220.921492997688</v>
      </c>
      <c r="B255" t="s">
        <v>360</v>
      </c>
      <c r="C255" t="s">
        <v>12</v>
      </c>
      <c r="D255" t="s">
        <v>13</v>
      </c>
      <c r="E255">
        <v>0</v>
      </c>
      <c r="F255">
        <v>0</v>
      </c>
      <c r="G255" t="s">
        <v>2</v>
      </c>
      <c r="H255" cm="1">
        <f t="array" ref="H255">sentimentCalc(B255)</f>
        <v>10</v>
      </c>
      <c r="I255" s="5" t="str" cm="1">
        <f t="array" ref="I255">sentimentCategory(H255)</f>
        <v>Positive</v>
      </c>
    </row>
    <row r="256" spans="1:9" x14ac:dyDescent="0.2">
      <c r="A256" s="3">
        <v>45221.921492997688</v>
      </c>
      <c r="B256" t="s">
        <v>361</v>
      </c>
      <c r="C256" t="s">
        <v>362</v>
      </c>
      <c r="D256" t="s">
        <v>363</v>
      </c>
      <c r="E256">
        <v>0</v>
      </c>
      <c r="F256">
        <v>0</v>
      </c>
      <c r="G256" t="s">
        <v>2</v>
      </c>
      <c r="H256" cm="1">
        <f t="array" ref="H256">sentimentCalc(B256)</f>
        <v>0</v>
      </c>
      <c r="I256" s="5" t="str" cm="1">
        <f t="array" ref="I256">sentimentCategory(H256)</f>
        <v>Neutral</v>
      </c>
    </row>
    <row r="257" spans="1:9" x14ac:dyDescent="0.2">
      <c r="A257" s="3">
        <v>45222.921492997688</v>
      </c>
      <c r="B257" t="s">
        <v>364</v>
      </c>
      <c r="C257" t="s">
        <v>365</v>
      </c>
      <c r="D257" t="s">
        <v>55</v>
      </c>
      <c r="E257">
        <v>0</v>
      </c>
      <c r="F257">
        <v>0</v>
      </c>
      <c r="G257" t="s">
        <v>2</v>
      </c>
      <c r="H257" cm="1">
        <f t="array" ref="H257">sentimentCalc(B257)</f>
        <v>0</v>
      </c>
      <c r="I257" s="5" t="str" cm="1">
        <f t="array" ref="I257">sentimentCategory(H257)</f>
        <v>Neutral</v>
      </c>
    </row>
    <row r="258" spans="1:9" x14ac:dyDescent="0.2">
      <c r="A258" s="3"/>
      <c r="H258" cm="1">
        <f t="array" ref="H258">sentimentCalc(B258)</f>
        <v>0</v>
      </c>
      <c r="I258" s="5" t="str" cm="1">
        <f t="array" ref="I258">sentimentCategory(H258)</f>
        <v>Neutral</v>
      </c>
    </row>
    <row r="259" spans="1:9" x14ac:dyDescent="0.2">
      <c r="A259" s="3">
        <v>45224.921492997688</v>
      </c>
      <c r="B259" t="s">
        <v>367</v>
      </c>
      <c r="C259" t="s">
        <v>134</v>
      </c>
      <c r="E259">
        <v>0</v>
      </c>
      <c r="F259">
        <v>0</v>
      </c>
      <c r="G259" t="s">
        <v>2</v>
      </c>
      <c r="H259" cm="1">
        <f t="array" ref="H259">sentimentCalc(B259)</f>
        <v>0</v>
      </c>
      <c r="I259" s="5" t="str" cm="1">
        <f t="array" ref="I259">sentimentCategory(H259)</f>
        <v>Neutral</v>
      </c>
    </row>
    <row r="260" spans="1:9" x14ac:dyDescent="0.2">
      <c r="A260" s="3">
        <v>45225.921492997688</v>
      </c>
      <c r="B260" t="s">
        <v>368</v>
      </c>
      <c r="C260" t="s">
        <v>128</v>
      </c>
      <c r="D260" t="s">
        <v>129</v>
      </c>
      <c r="E260">
        <v>0</v>
      </c>
      <c r="F260">
        <v>0</v>
      </c>
      <c r="G260" t="s">
        <v>2</v>
      </c>
      <c r="H260" cm="1">
        <f t="array" ref="H260">sentimentCalc(B260)</f>
        <v>-10</v>
      </c>
      <c r="I260" s="5" t="str" cm="1">
        <f t="array" ref="I260">sentimentCategory(H260)</f>
        <v>Negative</v>
      </c>
    </row>
    <row r="261" spans="1:9" x14ac:dyDescent="0.2">
      <c r="A261" s="3">
        <v>45226.921492997688</v>
      </c>
      <c r="B261" t="s">
        <v>35</v>
      </c>
      <c r="C261" t="s">
        <v>33</v>
      </c>
      <c r="D261" t="s">
        <v>34</v>
      </c>
      <c r="E261">
        <v>0</v>
      </c>
      <c r="F261">
        <v>0</v>
      </c>
      <c r="G261" t="s">
        <v>2</v>
      </c>
      <c r="H261" cm="1">
        <f t="array" ref="H261">sentimentCalc(B261)</f>
        <v>0</v>
      </c>
      <c r="I261" s="5" t="str" cm="1">
        <f t="array" ref="I261">sentimentCategory(H261)</f>
        <v>Neutral</v>
      </c>
    </row>
    <row r="262" spans="1:9" x14ac:dyDescent="0.2">
      <c r="A262" s="3">
        <v>45227.921492997688</v>
      </c>
      <c r="B262" t="s">
        <v>36</v>
      </c>
      <c r="C262" t="s">
        <v>33</v>
      </c>
      <c r="D262" t="s">
        <v>34</v>
      </c>
      <c r="E262">
        <v>0</v>
      </c>
      <c r="F262">
        <v>0</v>
      </c>
      <c r="G262" t="s">
        <v>2</v>
      </c>
      <c r="H262" cm="1">
        <f t="array" ref="H262">sentimentCalc(B262)</f>
        <v>10</v>
      </c>
      <c r="I262" s="5" t="str" cm="1">
        <f t="array" ref="I262">sentimentCategory(H262)</f>
        <v>Positive</v>
      </c>
    </row>
    <row r="263" spans="1:9" x14ac:dyDescent="0.2">
      <c r="A263" s="3">
        <v>45228.921492997688</v>
      </c>
      <c r="B263" t="s">
        <v>369</v>
      </c>
      <c r="C263" t="s">
        <v>33</v>
      </c>
      <c r="D263" t="s">
        <v>34</v>
      </c>
      <c r="E263">
        <v>0</v>
      </c>
      <c r="F263">
        <v>0</v>
      </c>
      <c r="G263" t="s">
        <v>2</v>
      </c>
      <c r="H263" cm="1">
        <f t="array" ref="H263">sentimentCalc(B263)</f>
        <v>0</v>
      </c>
      <c r="I263" s="5" t="str" cm="1">
        <f t="array" ref="I263">sentimentCategory(H263)</f>
        <v>Neutral</v>
      </c>
    </row>
    <row r="264" spans="1:9" x14ac:dyDescent="0.2">
      <c r="A264" s="3">
        <v>45229.921492997688</v>
      </c>
      <c r="B264" t="s">
        <v>37</v>
      </c>
      <c r="C264" t="s">
        <v>33</v>
      </c>
      <c r="D264" t="s">
        <v>34</v>
      </c>
      <c r="E264">
        <v>0</v>
      </c>
      <c r="F264">
        <v>0</v>
      </c>
      <c r="G264" t="s">
        <v>2</v>
      </c>
      <c r="H264" cm="1">
        <f t="array" ref="H264">sentimentCalc(B264)</f>
        <v>0</v>
      </c>
      <c r="I264" s="5" t="str" cm="1">
        <f t="array" ref="I264">sentimentCategory(H264)</f>
        <v>Neutral</v>
      </c>
    </row>
    <row r="265" spans="1:9" x14ac:dyDescent="0.2">
      <c r="A265" s="3"/>
      <c r="H265" cm="1">
        <f t="array" ref="H265">sentimentCalc(B265)</f>
        <v>0</v>
      </c>
      <c r="I265" s="5" t="str" cm="1">
        <f t="array" ref="I265">sentimentCategory(H265)</f>
        <v>Neutral</v>
      </c>
    </row>
    <row r="266" spans="1:9" x14ac:dyDescent="0.2">
      <c r="A266" s="3"/>
      <c r="H266" cm="1">
        <f t="array" ref="H266">sentimentCalc(B266)</f>
        <v>0</v>
      </c>
      <c r="I266" s="5" t="str" cm="1">
        <f t="array" ref="I266">sentimentCategory(H266)</f>
        <v>Neutral</v>
      </c>
    </row>
    <row r="267" spans="1:9" x14ac:dyDescent="0.2">
      <c r="A267" s="3">
        <v>45232.921492997688</v>
      </c>
      <c r="B267" t="s">
        <v>371</v>
      </c>
      <c r="C267" t="s">
        <v>143</v>
      </c>
      <c r="D267" t="s">
        <v>129</v>
      </c>
      <c r="E267">
        <v>0</v>
      </c>
      <c r="F267">
        <v>0</v>
      </c>
      <c r="G267" t="s">
        <v>2</v>
      </c>
      <c r="H267" cm="1">
        <f t="array" ref="H267">sentimentCalc(B267)</f>
        <v>-10</v>
      </c>
      <c r="I267" s="5" t="str" cm="1">
        <f t="array" ref="I267">sentimentCategory(H267)</f>
        <v>Negative</v>
      </c>
    </row>
    <row r="268" spans="1:9" x14ac:dyDescent="0.2">
      <c r="A268" s="3">
        <v>45233.921492997688</v>
      </c>
      <c r="B268" t="s">
        <v>372</v>
      </c>
      <c r="C268" t="s">
        <v>7</v>
      </c>
      <c r="E268">
        <v>0</v>
      </c>
      <c r="F268">
        <v>0</v>
      </c>
      <c r="G268" t="s">
        <v>2</v>
      </c>
      <c r="H268" cm="1">
        <f t="array" ref="H268">sentimentCalc(B268)</f>
        <v>0</v>
      </c>
      <c r="I268" s="5" t="str" cm="1">
        <f t="array" ref="I268">sentimentCategory(H268)</f>
        <v>Neutral</v>
      </c>
    </row>
    <row r="269" spans="1:9" x14ac:dyDescent="0.2">
      <c r="A269" s="3">
        <v>45234.921492997688</v>
      </c>
      <c r="B269" t="s">
        <v>373</v>
      </c>
      <c r="C269" t="s">
        <v>374</v>
      </c>
      <c r="E269">
        <v>0</v>
      </c>
      <c r="F269">
        <v>1</v>
      </c>
      <c r="G269" t="s">
        <v>2</v>
      </c>
      <c r="H269" cm="1">
        <f t="array" ref="H269">sentimentCalc(B269)</f>
        <v>-10</v>
      </c>
      <c r="I269" s="5" t="str" cm="1">
        <f t="array" ref="I269">sentimentCategory(H269)</f>
        <v>Negative</v>
      </c>
    </row>
    <row r="270" spans="1:9" x14ac:dyDescent="0.2">
      <c r="A270" s="3">
        <v>45235.921492997688</v>
      </c>
      <c r="B270" t="s">
        <v>375</v>
      </c>
      <c r="C270" t="s">
        <v>128</v>
      </c>
      <c r="D270" t="s">
        <v>129</v>
      </c>
      <c r="E270">
        <v>0</v>
      </c>
      <c r="F270">
        <v>0</v>
      </c>
      <c r="G270" t="s">
        <v>2</v>
      </c>
      <c r="H270" cm="1">
        <f t="array" ref="H270">sentimentCalc(B270)</f>
        <v>-10</v>
      </c>
      <c r="I270" s="5" t="str" cm="1">
        <f t="array" ref="I270">sentimentCategory(H270)</f>
        <v>Negative</v>
      </c>
    </row>
    <row r="271" spans="1:9" x14ac:dyDescent="0.2">
      <c r="A271" s="3">
        <v>45236.921492997688</v>
      </c>
      <c r="B271" t="s">
        <v>376</v>
      </c>
      <c r="C271" t="s">
        <v>7</v>
      </c>
      <c r="E271">
        <v>0</v>
      </c>
      <c r="F271">
        <v>0</v>
      </c>
      <c r="G271" t="s">
        <v>2</v>
      </c>
      <c r="H271" cm="1">
        <f t="array" ref="H271">sentimentCalc(B271)</f>
        <v>0</v>
      </c>
      <c r="I271" s="5" t="str" cm="1">
        <f t="array" ref="I271">sentimentCategory(H271)</f>
        <v>Neutral</v>
      </c>
    </row>
    <row r="272" spans="1:9" x14ac:dyDescent="0.2">
      <c r="A272" s="3">
        <v>45237.921492997688</v>
      </c>
      <c r="B272" t="s">
        <v>377</v>
      </c>
      <c r="C272" t="s">
        <v>378</v>
      </c>
      <c r="D272" t="s">
        <v>379</v>
      </c>
      <c r="E272">
        <v>1</v>
      </c>
      <c r="F272">
        <v>0</v>
      </c>
      <c r="G272" t="s">
        <v>2</v>
      </c>
      <c r="H272" cm="1">
        <f t="array" ref="H272">sentimentCalc(B272)</f>
        <v>0</v>
      </c>
      <c r="I272" s="5" t="str" cm="1">
        <f t="array" ref="I272">sentimentCategory(H272)</f>
        <v>Neutral</v>
      </c>
    </row>
    <row r="273" spans="1:9" x14ac:dyDescent="0.2">
      <c r="A273" s="3">
        <v>45238.921492997688</v>
      </c>
      <c r="B273" t="s">
        <v>380</v>
      </c>
      <c r="C273" t="s">
        <v>7</v>
      </c>
      <c r="E273">
        <v>0</v>
      </c>
      <c r="F273">
        <v>0</v>
      </c>
      <c r="G273" t="s">
        <v>2</v>
      </c>
      <c r="H273" cm="1">
        <f t="array" ref="H273">sentimentCalc(B273)</f>
        <v>0</v>
      </c>
      <c r="I273" s="5" t="str" cm="1">
        <f t="array" ref="I273">sentimentCategory(H273)</f>
        <v>Neutral</v>
      </c>
    </row>
    <row r="274" spans="1:9" x14ac:dyDescent="0.2">
      <c r="A274" s="3">
        <v>45239.921492997688</v>
      </c>
      <c r="B274" t="s">
        <v>292</v>
      </c>
      <c r="C274" t="s">
        <v>286</v>
      </c>
      <c r="E274">
        <v>0</v>
      </c>
      <c r="F274">
        <v>0</v>
      </c>
      <c r="G274" t="s">
        <v>2</v>
      </c>
      <c r="H274" cm="1">
        <f t="array" ref="H274">sentimentCalc(B274)</f>
        <v>0</v>
      </c>
      <c r="I274" s="5" t="str" cm="1">
        <f t="array" ref="I274">sentimentCategory(H274)</f>
        <v>Neutral</v>
      </c>
    </row>
    <row r="275" spans="1:9" x14ac:dyDescent="0.2">
      <c r="A275" s="3">
        <v>45240.921492997688</v>
      </c>
      <c r="B275" t="s">
        <v>381</v>
      </c>
      <c r="C275" t="s">
        <v>382</v>
      </c>
      <c r="E275">
        <v>0</v>
      </c>
      <c r="F275">
        <v>0</v>
      </c>
      <c r="G275" t="s">
        <v>2</v>
      </c>
      <c r="H275" cm="1">
        <f t="array" ref="H275">sentimentCalc(B275)</f>
        <v>0</v>
      </c>
      <c r="I275" s="5" t="str" cm="1">
        <f t="array" ref="I275">sentimentCategory(H275)</f>
        <v>Neutral</v>
      </c>
    </row>
    <row r="276" spans="1:9" x14ac:dyDescent="0.2">
      <c r="A276" s="3">
        <v>45241.921492997688</v>
      </c>
      <c r="B276" t="s">
        <v>383</v>
      </c>
      <c r="C276" t="s">
        <v>384</v>
      </c>
      <c r="D276" t="s">
        <v>385</v>
      </c>
      <c r="E276">
        <v>31</v>
      </c>
      <c r="F276">
        <v>68</v>
      </c>
      <c r="G276" t="s">
        <v>2</v>
      </c>
      <c r="H276" cm="1">
        <f t="array" ref="H276">sentimentCalc(B276)</f>
        <v>0</v>
      </c>
      <c r="I276" s="5" t="str" cm="1">
        <f t="array" ref="I276">sentimentCategory(H276)</f>
        <v>Neutral</v>
      </c>
    </row>
    <row r="277" spans="1:9" x14ac:dyDescent="0.2">
      <c r="A277" s="3">
        <v>45242.921492997688</v>
      </c>
      <c r="B277" t="s">
        <v>386</v>
      </c>
      <c r="C277" t="s">
        <v>7</v>
      </c>
      <c r="E277">
        <v>0</v>
      </c>
      <c r="F277">
        <v>0</v>
      </c>
      <c r="G277" t="s">
        <v>2</v>
      </c>
      <c r="H277" cm="1">
        <f t="array" ref="H277">sentimentCalc(B277)</f>
        <v>0</v>
      </c>
      <c r="I277" s="5" t="str" cm="1">
        <f t="array" ref="I277">sentimentCategory(H277)</f>
        <v>Neutral</v>
      </c>
    </row>
    <row r="278" spans="1:9" x14ac:dyDescent="0.2">
      <c r="A278" s="3">
        <v>45243.921492997688</v>
      </c>
      <c r="B278" t="s">
        <v>387</v>
      </c>
      <c r="C278" t="s">
        <v>143</v>
      </c>
      <c r="D278" t="s">
        <v>129</v>
      </c>
      <c r="E278">
        <v>0</v>
      </c>
      <c r="F278">
        <v>0</v>
      </c>
      <c r="G278" t="s">
        <v>2</v>
      </c>
      <c r="H278" cm="1">
        <f t="array" ref="H278">sentimentCalc(B278)</f>
        <v>-10</v>
      </c>
      <c r="I278" s="5" t="str" cm="1">
        <f t="array" ref="I278">sentimentCategory(H278)</f>
        <v>Negative</v>
      </c>
    </row>
    <row r="279" spans="1:9" x14ac:dyDescent="0.2">
      <c r="A279" s="3">
        <v>45244.921492997688</v>
      </c>
      <c r="B279" t="s">
        <v>388</v>
      </c>
      <c r="C279" t="s">
        <v>389</v>
      </c>
      <c r="E279">
        <v>0</v>
      </c>
      <c r="F279">
        <v>0</v>
      </c>
      <c r="G279" t="s">
        <v>2</v>
      </c>
      <c r="H279" cm="1">
        <f t="array" ref="H279">sentimentCalc(B279)</f>
        <v>0</v>
      </c>
      <c r="I279" s="5" t="str" cm="1">
        <f t="array" ref="I279">sentimentCategory(H279)</f>
        <v>Neutral</v>
      </c>
    </row>
    <row r="280" spans="1:9" x14ac:dyDescent="0.2">
      <c r="A280" s="3">
        <v>45245.921492997688</v>
      </c>
      <c r="B280" t="s">
        <v>390</v>
      </c>
      <c r="C280" t="s">
        <v>391</v>
      </c>
      <c r="E280">
        <v>0</v>
      </c>
      <c r="F280">
        <v>0</v>
      </c>
      <c r="G280" t="s">
        <v>2</v>
      </c>
      <c r="H280" cm="1">
        <f t="array" ref="H280">sentimentCalc(B280)</f>
        <v>10</v>
      </c>
      <c r="I280" s="5" t="str" cm="1">
        <f t="array" ref="I280">sentimentCategory(H280)</f>
        <v>Positive</v>
      </c>
    </row>
    <row r="281" spans="1:9" x14ac:dyDescent="0.2">
      <c r="A281" s="3">
        <v>45246.921492997688</v>
      </c>
      <c r="B281" t="s">
        <v>392</v>
      </c>
      <c r="C281" t="s">
        <v>393</v>
      </c>
      <c r="E281">
        <v>0</v>
      </c>
      <c r="F281">
        <v>1</v>
      </c>
      <c r="G281" t="s">
        <v>2</v>
      </c>
      <c r="H281" cm="1">
        <f t="array" ref="H281">sentimentCalc(B281)</f>
        <v>10</v>
      </c>
      <c r="I281" s="5" t="str" cm="1">
        <f t="array" ref="I281">sentimentCategory(H281)</f>
        <v>Positive</v>
      </c>
    </row>
    <row r="282" spans="1:9" x14ac:dyDescent="0.2">
      <c r="A282" s="3">
        <v>45247.921492997688</v>
      </c>
      <c r="B282" t="s">
        <v>3</v>
      </c>
      <c r="C282" t="s">
        <v>4</v>
      </c>
      <c r="D282" t="s">
        <v>5</v>
      </c>
      <c r="E282">
        <v>0</v>
      </c>
      <c r="F282">
        <v>0</v>
      </c>
      <c r="G282" t="s">
        <v>2</v>
      </c>
      <c r="H282" cm="1">
        <f t="array" ref="H282">sentimentCalc(B282)</f>
        <v>0</v>
      </c>
      <c r="I282" s="5" t="str" cm="1">
        <f t="array" ref="I282">sentimentCategory(H282)</f>
        <v>Neutral</v>
      </c>
    </row>
    <row r="283" spans="1:9" x14ac:dyDescent="0.2">
      <c r="A283" s="3">
        <v>45248.921492997688</v>
      </c>
      <c r="B283" t="s">
        <v>394</v>
      </c>
      <c r="C283" t="s">
        <v>286</v>
      </c>
      <c r="E283">
        <v>0</v>
      </c>
      <c r="F283">
        <v>0</v>
      </c>
      <c r="G283" t="s">
        <v>2</v>
      </c>
      <c r="H283" cm="1">
        <f t="array" ref="H283">sentimentCalc(B283)</f>
        <v>0</v>
      </c>
      <c r="I283" s="5" t="str" cm="1">
        <f t="array" ref="I283">sentimentCategory(H283)</f>
        <v>Neutral</v>
      </c>
    </row>
    <row r="284" spans="1:9" x14ac:dyDescent="0.2">
      <c r="A284" s="3">
        <v>45249.921492997688</v>
      </c>
      <c r="B284" t="s">
        <v>395</v>
      </c>
      <c r="C284" t="s">
        <v>134</v>
      </c>
      <c r="E284">
        <v>0</v>
      </c>
      <c r="F284">
        <v>0</v>
      </c>
      <c r="G284" t="s">
        <v>2</v>
      </c>
      <c r="H284" cm="1">
        <f t="array" ref="H284">sentimentCalc(B284)</f>
        <v>0</v>
      </c>
      <c r="I284" s="5" t="str" cm="1">
        <f t="array" ref="I284">sentimentCategory(H284)</f>
        <v>Neutral</v>
      </c>
    </row>
    <row r="285" spans="1:9" x14ac:dyDescent="0.2">
      <c r="A285" s="3">
        <v>45250.921492997688</v>
      </c>
      <c r="B285" t="s">
        <v>396</v>
      </c>
      <c r="C285" t="s">
        <v>143</v>
      </c>
      <c r="D285" t="s">
        <v>129</v>
      </c>
      <c r="E285">
        <v>0</v>
      </c>
      <c r="F285">
        <v>0</v>
      </c>
      <c r="G285" t="s">
        <v>2</v>
      </c>
      <c r="H285" cm="1">
        <f t="array" ref="H285">sentimentCalc(B285)</f>
        <v>0</v>
      </c>
      <c r="I285" s="5" t="str" cm="1">
        <f t="array" ref="I285">sentimentCategory(H285)</f>
        <v>Neutral</v>
      </c>
    </row>
    <row r="286" spans="1:9" x14ac:dyDescent="0.2">
      <c r="A286" s="3">
        <v>45251.921492997688</v>
      </c>
      <c r="B286" t="s">
        <v>397</v>
      </c>
      <c r="C286" t="s">
        <v>143</v>
      </c>
      <c r="D286" t="s">
        <v>129</v>
      </c>
      <c r="E286">
        <v>0</v>
      </c>
      <c r="F286">
        <v>0</v>
      </c>
      <c r="G286" t="s">
        <v>2</v>
      </c>
      <c r="H286" cm="1">
        <f t="array" ref="H286">sentimentCalc(B286)</f>
        <v>-10</v>
      </c>
      <c r="I286" s="5" t="str" cm="1">
        <f t="array" ref="I286">sentimentCategory(H286)</f>
        <v>Negative</v>
      </c>
    </row>
    <row r="287" spans="1:9" x14ac:dyDescent="0.2">
      <c r="A287" s="3">
        <v>45252.921492997688</v>
      </c>
      <c r="B287" t="s">
        <v>398</v>
      </c>
      <c r="C287" t="s">
        <v>143</v>
      </c>
      <c r="D287" t="s">
        <v>129</v>
      </c>
      <c r="E287">
        <v>0</v>
      </c>
      <c r="F287">
        <v>0</v>
      </c>
      <c r="G287" t="s">
        <v>2</v>
      </c>
      <c r="H287" cm="1">
        <f t="array" ref="H287">sentimentCalc(B287)</f>
        <v>0</v>
      </c>
      <c r="I287" s="5" t="str" cm="1">
        <f t="array" ref="I287">sentimentCategory(H287)</f>
        <v>Neutral</v>
      </c>
    </row>
    <row r="288" spans="1:9" x14ac:dyDescent="0.2">
      <c r="A288" s="3">
        <v>45253.921492997688</v>
      </c>
      <c r="B288" t="s">
        <v>399</v>
      </c>
      <c r="C288" t="s">
        <v>400</v>
      </c>
      <c r="D288" t="s">
        <v>103</v>
      </c>
      <c r="E288">
        <v>0</v>
      </c>
      <c r="F288">
        <v>4</v>
      </c>
      <c r="G288" t="s">
        <v>2</v>
      </c>
      <c r="H288" cm="1">
        <f t="array" ref="H288">sentimentCalc(B288)</f>
        <v>10</v>
      </c>
      <c r="I288" s="5" t="str" cm="1">
        <f t="array" ref="I288">sentimentCategory(H288)</f>
        <v>Positive</v>
      </c>
    </row>
    <row r="289" spans="1:9" x14ac:dyDescent="0.2">
      <c r="A289" s="3">
        <v>45254.921492997688</v>
      </c>
      <c r="B289" t="s">
        <v>401</v>
      </c>
      <c r="C289" t="s">
        <v>402</v>
      </c>
      <c r="E289">
        <v>0</v>
      </c>
      <c r="F289">
        <v>0</v>
      </c>
      <c r="G289" t="s">
        <v>2</v>
      </c>
      <c r="H289" cm="1">
        <f t="array" ref="H289">sentimentCalc(B289)</f>
        <v>0</v>
      </c>
      <c r="I289" s="5" t="str" cm="1">
        <f t="array" ref="I289">sentimentCategory(H289)</f>
        <v>Neutral</v>
      </c>
    </row>
    <row r="290" spans="1:9" x14ac:dyDescent="0.2">
      <c r="A290" s="3">
        <v>45255.921492997688</v>
      </c>
      <c r="B290" t="s">
        <v>403</v>
      </c>
      <c r="C290" t="s">
        <v>7</v>
      </c>
      <c r="E290">
        <v>0</v>
      </c>
      <c r="F290">
        <v>0</v>
      </c>
      <c r="G290" t="s">
        <v>2</v>
      </c>
      <c r="H290" cm="1">
        <f t="array" ref="H290">sentimentCalc(B290)</f>
        <v>0</v>
      </c>
      <c r="I290" s="5" t="str" cm="1">
        <f t="array" ref="I290">sentimentCategory(H290)</f>
        <v>Neutral</v>
      </c>
    </row>
    <row r="291" spans="1:9" x14ac:dyDescent="0.2">
      <c r="A291" s="3">
        <v>45256.921492997688</v>
      </c>
      <c r="B291" t="s">
        <v>94</v>
      </c>
      <c r="C291" t="s">
        <v>22</v>
      </c>
      <c r="E291">
        <v>0</v>
      </c>
      <c r="F291">
        <v>0</v>
      </c>
      <c r="G291" t="s">
        <v>2</v>
      </c>
      <c r="H291" cm="1">
        <f t="array" ref="H291">sentimentCalc(B291)</f>
        <v>0</v>
      </c>
      <c r="I291" s="5" t="str" cm="1">
        <f t="array" ref="I291">sentimentCategory(H291)</f>
        <v>Neutral</v>
      </c>
    </row>
    <row r="292" spans="1:9" x14ac:dyDescent="0.2">
      <c r="A292" s="3">
        <v>45257.921492997688</v>
      </c>
      <c r="B292" t="s">
        <v>404</v>
      </c>
      <c r="C292" t="s">
        <v>405</v>
      </c>
      <c r="D292" t="s">
        <v>406</v>
      </c>
      <c r="E292">
        <v>0</v>
      </c>
      <c r="F292">
        <v>0</v>
      </c>
      <c r="G292" t="s">
        <v>2</v>
      </c>
      <c r="H292" cm="1">
        <f t="array" ref="H292">sentimentCalc(B292)</f>
        <v>-10</v>
      </c>
      <c r="I292" s="5" t="str" cm="1">
        <f t="array" ref="I292">sentimentCategory(H292)</f>
        <v>Negative</v>
      </c>
    </row>
    <row r="293" spans="1:9" x14ac:dyDescent="0.2">
      <c r="A293" s="3">
        <v>45258.921492997688</v>
      </c>
      <c r="B293" t="s">
        <v>407</v>
      </c>
      <c r="C293" t="s">
        <v>7</v>
      </c>
      <c r="E293">
        <v>0</v>
      </c>
      <c r="F293">
        <v>0</v>
      </c>
      <c r="G293" t="s">
        <v>2</v>
      </c>
      <c r="H293" cm="1">
        <f t="array" ref="H293">sentimentCalc(B293)</f>
        <v>0</v>
      </c>
      <c r="I293" s="5" t="str" cm="1">
        <f t="array" ref="I293">sentimentCategory(H293)</f>
        <v>Neutral</v>
      </c>
    </row>
    <row r="294" spans="1:9" x14ac:dyDescent="0.2">
      <c r="A294" s="3">
        <v>45259.921492997688</v>
      </c>
      <c r="B294" t="s">
        <v>408</v>
      </c>
      <c r="C294" t="s">
        <v>409</v>
      </c>
      <c r="D294" t="s">
        <v>410</v>
      </c>
      <c r="E294">
        <v>0</v>
      </c>
      <c r="F294">
        <v>0</v>
      </c>
      <c r="G294" t="s">
        <v>2</v>
      </c>
      <c r="H294" cm="1">
        <f t="array" ref="H294">sentimentCalc(B294)</f>
        <v>0</v>
      </c>
      <c r="I294" s="5" t="str" cm="1">
        <f t="array" ref="I294">sentimentCategory(H294)</f>
        <v>Neutral</v>
      </c>
    </row>
    <row r="295" spans="1:9" x14ac:dyDescent="0.2">
      <c r="A295" s="3">
        <v>45260.921492997688</v>
      </c>
      <c r="B295" t="s">
        <v>411</v>
      </c>
      <c r="C295" t="s">
        <v>412</v>
      </c>
      <c r="D295" t="s">
        <v>413</v>
      </c>
      <c r="E295">
        <v>0</v>
      </c>
      <c r="F295">
        <v>0</v>
      </c>
      <c r="G295" t="s">
        <v>2</v>
      </c>
      <c r="H295" cm="1">
        <f t="array" ref="H295">sentimentCalc(B295)</f>
        <v>0</v>
      </c>
      <c r="I295" s="5" t="str" cm="1">
        <f t="array" ref="I295">sentimentCategory(H295)</f>
        <v>Neutral</v>
      </c>
    </row>
    <row r="296" spans="1:9" x14ac:dyDescent="0.2">
      <c r="A296" s="3">
        <v>45261.921492997688</v>
      </c>
      <c r="B296" t="s">
        <v>414</v>
      </c>
      <c r="C296" t="s">
        <v>24</v>
      </c>
      <c r="D296" t="s">
        <v>25</v>
      </c>
      <c r="E296">
        <v>0</v>
      </c>
      <c r="F296">
        <v>0</v>
      </c>
      <c r="G296" t="s">
        <v>2</v>
      </c>
      <c r="H296" cm="1">
        <f t="array" ref="H296">sentimentCalc(B296)</f>
        <v>10</v>
      </c>
      <c r="I296" s="5" t="str" cm="1">
        <f t="array" ref="I296">sentimentCategory(H296)</f>
        <v>Positive</v>
      </c>
    </row>
    <row r="297" spans="1:9" x14ac:dyDescent="0.2">
      <c r="A297" s="3">
        <v>45262.921492997688</v>
      </c>
      <c r="B297" t="s">
        <v>415</v>
      </c>
      <c r="C297" t="s">
        <v>57</v>
      </c>
      <c r="D297" t="s">
        <v>69</v>
      </c>
      <c r="E297">
        <v>0</v>
      </c>
      <c r="F297">
        <v>0</v>
      </c>
      <c r="G297" t="s">
        <v>2</v>
      </c>
      <c r="H297" cm="1">
        <f t="array" ref="H297">sentimentCalc(B297)</f>
        <v>10</v>
      </c>
      <c r="I297" s="5" t="str" cm="1">
        <f t="array" ref="I297">sentimentCategory(H297)</f>
        <v>Positive</v>
      </c>
    </row>
    <row r="298" spans="1:9" x14ac:dyDescent="0.2">
      <c r="A298" s="3">
        <v>45263.921492997688</v>
      </c>
      <c r="B298" t="s">
        <v>416</v>
      </c>
      <c r="C298" t="s">
        <v>259</v>
      </c>
      <c r="D298" t="s">
        <v>417</v>
      </c>
      <c r="E298">
        <v>0</v>
      </c>
      <c r="F298">
        <v>0</v>
      </c>
      <c r="G298" t="s">
        <v>2</v>
      </c>
      <c r="H298" cm="1">
        <f t="array" ref="H298">sentimentCalc(B298)</f>
        <v>0</v>
      </c>
      <c r="I298" s="5" t="str" cm="1">
        <f t="array" ref="I298">sentimentCategory(H298)</f>
        <v>Neutral</v>
      </c>
    </row>
    <row r="299" spans="1:9" x14ac:dyDescent="0.2">
      <c r="A299" s="3">
        <v>45264.921492997688</v>
      </c>
      <c r="B299" t="s">
        <v>418</v>
      </c>
      <c r="C299" t="s">
        <v>7</v>
      </c>
      <c r="E299">
        <v>0</v>
      </c>
      <c r="F299">
        <v>0</v>
      </c>
      <c r="G299" t="s">
        <v>2</v>
      </c>
      <c r="H299" cm="1">
        <f t="array" ref="H299">sentimentCalc(B299)</f>
        <v>0</v>
      </c>
      <c r="I299" s="5" t="str" cm="1">
        <f t="array" ref="I299">sentimentCategory(H299)</f>
        <v>Neutral</v>
      </c>
    </row>
    <row r="300" spans="1:9" x14ac:dyDescent="0.2">
      <c r="A300" s="3">
        <v>45265.921492997688</v>
      </c>
      <c r="B300" t="s">
        <v>419</v>
      </c>
      <c r="C300" t="s">
        <v>420</v>
      </c>
      <c r="D300" t="s">
        <v>421</v>
      </c>
      <c r="E300">
        <v>0</v>
      </c>
      <c r="F300">
        <v>0</v>
      </c>
      <c r="G300" t="s">
        <v>2</v>
      </c>
      <c r="H300" cm="1">
        <f t="array" ref="H300">sentimentCalc(B300)</f>
        <v>0</v>
      </c>
      <c r="I300" s="5" t="str" cm="1">
        <f t="array" ref="I300">sentimentCategory(H300)</f>
        <v>Neutral</v>
      </c>
    </row>
    <row r="301" spans="1:9" x14ac:dyDescent="0.2">
      <c r="A301" s="3">
        <v>45266.921492997688</v>
      </c>
      <c r="B301" t="s">
        <v>422</v>
      </c>
      <c r="C301" t="s">
        <v>7</v>
      </c>
      <c r="E301">
        <v>0</v>
      </c>
      <c r="F301">
        <v>0</v>
      </c>
      <c r="G301" t="s">
        <v>2</v>
      </c>
      <c r="H301" cm="1">
        <f t="array" ref="H301">sentimentCalc(B301)</f>
        <v>0</v>
      </c>
      <c r="I301" s="5" t="str" cm="1">
        <f t="array" ref="I301">sentimentCategory(H301)</f>
        <v>Neutral</v>
      </c>
    </row>
    <row r="302" spans="1:9" x14ac:dyDescent="0.2">
      <c r="A302" s="3">
        <v>45267.921492997688</v>
      </c>
      <c r="B302" t="s">
        <v>127</v>
      </c>
      <c r="C302" t="s">
        <v>128</v>
      </c>
      <c r="D302" t="s">
        <v>129</v>
      </c>
      <c r="E302">
        <v>0</v>
      </c>
      <c r="F302">
        <v>0</v>
      </c>
      <c r="G302" t="s">
        <v>2</v>
      </c>
      <c r="H302" cm="1">
        <f t="array" ref="H302">sentimentCalc(B302)</f>
        <v>-10</v>
      </c>
      <c r="I302" s="5" t="str" cm="1">
        <f t="array" ref="I302">sentimentCategory(H302)</f>
        <v>Negative</v>
      </c>
    </row>
    <row r="303" spans="1:9" x14ac:dyDescent="0.2">
      <c r="A303" s="3">
        <v>45268.921492997688</v>
      </c>
      <c r="B303" t="s">
        <v>423</v>
      </c>
      <c r="C303" t="s">
        <v>128</v>
      </c>
      <c r="D303" t="s">
        <v>129</v>
      </c>
      <c r="E303">
        <v>0</v>
      </c>
      <c r="F303">
        <v>0</v>
      </c>
      <c r="G303" t="s">
        <v>2</v>
      </c>
      <c r="H303" cm="1">
        <f t="array" ref="H303">sentimentCalc(B303)</f>
        <v>-10</v>
      </c>
      <c r="I303" s="5" t="str" cm="1">
        <f t="array" ref="I303">sentimentCategory(H303)</f>
        <v>Negative</v>
      </c>
    </row>
    <row r="304" spans="1:9" x14ac:dyDescent="0.2">
      <c r="A304" s="3">
        <v>45269.921492997688</v>
      </c>
      <c r="B304" t="s">
        <v>424</v>
      </c>
      <c r="C304" t="s">
        <v>425</v>
      </c>
      <c r="D304" t="s">
        <v>426</v>
      </c>
      <c r="E304">
        <v>1</v>
      </c>
      <c r="F304">
        <v>0</v>
      </c>
      <c r="G304" t="s">
        <v>2</v>
      </c>
      <c r="H304" cm="1">
        <f t="array" ref="H304">sentimentCalc(B304)</f>
        <v>0</v>
      </c>
      <c r="I304" s="5" t="str" cm="1">
        <f t="array" ref="I304">sentimentCategory(H304)</f>
        <v>Neutral</v>
      </c>
    </row>
    <row r="305" spans="1:9" x14ac:dyDescent="0.2">
      <c r="A305" s="3">
        <v>45270.921492997688</v>
      </c>
      <c r="B305" t="s">
        <v>427</v>
      </c>
      <c r="C305" t="s">
        <v>7</v>
      </c>
      <c r="E305">
        <v>0</v>
      </c>
      <c r="F305">
        <v>0</v>
      </c>
      <c r="G305" t="s">
        <v>2</v>
      </c>
      <c r="H305" cm="1">
        <f t="array" ref="H305">sentimentCalc(B305)</f>
        <v>0</v>
      </c>
      <c r="I305" s="5" t="str" cm="1">
        <f t="array" ref="I305">sentimentCategory(H305)</f>
        <v>Neutral</v>
      </c>
    </row>
    <row r="306" spans="1:9" x14ac:dyDescent="0.2">
      <c r="A306" s="3">
        <v>45271.921492997688</v>
      </c>
      <c r="B306" t="s">
        <v>428</v>
      </c>
      <c r="C306" t="s">
        <v>7</v>
      </c>
      <c r="E306">
        <v>0</v>
      </c>
      <c r="F306">
        <v>0</v>
      </c>
      <c r="G306" t="s">
        <v>2</v>
      </c>
      <c r="H306" cm="1">
        <f t="array" ref="H306">sentimentCalc(B306)</f>
        <v>0</v>
      </c>
      <c r="I306" s="5" t="str" cm="1">
        <f t="array" ref="I306">sentimentCategory(H306)</f>
        <v>Neutral</v>
      </c>
    </row>
    <row r="307" spans="1:9" x14ac:dyDescent="0.2">
      <c r="A307" s="3">
        <v>45272.921492997688</v>
      </c>
      <c r="B307" t="s">
        <v>429</v>
      </c>
      <c r="C307" t="s">
        <v>143</v>
      </c>
      <c r="D307" t="s">
        <v>129</v>
      </c>
      <c r="E307">
        <v>0</v>
      </c>
      <c r="F307">
        <v>0</v>
      </c>
      <c r="G307" t="s">
        <v>2</v>
      </c>
      <c r="H307" cm="1">
        <f t="array" ref="H307">sentimentCalc(B307)</f>
        <v>-10</v>
      </c>
      <c r="I307" s="5" t="str" cm="1">
        <f t="array" ref="I307">sentimentCategory(H307)</f>
        <v>Negative</v>
      </c>
    </row>
    <row r="308" spans="1:9" x14ac:dyDescent="0.2">
      <c r="A308" s="3">
        <v>45273.921492997688</v>
      </c>
      <c r="B308" t="s">
        <v>430</v>
      </c>
      <c r="C308" t="s">
        <v>178</v>
      </c>
      <c r="E308">
        <v>0</v>
      </c>
      <c r="F308">
        <v>1</v>
      </c>
      <c r="G308" t="s">
        <v>2</v>
      </c>
      <c r="H308" cm="1">
        <f t="array" ref="H308">sentimentCalc(B308)</f>
        <v>0</v>
      </c>
      <c r="I308" s="5" t="str" cm="1">
        <f t="array" ref="I308">sentimentCategory(H308)</f>
        <v>Neutral</v>
      </c>
    </row>
    <row r="309" spans="1:9" x14ac:dyDescent="0.2">
      <c r="A309" s="3">
        <v>45274.921492997688</v>
      </c>
      <c r="B309" t="s">
        <v>431</v>
      </c>
      <c r="C309" t="s">
        <v>143</v>
      </c>
      <c r="D309" t="s">
        <v>129</v>
      </c>
      <c r="E309">
        <v>0</v>
      </c>
      <c r="F309">
        <v>0</v>
      </c>
      <c r="G309" t="s">
        <v>2</v>
      </c>
      <c r="H309" cm="1">
        <f t="array" ref="H309">sentimentCalc(B309)</f>
        <v>-10</v>
      </c>
      <c r="I309" s="5" t="str" cm="1">
        <f t="array" ref="I309">sentimentCategory(H309)</f>
        <v>Negative</v>
      </c>
    </row>
    <row r="310" spans="1:9" x14ac:dyDescent="0.2">
      <c r="A310" s="3">
        <v>45275.921492997688</v>
      </c>
      <c r="B310" t="s">
        <v>432</v>
      </c>
      <c r="C310" t="s">
        <v>143</v>
      </c>
      <c r="D310" t="s">
        <v>129</v>
      </c>
      <c r="E310">
        <v>0</v>
      </c>
      <c r="F310">
        <v>0</v>
      </c>
      <c r="G310" t="s">
        <v>2</v>
      </c>
      <c r="H310" cm="1">
        <f t="array" ref="H310">sentimentCalc(B310)</f>
        <v>-10</v>
      </c>
      <c r="I310" s="5" t="str" cm="1">
        <f t="array" ref="I310">sentimentCategory(H310)</f>
        <v>Negative</v>
      </c>
    </row>
    <row r="311" spans="1:9" x14ac:dyDescent="0.2">
      <c r="A311" s="3">
        <v>45276.921492997688</v>
      </c>
      <c r="B311" t="s">
        <v>433</v>
      </c>
      <c r="C311" t="s">
        <v>7</v>
      </c>
      <c r="E311">
        <v>0</v>
      </c>
      <c r="F311">
        <v>0</v>
      </c>
      <c r="G311" t="s">
        <v>2</v>
      </c>
      <c r="H311" cm="1">
        <f t="array" ref="H311">sentimentCalc(B311)</f>
        <v>0</v>
      </c>
      <c r="I311" s="5" t="str" cm="1">
        <f t="array" ref="I311">sentimentCategory(H311)</f>
        <v>Neutral</v>
      </c>
    </row>
    <row r="312" spans="1:9" x14ac:dyDescent="0.2">
      <c r="A312" s="3">
        <v>45277.921492997688</v>
      </c>
      <c r="B312" t="s">
        <v>192</v>
      </c>
      <c r="C312" t="s">
        <v>143</v>
      </c>
      <c r="D312" t="s">
        <v>129</v>
      </c>
      <c r="E312">
        <v>0</v>
      </c>
      <c r="F312">
        <v>0</v>
      </c>
      <c r="G312" t="s">
        <v>2</v>
      </c>
      <c r="H312" cm="1">
        <f t="array" ref="H312">sentimentCalc(B312)</f>
        <v>-10</v>
      </c>
      <c r="I312" s="5" t="str" cm="1">
        <f t="array" ref="I312">sentimentCategory(H312)</f>
        <v>Negative</v>
      </c>
    </row>
    <row r="313" spans="1:9" x14ac:dyDescent="0.2">
      <c r="A313" s="3">
        <v>45278.921492997688</v>
      </c>
      <c r="B313" t="s">
        <v>434</v>
      </c>
      <c r="C313" t="s">
        <v>435</v>
      </c>
      <c r="D313" t="s">
        <v>158</v>
      </c>
      <c r="E313">
        <v>0</v>
      </c>
      <c r="F313">
        <v>0</v>
      </c>
      <c r="G313" t="s">
        <v>2</v>
      </c>
      <c r="H313" cm="1">
        <f t="array" ref="H313">sentimentCalc(B313)</f>
        <v>0</v>
      </c>
      <c r="I313" s="5" t="str" cm="1">
        <f t="array" ref="I313">sentimentCategory(H313)</f>
        <v>Neutral</v>
      </c>
    </row>
    <row r="314" spans="1:9" x14ac:dyDescent="0.2">
      <c r="A314" s="3">
        <v>45279.921492997688</v>
      </c>
      <c r="B314" t="s">
        <v>436</v>
      </c>
      <c r="C314" t="s">
        <v>437</v>
      </c>
      <c r="E314">
        <v>0</v>
      </c>
      <c r="F314">
        <v>0</v>
      </c>
      <c r="G314" t="s">
        <v>2</v>
      </c>
      <c r="H314" cm="1">
        <f t="array" ref="H314">sentimentCalc(B314)</f>
        <v>10</v>
      </c>
      <c r="I314" s="5" t="str" cm="1">
        <f t="array" ref="I314">sentimentCategory(H314)</f>
        <v>Positive</v>
      </c>
    </row>
    <row r="315" spans="1:9" x14ac:dyDescent="0.2">
      <c r="A315" s="3">
        <v>45280.921492997688</v>
      </c>
      <c r="B315" t="s">
        <v>438</v>
      </c>
      <c r="C315" t="s">
        <v>439</v>
      </c>
      <c r="D315" t="s">
        <v>440</v>
      </c>
      <c r="E315">
        <v>0</v>
      </c>
      <c r="F315">
        <v>0</v>
      </c>
      <c r="G315" t="s">
        <v>2</v>
      </c>
      <c r="H315" cm="1">
        <f t="array" ref="H315">sentimentCalc(B315)</f>
        <v>0</v>
      </c>
      <c r="I315" s="5" t="str" cm="1">
        <f t="array" ref="I315">sentimentCategory(H315)</f>
        <v>Neutral</v>
      </c>
    </row>
    <row r="316" spans="1:9" x14ac:dyDescent="0.2">
      <c r="A316" s="3">
        <v>45281.921492997688</v>
      </c>
      <c r="B316" t="s">
        <v>441</v>
      </c>
      <c r="C316" t="s">
        <v>7</v>
      </c>
      <c r="E316">
        <v>0</v>
      </c>
      <c r="F316">
        <v>0</v>
      </c>
      <c r="G316" t="s">
        <v>2</v>
      </c>
      <c r="H316" cm="1">
        <f t="array" ref="H316">sentimentCalc(B316)</f>
        <v>0</v>
      </c>
      <c r="I316" s="5" t="str" cm="1">
        <f t="array" ref="I316">sentimentCategory(H316)</f>
        <v>Neutral</v>
      </c>
    </row>
    <row r="317" spans="1:9" x14ac:dyDescent="0.2">
      <c r="A317" s="3">
        <v>45282.921492997688</v>
      </c>
      <c r="B317" t="s">
        <v>442</v>
      </c>
      <c r="C317" t="s">
        <v>443</v>
      </c>
      <c r="D317" t="s">
        <v>444</v>
      </c>
      <c r="E317">
        <v>0</v>
      </c>
      <c r="F317">
        <v>0</v>
      </c>
      <c r="G317" t="s">
        <v>2</v>
      </c>
      <c r="H317" cm="1">
        <f t="array" ref="H317">sentimentCalc(B317)</f>
        <v>0</v>
      </c>
      <c r="I317" s="5" t="str" cm="1">
        <f t="array" ref="I317">sentimentCategory(H317)</f>
        <v>Neutral</v>
      </c>
    </row>
    <row r="318" spans="1:9" x14ac:dyDescent="0.2">
      <c r="A318" s="3">
        <v>45283.921492997688</v>
      </c>
      <c r="B318" t="s">
        <v>445</v>
      </c>
      <c r="C318" t="s">
        <v>33</v>
      </c>
      <c r="D318" t="s">
        <v>34</v>
      </c>
      <c r="E318">
        <v>0</v>
      </c>
      <c r="F318">
        <v>0</v>
      </c>
      <c r="G318" t="s">
        <v>2</v>
      </c>
      <c r="H318" cm="1">
        <f t="array" ref="H318">sentimentCalc(B318)</f>
        <v>0</v>
      </c>
      <c r="I318" s="5" t="str" cm="1">
        <f t="array" ref="I318">sentimentCategory(H318)</f>
        <v>Neutral</v>
      </c>
    </row>
    <row r="319" spans="1:9" x14ac:dyDescent="0.2">
      <c r="A319" s="3"/>
      <c r="H319" cm="1">
        <f t="array" ref="H319">sentimentCalc(B319)</f>
        <v>0</v>
      </c>
      <c r="I319" s="5" t="str" cm="1">
        <f t="array" ref="I319">sentimentCategory(H319)</f>
        <v>Neutral</v>
      </c>
    </row>
    <row r="320" spans="1:9" x14ac:dyDescent="0.2">
      <c r="A320" s="3">
        <v>45285.921492997688</v>
      </c>
      <c r="B320" t="s">
        <v>35</v>
      </c>
      <c r="C320" t="s">
        <v>33</v>
      </c>
      <c r="D320" t="s">
        <v>34</v>
      </c>
      <c r="E320">
        <v>0</v>
      </c>
      <c r="F320">
        <v>0</v>
      </c>
      <c r="G320" t="s">
        <v>2</v>
      </c>
      <c r="H320" cm="1">
        <f t="array" ref="H320">sentimentCalc(B320)</f>
        <v>0</v>
      </c>
      <c r="I320" s="5" t="str" cm="1">
        <f t="array" ref="I320">sentimentCategory(H320)</f>
        <v>Neutral</v>
      </c>
    </row>
    <row r="321" spans="1:9" x14ac:dyDescent="0.2">
      <c r="A321" s="3">
        <v>45286.921492997688</v>
      </c>
      <c r="B321" t="s">
        <v>36</v>
      </c>
      <c r="C321" t="s">
        <v>33</v>
      </c>
      <c r="D321" t="s">
        <v>34</v>
      </c>
      <c r="E321">
        <v>0</v>
      </c>
      <c r="F321">
        <v>0</v>
      </c>
      <c r="G321" t="s">
        <v>2</v>
      </c>
      <c r="H321" cm="1">
        <f t="array" ref="H321">sentimentCalc(B321)</f>
        <v>10</v>
      </c>
      <c r="I321" s="5" t="str" cm="1">
        <f t="array" ref="I321">sentimentCategory(H321)</f>
        <v>Positive</v>
      </c>
    </row>
    <row r="322" spans="1:9" x14ac:dyDescent="0.2">
      <c r="A322" s="3">
        <v>45287.921492997688</v>
      </c>
      <c r="B322" t="s">
        <v>169</v>
      </c>
      <c r="C322" t="s">
        <v>143</v>
      </c>
      <c r="D322" t="s">
        <v>129</v>
      </c>
      <c r="E322">
        <v>0</v>
      </c>
      <c r="F322">
        <v>0</v>
      </c>
      <c r="G322" t="s">
        <v>2</v>
      </c>
      <c r="H322" cm="1">
        <f t="array" ref="H322">sentimentCalc(B322)</f>
        <v>0</v>
      </c>
      <c r="I322" s="5" t="str" cm="1">
        <f t="array" ref="I322">sentimentCategory(H322)</f>
        <v>Neutral</v>
      </c>
    </row>
    <row r="323" spans="1:9" x14ac:dyDescent="0.2">
      <c r="A323" s="3">
        <v>45288.921492997688</v>
      </c>
      <c r="B323" t="s">
        <v>446</v>
      </c>
      <c r="C323" t="s">
        <v>7</v>
      </c>
      <c r="E323">
        <v>0</v>
      </c>
      <c r="F323">
        <v>1</v>
      </c>
      <c r="G323" t="s">
        <v>2</v>
      </c>
      <c r="H323" cm="1">
        <f t="array" ref="H323">sentimentCalc(B323)</f>
        <v>0</v>
      </c>
      <c r="I323" s="5" t="str" cm="1">
        <f t="array" ref="I323">sentimentCategory(H323)</f>
        <v>Neutral</v>
      </c>
    </row>
    <row r="324" spans="1:9" x14ac:dyDescent="0.2">
      <c r="A324" s="3">
        <v>45289.921492997688</v>
      </c>
      <c r="B324" t="s">
        <v>447</v>
      </c>
      <c r="C324" t="s">
        <v>7</v>
      </c>
      <c r="E324">
        <v>0</v>
      </c>
      <c r="F324">
        <v>1</v>
      </c>
      <c r="G324" t="s">
        <v>2</v>
      </c>
      <c r="H324" cm="1">
        <f t="array" ref="H324">sentimentCalc(B324)</f>
        <v>0</v>
      </c>
      <c r="I324" s="5" t="str" cm="1">
        <f t="array" ref="I324">sentimentCategory(H324)</f>
        <v>Neutral</v>
      </c>
    </row>
    <row r="325" spans="1:9" x14ac:dyDescent="0.2">
      <c r="A325" s="3">
        <v>45290.921492997688</v>
      </c>
      <c r="B325" t="s">
        <v>287</v>
      </c>
      <c r="C325" t="s">
        <v>33</v>
      </c>
      <c r="D325" t="s">
        <v>34</v>
      </c>
      <c r="E325">
        <v>0</v>
      </c>
      <c r="F325">
        <v>0</v>
      </c>
      <c r="G325" t="s">
        <v>2</v>
      </c>
      <c r="H325" cm="1">
        <f t="array" ref="H325">sentimentCalc(B325)</f>
        <v>0</v>
      </c>
      <c r="I325" s="5" t="str" cm="1">
        <f t="array" ref="I325">sentimentCategory(H325)</f>
        <v>Neutral</v>
      </c>
    </row>
    <row r="326" spans="1:9" x14ac:dyDescent="0.2">
      <c r="A326" s="3">
        <v>45291.921492997688</v>
      </c>
      <c r="B326" t="s">
        <v>138</v>
      </c>
      <c r="C326" t="s">
        <v>22</v>
      </c>
      <c r="E326">
        <v>0</v>
      </c>
      <c r="F326">
        <v>0</v>
      </c>
      <c r="G326" t="s">
        <v>2</v>
      </c>
      <c r="H326" cm="1">
        <f t="array" ref="H326">sentimentCalc(B326)</f>
        <v>0</v>
      </c>
      <c r="I326" s="5" t="str" cm="1">
        <f t="array" ref="I326">sentimentCategory(H326)</f>
        <v>Neutral</v>
      </c>
    </row>
    <row r="327" spans="1:9" x14ac:dyDescent="0.2">
      <c r="A327" s="3">
        <v>45292.921492997688</v>
      </c>
      <c r="B327" t="s">
        <v>3</v>
      </c>
      <c r="C327" t="s">
        <v>4</v>
      </c>
      <c r="D327" t="s">
        <v>5</v>
      </c>
      <c r="E327">
        <v>0</v>
      </c>
      <c r="F327">
        <v>0</v>
      </c>
      <c r="G327" t="s">
        <v>2</v>
      </c>
      <c r="H327" cm="1">
        <f t="array" ref="H327">sentimentCalc(B327)</f>
        <v>0</v>
      </c>
      <c r="I327" s="5" t="str" cm="1">
        <f t="array" ref="I327">sentimentCategory(H327)</f>
        <v>Neutral</v>
      </c>
    </row>
    <row r="328" spans="1:9" x14ac:dyDescent="0.2">
      <c r="A328" s="3">
        <v>45293.921492997688</v>
      </c>
      <c r="B328" t="s">
        <v>144</v>
      </c>
      <c r="C328" t="s">
        <v>22</v>
      </c>
      <c r="E328">
        <v>0</v>
      </c>
      <c r="F328">
        <v>0</v>
      </c>
      <c r="G328" t="s">
        <v>2</v>
      </c>
      <c r="H328" cm="1">
        <f t="array" ref="H328">sentimentCalc(B328)</f>
        <v>0</v>
      </c>
      <c r="I328" s="5" t="str" cm="1">
        <f t="array" ref="I328">sentimentCategory(H328)</f>
        <v>Neutral</v>
      </c>
    </row>
    <row r="329" spans="1:9" x14ac:dyDescent="0.2">
      <c r="A329" s="3">
        <v>45294.921492997688</v>
      </c>
      <c r="B329" t="s">
        <v>152</v>
      </c>
      <c r="C329" t="s">
        <v>22</v>
      </c>
      <c r="E329">
        <v>0</v>
      </c>
      <c r="F329">
        <v>0</v>
      </c>
      <c r="G329" t="s">
        <v>2</v>
      </c>
      <c r="H329" cm="1">
        <f t="array" ref="H329">sentimentCalc(B329)</f>
        <v>0</v>
      </c>
      <c r="I329" s="5" t="str" cm="1">
        <f t="array" ref="I329">sentimentCategory(H329)</f>
        <v>Neutral</v>
      </c>
    </row>
    <row r="330" spans="1:9" x14ac:dyDescent="0.2">
      <c r="A330" s="3">
        <v>45295.921492997688</v>
      </c>
      <c r="B330" t="s">
        <v>448</v>
      </c>
      <c r="C330" t="s">
        <v>7</v>
      </c>
      <c r="E330">
        <v>0</v>
      </c>
      <c r="F330">
        <v>1</v>
      </c>
      <c r="G330" t="s">
        <v>2</v>
      </c>
      <c r="H330" cm="1">
        <f t="array" ref="H330">sentimentCalc(B330)</f>
        <v>0</v>
      </c>
      <c r="I330" s="5" t="str" cm="1">
        <f t="array" ref="I330">sentimentCategory(H330)</f>
        <v>Neutral</v>
      </c>
    </row>
    <row r="331" spans="1:9" x14ac:dyDescent="0.2">
      <c r="A331" s="3">
        <v>45296.921492997688</v>
      </c>
      <c r="B331" t="s">
        <v>151</v>
      </c>
      <c r="C331" t="s">
        <v>22</v>
      </c>
      <c r="E331">
        <v>0</v>
      </c>
      <c r="F331">
        <v>0</v>
      </c>
      <c r="G331" t="s">
        <v>2</v>
      </c>
      <c r="H331" cm="1">
        <f t="array" ref="H331">sentimentCalc(B331)</f>
        <v>0</v>
      </c>
      <c r="I331" s="5" t="str" cm="1">
        <f t="array" ref="I331">sentimentCategory(H331)</f>
        <v>Neutral</v>
      </c>
    </row>
    <row r="332" spans="1:9" x14ac:dyDescent="0.2">
      <c r="A332" s="3"/>
      <c r="H332" cm="1">
        <f t="array" ref="H332">sentimentCalc(B332)</f>
        <v>0</v>
      </c>
      <c r="I332" s="5" t="str" cm="1">
        <f t="array" ref="I332">sentimentCategory(H332)</f>
        <v>Neutral</v>
      </c>
    </row>
    <row r="333" spans="1:9" x14ac:dyDescent="0.2">
      <c r="A333" s="3">
        <v>45298.921492997688</v>
      </c>
      <c r="B333" t="s">
        <v>154</v>
      </c>
      <c r="C333" t="s">
        <v>22</v>
      </c>
      <c r="E333">
        <v>0</v>
      </c>
      <c r="F333">
        <v>0</v>
      </c>
      <c r="G333" t="s">
        <v>2</v>
      </c>
      <c r="H333" cm="1">
        <f t="array" ref="H333">sentimentCalc(B333)</f>
        <v>0</v>
      </c>
      <c r="I333" s="5" t="str" cm="1">
        <f t="array" ref="I333">sentimentCategory(H333)</f>
        <v>Neutral</v>
      </c>
    </row>
    <row r="334" spans="1:9" x14ac:dyDescent="0.2">
      <c r="A334" s="3">
        <v>45299.921492997688</v>
      </c>
      <c r="B334" t="s">
        <v>336</v>
      </c>
      <c r="C334" t="s">
        <v>143</v>
      </c>
      <c r="D334" t="s">
        <v>129</v>
      </c>
      <c r="E334">
        <v>0</v>
      </c>
      <c r="F334">
        <v>0</v>
      </c>
      <c r="G334" t="s">
        <v>2</v>
      </c>
      <c r="H334" cm="1">
        <f t="array" ref="H334">sentimentCalc(B334)</f>
        <v>0</v>
      </c>
      <c r="I334" s="5" t="str" cm="1">
        <f t="array" ref="I334">sentimentCategory(H334)</f>
        <v>Neutral</v>
      </c>
    </row>
    <row r="335" spans="1:9" x14ac:dyDescent="0.2">
      <c r="A335" s="3">
        <v>45300.921492997688</v>
      </c>
      <c r="B335" t="s">
        <v>449</v>
      </c>
      <c r="C335" t="s">
        <v>7</v>
      </c>
      <c r="E335">
        <v>0</v>
      </c>
      <c r="F335">
        <v>1</v>
      </c>
      <c r="G335" t="s">
        <v>2</v>
      </c>
      <c r="H335" cm="1">
        <f t="array" ref="H335">sentimentCalc(B335)</f>
        <v>0</v>
      </c>
      <c r="I335" s="5" t="str" cm="1">
        <f t="array" ref="I335">sentimentCategory(H335)</f>
        <v>Neutral</v>
      </c>
    </row>
    <row r="336" spans="1:9" x14ac:dyDescent="0.2">
      <c r="A336" s="3">
        <v>45301.921492997688</v>
      </c>
      <c r="B336" t="s">
        <v>450</v>
      </c>
      <c r="C336" t="s">
        <v>143</v>
      </c>
      <c r="D336" t="s">
        <v>129</v>
      </c>
      <c r="E336">
        <v>0</v>
      </c>
      <c r="F336">
        <v>0</v>
      </c>
      <c r="G336" t="s">
        <v>2</v>
      </c>
      <c r="H336" cm="1">
        <f t="array" ref="H336">sentimentCalc(B336)</f>
        <v>-10</v>
      </c>
      <c r="I336" s="5" t="str" cm="1">
        <f t="array" ref="I336">sentimentCategory(H336)</f>
        <v>Negative</v>
      </c>
    </row>
    <row r="337" spans="1:9" x14ac:dyDescent="0.2">
      <c r="A337" s="3">
        <v>45302.921492997688</v>
      </c>
      <c r="B337" t="s">
        <v>451</v>
      </c>
      <c r="C337" t="s">
        <v>452</v>
      </c>
      <c r="D337" t="s">
        <v>453</v>
      </c>
      <c r="E337">
        <v>0</v>
      </c>
      <c r="F337">
        <v>0</v>
      </c>
      <c r="G337" t="s">
        <v>2</v>
      </c>
      <c r="H337" cm="1">
        <f t="array" ref="H337">sentimentCalc(B337)</f>
        <v>0</v>
      </c>
      <c r="I337" s="5" t="str" cm="1">
        <f t="array" ref="I337">sentimentCategory(H337)</f>
        <v>Neutral</v>
      </c>
    </row>
    <row r="338" spans="1:9" x14ac:dyDescent="0.2">
      <c r="A338" s="3"/>
      <c r="H338" cm="1">
        <f t="array" ref="H338">sentimentCalc(B338)</f>
        <v>0</v>
      </c>
      <c r="I338" s="5" t="str" cm="1">
        <f t="array" ref="I338">sentimentCategory(H338)</f>
        <v>Neutral</v>
      </c>
    </row>
    <row r="339" spans="1:9" x14ac:dyDescent="0.2">
      <c r="A339" s="3">
        <v>45304.921492997688</v>
      </c>
      <c r="B339" t="s">
        <v>159</v>
      </c>
      <c r="C339" t="s">
        <v>22</v>
      </c>
      <c r="E339">
        <v>0</v>
      </c>
      <c r="F339">
        <v>0</v>
      </c>
      <c r="G339" t="s">
        <v>2</v>
      </c>
      <c r="H339" cm="1">
        <f t="array" ref="H339">sentimentCalc(B339)</f>
        <v>0</v>
      </c>
      <c r="I339" s="5" t="str" cm="1">
        <f t="array" ref="I339">sentimentCategory(H339)</f>
        <v>Neutral</v>
      </c>
    </row>
    <row r="340" spans="1:9" x14ac:dyDescent="0.2">
      <c r="A340" s="3">
        <v>45305.921492997688</v>
      </c>
      <c r="B340" t="s">
        <v>454</v>
      </c>
      <c r="C340" t="s">
        <v>7</v>
      </c>
      <c r="E340">
        <v>0</v>
      </c>
      <c r="F340">
        <v>1</v>
      </c>
      <c r="G340" t="s">
        <v>2</v>
      </c>
      <c r="H340" cm="1">
        <f t="array" ref="H340">sentimentCalc(B340)</f>
        <v>0</v>
      </c>
      <c r="I340" s="5" t="str" cm="1">
        <f t="array" ref="I340">sentimentCategory(H340)</f>
        <v>Neutral</v>
      </c>
    </row>
    <row r="341" spans="1:9" x14ac:dyDescent="0.2">
      <c r="A341" s="3">
        <v>45306.921492997688</v>
      </c>
      <c r="B341" t="s">
        <v>165</v>
      </c>
      <c r="C341" t="s">
        <v>22</v>
      </c>
      <c r="E341">
        <v>0</v>
      </c>
      <c r="F341">
        <v>0</v>
      </c>
      <c r="G341" t="s">
        <v>2</v>
      </c>
      <c r="H341" cm="1">
        <f t="array" ref="H341">sentimentCalc(B341)</f>
        <v>0</v>
      </c>
      <c r="I341" s="5" t="str" cm="1">
        <f t="array" ref="I341">sentimentCategory(H341)</f>
        <v>Neutral</v>
      </c>
    </row>
    <row r="342" spans="1:9" x14ac:dyDescent="0.2">
      <c r="A342" s="3">
        <v>45307.921492997688</v>
      </c>
      <c r="B342" t="s">
        <v>455</v>
      </c>
      <c r="C342" t="s">
        <v>456</v>
      </c>
      <c r="D342" t="s">
        <v>457</v>
      </c>
      <c r="E342">
        <v>0</v>
      </c>
      <c r="F342">
        <v>1</v>
      </c>
      <c r="G342" t="s">
        <v>2</v>
      </c>
      <c r="H342" cm="1">
        <f t="array" ref="H342">sentimentCalc(B342)</f>
        <v>0</v>
      </c>
      <c r="I342" s="5" t="str" cm="1">
        <f t="array" ref="I342">sentimentCategory(H342)</f>
        <v>Neutral</v>
      </c>
    </row>
    <row r="343" spans="1:9" x14ac:dyDescent="0.2">
      <c r="A343" s="3">
        <v>45308.921492997688</v>
      </c>
      <c r="B343" t="s">
        <v>458</v>
      </c>
      <c r="C343" t="s">
        <v>7</v>
      </c>
      <c r="E343">
        <v>0</v>
      </c>
      <c r="F343">
        <v>1</v>
      </c>
      <c r="G343" t="s">
        <v>2</v>
      </c>
      <c r="H343" cm="1">
        <f t="array" ref="H343">sentimentCalc(B343)</f>
        <v>0</v>
      </c>
      <c r="I343" s="5" t="str" cm="1">
        <f t="array" ref="I343">sentimentCategory(H343)</f>
        <v>Neutral</v>
      </c>
    </row>
    <row r="344" spans="1:9" x14ac:dyDescent="0.2">
      <c r="A344" s="3">
        <v>45309.921492997688</v>
      </c>
      <c r="B344" t="s">
        <v>459</v>
      </c>
      <c r="C344" t="s">
        <v>290</v>
      </c>
      <c r="D344" t="s">
        <v>291</v>
      </c>
      <c r="E344">
        <v>0</v>
      </c>
      <c r="F344">
        <v>0</v>
      </c>
      <c r="G344" t="s">
        <v>2</v>
      </c>
      <c r="H344" cm="1">
        <f t="array" ref="H344">sentimentCalc(B344)</f>
        <v>0</v>
      </c>
      <c r="I344" s="5" t="str" cm="1">
        <f t="array" ref="I344">sentimentCategory(H344)</f>
        <v>Neutral</v>
      </c>
    </row>
    <row r="345" spans="1:9" x14ac:dyDescent="0.2">
      <c r="A345" s="3">
        <v>45310.921492997688</v>
      </c>
      <c r="B345" t="s">
        <v>460</v>
      </c>
      <c r="C345" t="s">
        <v>461</v>
      </c>
      <c r="D345" t="s">
        <v>462</v>
      </c>
      <c r="E345">
        <v>0</v>
      </c>
      <c r="F345">
        <v>0</v>
      </c>
      <c r="G345" t="s">
        <v>2</v>
      </c>
      <c r="H345" cm="1">
        <f t="array" ref="H345">sentimentCalc(B345)</f>
        <v>0</v>
      </c>
      <c r="I345" s="5" t="str" cm="1">
        <f t="array" ref="I345">sentimentCategory(H345)</f>
        <v>Neutral</v>
      </c>
    </row>
    <row r="346" spans="1:9" x14ac:dyDescent="0.2">
      <c r="A346" s="3">
        <v>45311.921492997688</v>
      </c>
      <c r="B346" t="s">
        <v>463</v>
      </c>
      <c r="C346" t="s">
        <v>33</v>
      </c>
      <c r="E346">
        <v>0</v>
      </c>
      <c r="F346">
        <v>0</v>
      </c>
      <c r="G346" t="s">
        <v>2</v>
      </c>
      <c r="H346" cm="1">
        <f t="array" ref="H346">sentimentCalc(B346)</f>
        <v>0</v>
      </c>
      <c r="I346" s="5" t="str" cm="1">
        <f t="array" ref="I346">sentimentCategory(H346)</f>
        <v>Neutral</v>
      </c>
    </row>
    <row r="347" spans="1:9" x14ac:dyDescent="0.2">
      <c r="A347" s="3">
        <v>45312.921492997688</v>
      </c>
      <c r="B347" t="s">
        <v>464</v>
      </c>
      <c r="C347" t="s">
        <v>465</v>
      </c>
      <c r="D347" t="s">
        <v>466</v>
      </c>
      <c r="E347">
        <v>0</v>
      </c>
      <c r="F347">
        <v>0</v>
      </c>
      <c r="G347" t="s">
        <v>2</v>
      </c>
      <c r="H347" cm="1">
        <f t="array" ref="H347">sentimentCalc(B347)</f>
        <v>0</v>
      </c>
      <c r="I347" s="5" t="str" cm="1">
        <f t="array" ref="I347">sentimentCategory(H347)</f>
        <v>Neutral</v>
      </c>
    </row>
    <row r="348" spans="1:9" x14ac:dyDescent="0.2">
      <c r="A348" s="3">
        <v>45313.921492997688</v>
      </c>
      <c r="B348" t="s">
        <v>467</v>
      </c>
      <c r="C348" t="s">
        <v>7</v>
      </c>
      <c r="E348">
        <v>0</v>
      </c>
      <c r="F348">
        <v>1</v>
      </c>
      <c r="G348" t="s">
        <v>2</v>
      </c>
      <c r="H348" cm="1">
        <f t="array" ref="H348">sentimentCalc(B348)</f>
        <v>0</v>
      </c>
      <c r="I348" s="5" t="str" cm="1">
        <f t="array" ref="I348">sentimentCategory(H348)</f>
        <v>Neutral</v>
      </c>
    </row>
    <row r="349" spans="1:9" x14ac:dyDescent="0.2">
      <c r="A349" s="3">
        <v>45314.921492997688</v>
      </c>
      <c r="B349" t="s">
        <v>468</v>
      </c>
      <c r="C349" t="s">
        <v>100</v>
      </c>
      <c r="D349" t="s">
        <v>34</v>
      </c>
      <c r="E349">
        <v>0</v>
      </c>
      <c r="F349">
        <v>0</v>
      </c>
      <c r="G349" t="s">
        <v>2</v>
      </c>
      <c r="H349" cm="1">
        <f t="array" ref="H349">sentimentCalc(B349)</f>
        <v>0</v>
      </c>
      <c r="I349" s="5" t="str" cm="1">
        <f t="array" ref="I349">sentimentCategory(H349)</f>
        <v>Neutral</v>
      </c>
    </row>
    <row r="350" spans="1:9" x14ac:dyDescent="0.2">
      <c r="A350" s="3">
        <v>45315.921492997688</v>
      </c>
      <c r="B350" t="s">
        <v>469</v>
      </c>
      <c r="C350" t="s">
        <v>470</v>
      </c>
      <c r="E350">
        <v>0</v>
      </c>
      <c r="F350">
        <v>0</v>
      </c>
      <c r="G350" t="s">
        <v>2</v>
      </c>
      <c r="H350" cm="1">
        <f t="array" ref="H350">sentimentCalc(B350)</f>
        <v>0</v>
      </c>
      <c r="I350" s="5" t="str" cm="1">
        <f t="array" ref="I350">sentimentCategory(H350)</f>
        <v>Neutral</v>
      </c>
    </row>
    <row r="351" spans="1:9" x14ac:dyDescent="0.2">
      <c r="A351" s="3">
        <v>45316.921492997688</v>
      </c>
      <c r="B351" t="s">
        <v>471</v>
      </c>
      <c r="C351" t="s">
        <v>7</v>
      </c>
      <c r="E351">
        <v>0</v>
      </c>
      <c r="F351">
        <v>0</v>
      </c>
      <c r="G351" t="s">
        <v>2</v>
      </c>
      <c r="H351" cm="1">
        <f t="array" ref="H351">sentimentCalc(B351)</f>
        <v>0</v>
      </c>
      <c r="I351" s="5" t="str" cm="1">
        <f t="array" ref="I351">sentimentCategory(H351)</f>
        <v>Neutral</v>
      </c>
    </row>
    <row r="352" spans="1:9" x14ac:dyDescent="0.2">
      <c r="A352" s="3">
        <v>45317.921492997688</v>
      </c>
      <c r="B352" t="s">
        <v>472</v>
      </c>
      <c r="C352" t="s">
        <v>473</v>
      </c>
      <c r="D352" t="s">
        <v>474</v>
      </c>
      <c r="E352">
        <v>0</v>
      </c>
      <c r="F352">
        <v>0</v>
      </c>
      <c r="G352" t="s">
        <v>2</v>
      </c>
      <c r="H352" cm="1">
        <f t="array" ref="H352">sentimentCalc(B352)</f>
        <v>10</v>
      </c>
      <c r="I352" s="5" t="str" cm="1">
        <f t="array" ref="I352">sentimentCategory(H352)</f>
        <v>Positive</v>
      </c>
    </row>
    <row r="353" spans="1:9" x14ac:dyDescent="0.2">
      <c r="A353" s="3">
        <v>45318.921492997688</v>
      </c>
      <c r="B353" t="s">
        <v>475</v>
      </c>
      <c r="C353" t="s">
        <v>128</v>
      </c>
      <c r="D353" t="s">
        <v>129</v>
      </c>
      <c r="E353">
        <v>0</v>
      </c>
      <c r="F353">
        <v>0</v>
      </c>
      <c r="G353" t="s">
        <v>2</v>
      </c>
      <c r="H353" cm="1">
        <f t="array" ref="H353">sentimentCalc(B353)</f>
        <v>-10</v>
      </c>
      <c r="I353" s="5" t="str" cm="1">
        <f t="array" ref="I353">sentimentCategory(H353)</f>
        <v>Negative</v>
      </c>
    </row>
    <row r="354" spans="1:9" x14ac:dyDescent="0.2">
      <c r="A354" s="3">
        <v>45319.921492997688</v>
      </c>
      <c r="B354" t="s">
        <v>141</v>
      </c>
      <c r="C354" t="s">
        <v>143</v>
      </c>
      <c r="D354" t="s">
        <v>129</v>
      </c>
      <c r="E354">
        <v>0</v>
      </c>
      <c r="F354">
        <v>0</v>
      </c>
      <c r="G354" t="s">
        <v>2</v>
      </c>
      <c r="H354" cm="1">
        <f t="array" ref="H354">sentimentCalc(B354)</f>
        <v>0</v>
      </c>
      <c r="I354" s="5" t="str" cm="1">
        <f t="array" ref="I354">sentimentCategory(H354)</f>
        <v>Neutral</v>
      </c>
    </row>
    <row r="355" spans="1:9" x14ac:dyDescent="0.2">
      <c r="A355" s="3">
        <v>45320.921492997688</v>
      </c>
      <c r="B355" t="s">
        <v>476</v>
      </c>
      <c r="C355" t="s">
        <v>143</v>
      </c>
      <c r="D355" t="s">
        <v>129</v>
      </c>
      <c r="E355">
        <v>0</v>
      </c>
      <c r="F355">
        <v>0</v>
      </c>
      <c r="G355" t="s">
        <v>2</v>
      </c>
      <c r="H355" cm="1">
        <f t="array" ref="H355">sentimentCalc(B355)</f>
        <v>-10</v>
      </c>
      <c r="I355" s="5" t="str" cm="1">
        <f t="array" ref="I355">sentimentCategory(H355)</f>
        <v>Negative</v>
      </c>
    </row>
    <row r="356" spans="1:9" x14ac:dyDescent="0.2">
      <c r="A356" s="3">
        <v>45321.921492997688</v>
      </c>
      <c r="B356" t="s">
        <v>475</v>
      </c>
      <c r="C356" t="s">
        <v>143</v>
      </c>
      <c r="D356" t="s">
        <v>129</v>
      </c>
      <c r="E356">
        <v>0</v>
      </c>
      <c r="F356">
        <v>0</v>
      </c>
      <c r="G356" t="s">
        <v>2</v>
      </c>
      <c r="H356" cm="1">
        <f t="array" ref="H356">sentimentCalc(B356)</f>
        <v>-10</v>
      </c>
      <c r="I356" s="5" t="str" cm="1">
        <f t="array" ref="I356">sentimentCategory(H356)</f>
        <v>Negative</v>
      </c>
    </row>
    <row r="357" spans="1:9" x14ac:dyDescent="0.2">
      <c r="A357" s="3">
        <v>45322.921492997688</v>
      </c>
      <c r="B357" t="s">
        <v>477</v>
      </c>
      <c r="C357" t="s">
        <v>171</v>
      </c>
      <c r="E357">
        <v>0</v>
      </c>
      <c r="F357">
        <v>0</v>
      </c>
      <c r="G357" t="s">
        <v>2</v>
      </c>
      <c r="H357" cm="1">
        <f t="array" ref="H357">sentimentCalc(B357)</f>
        <v>0</v>
      </c>
      <c r="I357" s="5" t="str" cm="1">
        <f t="array" ref="I357">sentimentCategory(H357)</f>
        <v>Neutral</v>
      </c>
    </row>
    <row r="358" spans="1:9" x14ac:dyDescent="0.2">
      <c r="A358" s="3">
        <v>45323.921492997688</v>
      </c>
      <c r="B358" t="s">
        <v>478</v>
      </c>
      <c r="C358" t="s">
        <v>7</v>
      </c>
      <c r="E358">
        <v>0</v>
      </c>
      <c r="F358">
        <v>0</v>
      </c>
      <c r="G358" t="s">
        <v>2</v>
      </c>
      <c r="H358" cm="1">
        <f t="array" ref="H358">sentimentCalc(B358)</f>
        <v>0</v>
      </c>
      <c r="I358" s="5" t="str" cm="1">
        <f t="array" ref="I358">sentimentCategory(H358)</f>
        <v>Neutral</v>
      </c>
    </row>
    <row r="359" spans="1:9" x14ac:dyDescent="0.2">
      <c r="A359" s="3">
        <v>45324.921492997688</v>
      </c>
      <c r="B359" t="s">
        <v>396</v>
      </c>
      <c r="C359" t="s">
        <v>143</v>
      </c>
      <c r="D359" t="s">
        <v>129</v>
      </c>
      <c r="E359">
        <v>0</v>
      </c>
      <c r="F359">
        <v>0</v>
      </c>
      <c r="G359" t="s">
        <v>2</v>
      </c>
      <c r="H359" cm="1">
        <f t="array" ref="H359">sentimentCalc(B359)</f>
        <v>0</v>
      </c>
      <c r="I359" s="5" t="str" cm="1">
        <f t="array" ref="I359">sentimentCategory(H359)</f>
        <v>Neutral</v>
      </c>
    </row>
    <row r="360" spans="1:9" x14ac:dyDescent="0.2">
      <c r="A360" s="3">
        <v>45325.921492997688</v>
      </c>
      <c r="B360" t="s">
        <v>479</v>
      </c>
      <c r="C360" t="s">
        <v>480</v>
      </c>
      <c r="D360" t="s">
        <v>55</v>
      </c>
      <c r="E360">
        <v>0</v>
      </c>
      <c r="F360">
        <v>0</v>
      </c>
      <c r="G360" t="s">
        <v>2</v>
      </c>
      <c r="H360" cm="1">
        <f t="array" ref="H360">sentimentCalc(B360)</f>
        <v>0</v>
      </c>
      <c r="I360" s="5" t="str" cm="1">
        <f t="array" ref="I360">sentimentCategory(H360)</f>
        <v>Neutral</v>
      </c>
    </row>
    <row r="361" spans="1:9" x14ac:dyDescent="0.2">
      <c r="A361" s="3">
        <v>45326.921492997688</v>
      </c>
      <c r="B361" t="s">
        <v>451</v>
      </c>
      <c r="C361" t="s">
        <v>481</v>
      </c>
      <c r="D361" t="s">
        <v>482</v>
      </c>
      <c r="E361">
        <v>0</v>
      </c>
      <c r="F361">
        <v>0</v>
      </c>
      <c r="G361" t="s">
        <v>2</v>
      </c>
      <c r="H361" cm="1">
        <f t="array" ref="H361">sentimentCalc(B361)</f>
        <v>0</v>
      </c>
      <c r="I361" s="5" t="str" cm="1">
        <f t="array" ref="I361">sentimentCategory(H361)</f>
        <v>Neutral</v>
      </c>
    </row>
    <row r="362" spans="1:9" x14ac:dyDescent="0.2">
      <c r="A362" s="3">
        <v>45327.921492997688</v>
      </c>
      <c r="B362" t="s">
        <v>483</v>
      </c>
      <c r="C362" t="s">
        <v>484</v>
      </c>
      <c r="D362" t="s">
        <v>103</v>
      </c>
      <c r="E362">
        <v>0</v>
      </c>
      <c r="F362">
        <v>1</v>
      </c>
      <c r="G362" t="s">
        <v>2</v>
      </c>
      <c r="H362" cm="1">
        <f t="array" ref="H362">sentimentCalc(B362)</f>
        <v>0</v>
      </c>
      <c r="I362" s="5" t="str" cm="1">
        <f t="array" ref="I362">sentimentCategory(H362)</f>
        <v>Neutral</v>
      </c>
    </row>
    <row r="363" spans="1:9" x14ac:dyDescent="0.2">
      <c r="A363" s="3">
        <v>45328.921492997688</v>
      </c>
      <c r="B363" t="s">
        <v>485</v>
      </c>
      <c r="C363" t="s">
        <v>7</v>
      </c>
      <c r="E363">
        <v>1</v>
      </c>
      <c r="F363">
        <v>0</v>
      </c>
      <c r="G363" t="s">
        <v>2</v>
      </c>
      <c r="H363" cm="1">
        <f t="array" ref="H363">sentimentCalc(B363)</f>
        <v>0</v>
      </c>
      <c r="I363" s="5" t="str" cm="1">
        <f t="array" ref="I363">sentimentCategory(H363)</f>
        <v>Neutral</v>
      </c>
    </row>
    <row r="364" spans="1:9" x14ac:dyDescent="0.2">
      <c r="A364" s="3"/>
      <c r="H364" cm="1">
        <f t="array" ref="H364">sentimentCalc(B364)</f>
        <v>0</v>
      </c>
      <c r="I364" s="5" t="str" cm="1">
        <f t="array" ref="I364">sentimentCategory(H364)</f>
        <v>Neutral</v>
      </c>
    </row>
    <row r="365" spans="1:9" x14ac:dyDescent="0.2">
      <c r="A365" s="3">
        <v>45330.921492997688</v>
      </c>
      <c r="B365" t="s">
        <v>489</v>
      </c>
      <c r="C365" t="s">
        <v>490</v>
      </c>
      <c r="D365" t="s">
        <v>491</v>
      </c>
      <c r="E365">
        <v>0</v>
      </c>
      <c r="F365">
        <v>2</v>
      </c>
      <c r="G365" t="s">
        <v>2</v>
      </c>
      <c r="H365" cm="1">
        <f t="array" ref="H365">sentimentCalc(B365)</f>
        <v>0</v>
      </c>
      <c r="I365" s="5" t="str" cm="1">
        <f t="array" ref="I365">sentimentCategory(H365)</f>
        <v>Neutral</v>
      </c>
    </row>
    <row r="366" spans="1:9" x14ac:dyDescent="0.2">
      <c r="A366" s="3">
        <v>45331.921492997688</v>
      </c>
      <c r="B366" t="s">
        <v>492</v>
      </c>
      <c r="C366" t="s">
        <v>143</v>
      </c>
      <c r="D366" t="s">
        <v>129</v>
      </c>
      <c r="E366">
        <v>0</v>
      </c>
      <c r="F366">
        <v>0</v>
      </c>
      <c r="G366" t="s">
        <v>2</v>
      </c>
      <c r="H366" cm="1">
        <f t="array" ref="H366">sentimentCalc(B366)</f>
        <v>0</v>
      </c>
      <c r="I366" s="5" t="str" cm="1">
        <f t="array" ref="I366">sentimentCategory(H366)</f>
        <v>Neutral</v>
      </c>
    </row>
    <row r="367" spans="1:9" x14ac:dyDescent="0.2">
      <c r="A367" s="3">
        <v>45332.921492997688</v>
      </c>
      <c r="B367" t="s">
        <v>493</v>
      </c>
      <c r="C367" t="s">
        <v>494</v>
      </c>
      <c r="E367">
        <v>0</v>
      </c>
      <c r="F367">
        <v>0</v>
      </c>
      <c r="G367" t="s">
        <v>2</v>
      </c>
      <c r="H367" cm="1">
        <f t="array" ref="H367">sentimentCalc(B367)</f>
        <v>0</v>
      </c>
      <c r="I367" s="5" t="str" cm="1">
        <f t="array" ref="I367">sentimentCategory(H367)</f>
        <v>Neutral</v>
      </c>
    </row>
    <row r="368" spans="1:9" x14ac:dyDescent="0.2">
      <c r="A368" s="3">
        <v>45333.921492997688</v>
      </c>
      <c r="B368" t="s">
        <v>495</v>
      </c>
      <c r="C368" t="s">
        <v>496</v>
      </c>
      <c r="E368">
        <v>2</v>
      </c>
      <c r="F368">
        <v>5</v>
      </c>
      <c r="G368" t="s">
        <v>2</v>
      </c>
      <c r="H368" cm="1">
        <f t="array" ref="H368">sentimentCalc(B368)</f>
        <v>0</v>
      </c>
      <c r="I368" s="5" t="str" cm="1">
        <f t="array" ref="I368">sentimentCategory(H368)</f>
        <v>Neutral</v>
      </c>
    </row>
    <row r="369" spans="1:9" x14ac:dyDescent="0.2">
      <c r="A369" s="3">
        <v>45334.921492997688</v>
      </c>
      <c r="B369" t="s">
        <v>497</v>
      </c>
      <c r="C369" t="s">
        <v>498</v>
      </c>
      <c r="E369">
        <v>3</v>
      </c>
      <c r="F369">
        <v>22</v>
      </c>
      <c r="G369" t="s">
        <v>2</v>
      </c>
      <c r="H369" cm="1">
        <f t="array" ref="H369">sentimentCalc(B369)</f>
        <v>0</v>
      </c>
      <c r="I369" s="5" t="str" cm="1">
        <f t="array" ref="I369">sentimentCategory(H369)</f>
        <v>Neutral</v>
      </c>
    </row>
    <row r="370" spans="1:9" x14ac:dyDescent="0.2">
      <c r="A370" s="3">
        <v>45335.921492997688</v>
      </c>
      <c r="B370" t="s">
        <v>499</v>
      </c>
      <c r="C370" t="s">
        <v>33</v>
      </c>
      <c r="D370" t="s">
        <v>34</v>
      </c>
      <c r="E370">
        <v>0</v>
      </c>
      <c r="F370">
        <v>0</v>
      </c>
      <c r="G370" t="s">
        <v>2</v>
      </c>
      <c r="H370" cm="1">
        <f t="array" ref="H370">sentimentCalc(B370)</f>
        <v>0</v>
      </c>
      <c r="I370" s="5" t="str" cm="1">
        <f t="array" ref="I370">sentimentCategory(H370)</f>
        <v>Neutral</v>
      </c>
    </row>
    <row r="371" spans="1:9" x14ac:dyDescent="0.2">
      <c r="A371" s="3"/>
      <c r="H371" cm="1">
        <f t="array" ref="H371">sentimentCalc(B371)</f>
        <v>0</v>
      </c>
      <c r="I371" s="5" t="str" cm="1">
        <f t="array" ref="I371">sentimentCategory(H371)</f>
        <v>Neutral</v>
      </c>
    </row>
    <row r="372" spans="1:9" x14ac:dyDescent="0.2">
      <c r="A372" s="3">
        <v>45337.921492997688</v>
      </c>
      <c r="B372" t="s">
        <v>37</v>
      </c>
      <c r="C372" t="s">
        <v>33</v>
      </c>
      <c r="D372" t="s">
        <v>34</v>
      </c>
      <c r="E372">
        <v>0</v>
      </c>
      <c r="F372">
        <v>0</v>
      </c>
      <c r="G372" t="s">
        <v>2</v>
      </c>
      <c r="H372" cm="1">
        <f t="array" ref="H372">sentimentCalc(B372)</f>
        <v>0</v>
      </c>
      <c r="I372" s="5" t="str" cm="1">
        <f t="array" ref="I372">sentimentCategory(H372)</f>
        <v>Neutral</v>
      </c>
    </row>
    <row r="373" spans="1:9" x14ac:dyDescent="0.2">
      <c r="A373" s="3">
        <v>45338.921492997688</v>
      </c>
      <c r="B373" t="s">
        <v>36</v>
      </c>
      <c r="C373" t="s">
        <v>33</v>
      </c>
      <c r="D373" t="s">
        <v>34</v>
      </c>
      <c r="E373">
        <v>0</v>
      </c>
      <c r="F373">
        <v>0</v>
      </c>
      <c r="G373" t="s">
        <v>2</v>
      </c>
      <c r="H373" cm="1">
        <f t="array" ref="H373">sentimentCalc(B373)</f>
        <v>10</v>
      </c>
      <c r="I373" s="5" t="str" cm="1">
        <f t="array" ref="I373">sentimentCategory(H373)</f>
        <v>Positive</v>
      </c>
    </row>
    <row r="374" spans="1:9" x14ac:dyDescent="0.2">
      <c r="A374" s="3">
        <v>45339.921492997688</v>
      </c>
      <c r="B374" t="s">
        <v>500</v>
      </c>
      <c r="C374" t="s">
        <v>7</v>
      </c>
      <c r="E374">
        <v>0</v>
      </c>
      <c r="F374">
        <v>0</v>
      </c>
      <c r="G374" t="s">
        <v>2</v>
      </c>
      <c r="H374" cm="1">
        <f t="array" ref="H374">sentimentCalc(B374)</f>
        <v>0</v>
      </c>
      <c r="I374" s="5" t="str" cm="1">
        <f t="array" ref="I374">sentimentCategory(H374)</f>
        <v>Neutral</v>
      </c>
    </row>
    <row r="375" spans="1:9" x14ac:dyDescent="0.2">
      <c r="A375" s="3">
        <v>45340.921492997688</v>
      </c>
      <c r="B375" t="s">
        <v>501</v>
      </c>
      <c r="C375" t="s">
        <v>502</v>
      </c>
      <c r="D375" t="s">
        <v>503</v>
      </c>
      <c r="E375">
        <v>0</v>
      </c>
      <c r="F375">
        <v>0</v>
      </c>
      <c r="G375" t="s">
        <v>2</v>
      </c>
      <c r="H375" cm="1">
        <f t="array" ref="H375">sentimentCalc(B375)</f>
        <v>0</v>
      </c>
      <c r="I375" s="5" t="str" cm="1">
        <f t="array" ref="I375">sentimentCategory(H375)</f>
        <v>Neutral</v>
      </c>
    </row>
    <row r="376" spans="1:9" x14ac:dyDescent="0.2">
      <c r="A376" s="3">
        <v>45341.921492997688</v>
      </c>
      <c r="B376" t="s">
        <v>504</v>
      </c>
      <c r="C376" t="s">
        <v>505</v>
      </c>
      <c r="D376" t="s">
        <v>506</v>
      </c>
      <c r="E376">
        <v>4</v>
      </c>
      <c r="F376">
        <v>5</v>
      </c>
      <c r="G376" t="s">
        <v>2</v>
      </c>
      <c r="H376" cm="1">
        <f t="array" ref="H376">sentimentCalc(B376)</f>
        <v>0</v>
      </c>
      <c r="I376" s="5" t="str" cm="1">
        <f t="array" ref="I376">sentimentCategory(H376)</f>
        <v>Neutral</v>
      </c>
    </row>
    <row r="377" spans="1:9" x14ac:dyDescent="0.2">
      <c r="A377" s="3">
        <v>45342.921492997688</v>
      </c>
      <c r="B377" t="s">
        <v>3</v>
      </c>
      <c r="C377" t="s">
        <v>4</v>
      </c>
      <c r="D377" t="s">
        <v>5</v>
      </c>
      <c r="E377">
        <v>0</v>
      </c>
      <c r="F377">
        <v>0</v>
      </c>
      <c r="G377" t="s">
        <v>2</v>
      </c>
      <c r="H377" cm="1">
        <f t="array" ref="H377">sentimentCalc(B377)</f>
        <v>0</v>
      </c>
      <c r="I377" s="5" t="str" cm="1">
        <f t="array" ref="I377">sentimentCategory(H377)</f>
        <v>Neutral</v>
      </c>
    </row>
    <row r="378" spans="1:9" x14ac:dyDescent="0.2">
      <c r="A378" s="3">
        <v>45343.921492997688</v>
      </c>
      <c r="B378" t="s">
        <v>489</v>
      </c>
      <c r="C378" t="s">
        <v>507</v>
      </c>
      <c r="D378" t="s">
        <v>508</v>
      </c>
      <c r="E378">
        <v>0</v>
      </c>
      <c r="F378">
        <v>0</v>
      </c>
      <c r="G378" t="s">
        <v>2</v>
      </c>
      <c r="H378" cm="1">
        <f t="array" ref="H378">sentimentCalc(B378)</f>
        <v>0</v>
      </c>
      <c r="I378" s="5" t="str" cm="1">
        <f t="array" ref="I378">sentimentCategory(H378)</f>
        <v>Neutral</v>
      </c>
    </row>
    <row r="379" spans="1:9" x14ac:dyDescent="0.2">
      <c r="A379" s="3">
        <v>45344.921492997688</v>
      </c>
      <c r="B379" t="s">
        <v>509</v>
      </c>
      <c r="C379" t="s">
        <v>510</v>
      </c>
      <c r="E379">
        <v>0</v>
      </c>
      <c r="F379">
        <v>0</v>
      </c>
      <c r="G379" t="s">
        <v>2</v>
      </c>
      <c r="H379" cm="1">
        <f t="array" ref="H379">sentimentCalc(B379)</f>
        <v>10</v>
      </c>
      <c r="I379" s="5" t="str" cm="1">
        <f t="array" ref="I379">sentimentCategory(H379)</f>
        <v>Positive</v>
      </c>
    </row>
    <row r="380" spans="1:9" x14ac:dyDescent="0.2">
      <c r="A380" s="3">
        <v>45345.921492997688</v>
      </c>
      <c r="B380" t="s">
        <v>511</v>
      </c>
      <c r="C380" t="s">
        <v>512</v>
      </c>
      <c r="E380">
        <v>0</v>
      </c>
      <c r="F380">
        <v>1</v>
      </c>
      <c r="G380" t="s">
        <v>2</v>
      </c>
      <c r="H380" cm="1">
        <f t="array" ref="H380">sentimentCalc(B380)</f>
        <v>-20</v>
      </c>
      <c r="I380" s="5" t="str" cm="1">
        <f t="array" ref="I380">sentimentCategory(H380)</f>
        <v>Negative</v>
      </c>
    </row>
    <row r="381" spans="1:9" x14ac:dyDescent="0.2">
      <c r="A381" s="3">
        <v>45346.921492997688</v>
      </c>
      <c r="B381" t="s">
        <v>513</v>
      </c>
      <c r="C381" t="s">
        <v>7</v>
      </c>
      <c r="E381">
        <v>0</v>
      </c>
      <c r="F381">
        <v>0</v>
      </c>
      <c r="G381" t="s">
        <v>2</v>
      </c>
      <c r="H381" cm="1">
        <f t="array" ref="H381">sentimentCalc(B381)</f>
        <v>0</v>
      </c>
      <c r="I381" s="5" t="str" cm="1">
        <f t="array" ref="I381">sentimentCategory(H381)</f>
        <v>Neutral</v>
      </c>
    </row>
    <row r="382" spans="1:9" x14ac:dyDescent="0.2">
      <c r="A382" s="3">
        <v>45347.921492997688</v>
      </c>
      <c r="B382" t="s">
        <v>514</v>
      </c>
      <c r="C382" t="s">
        <v>262</v>
      </c>
      <c r="E382">
        <v>0</v>
      </c>
      <c r="F382">
        <v>0</v>
      </c>
      <c r="G382" t="s">
        <v>2</v>
      </c>
      <c r="H382" cm="1">
        <f t="array" ref="H382">sentimentCalc(B382)</f>
        <v>0</v>
      </c>
      <c r="I382" s="5" t="str" cm="1">
        <f t="array" ref="I382">sentimentCategory(H382)</f>
        <v>Neutral</v>
      </c>
    </row>
    <row r="383" spans="1:9" x14ac:dyDescent="0.2">
      <c r="A383" s="3">
        <v>45348.921492997688</v>
      </c>
      <c r="B383" t="s">
        <v>515</v>
      </c>
      <c r="C383" t="s">
        <v>143</v>
      </c>
      <c r="D383" t="s">
        <v>129</v>
      </c>
      <c r="E383">
        <v>0</v>
      </c>
      <c r="F383">
        <v>0</v>
      </c>
      <c r="G383" t="s">
        <v>2</v>
      </c>
      <c r="H383" cm="1">
        <f t="array" ref="H383">sentimentCalc(B383)</f>
        <v>20</v>
      </c>
      <c r="I383" s="5" t="str" cm="1">
        <f t="array" ref="I383">sentimentCategory(H383)</f>
        <v>Positive</v>
      </c>
    </row>
    <row r="384" spans="1:9" x14ac:dyDescent="0.2">
      <c r="A384" s="3">
        <v>45349.921492997688</v>
      </c>
      <c r="B384" t="s">
        <v>516</v>
      </c>
      <c r="C384" t="s">
        <v>517</v>
      </c>
      <c r="E384">
        <v>0</v>
      </c>
      <c r="F384">
        <v>0</v>
      </c>
      <c r="G384" t="s">
        <v>2</v>
      </c>
      <c r="H384" cm="1">
        <f t="array" ref="H384">sentimentCalc(B384)</f>
        <v>0</v>
      </c>
      <c r="I384" s="5" t="str" cm="1">
        <f t="array" ref="I384">sentimentCategory(H384)</f>
        <v>Neutral</v>
      </c>
    </row>
    <row r="385" spans="1:9" x14ac:dyDescent="0.2">
      <c r="A385" s="3">
        <v>45350.921492997688</v>
      </c>
      <c r="B385" t="s">
        <v>518</v>
      </c>
      <c r="C385" t="s">
        <v>134</v>
      </c>
      <c r="E385">
        <v>0</v>
      </c>
      <c r="F385">
        <v>0</v>
      </c>
      <c r="G385" t="s">
        <v>2</v>
      </c>
      <c r="H385" cm="1">
        <f t="array" ref="H385">sentimentCalc(B385)</f>
        <v>0</v>
      </c>
      <c r="I385" s="5" t="str" cm="1">
        <f t="array" ref="I385">sentimentCategory(H385)</f>
        <v>Neutral</v>
      </c>
    </row>
    <row r="386" spans="1:9" x14ac:dyDescent="0.2">
      <c r="A386" s="3">
        <v>45351.921492997688</v>
      </c>
      <c r="B386" t="s">
        <v>519</v>
      </c>
      <c r="C386" t="s">
        <v>520</v>
      </c>
      <c r="E386">
        <v>0</v>
      </c>
      <c r="F386">
        <v>2</v>
      </c>
      <c r="G386" t="s">
        <v>2</v>
      </c>
      <c r="H386" cm="1">
        <f t="array" ref="H386">sentimentCalc(B386)</f>
        <v>0</v>
      </c>
      <c r="I386" s="5" t="str" cm="1">
        <f t="array" ref="I386">sentimentCategory(H386)</f>
        <v>Neutral</v>
      </c>
    </row>
    <row r="387" spans="1:9" x14ac:dyDescent="0.2">
      <c r="A387" s="3">
        <v>45352.921492997688</v>
      </c>
      <c r="B387" t="s">
        <v>521</v>
      </c>
      <c r="C387" t="s">
        <v>7</v>
      </c>
      <c r="E387">
        <v>0</v>
      </c>
      <c r="F387">
        <v>0</v>
      </c>
      <c r="G387" t="s">
        <v>2</v>
      </c>
      <c r="H387" cm="1">
        <f t="array" ref="H387">sentimentCalc(B387)</f>
        <v>0</v>
      </c>
      <c r="I387" s="5" t="str" cm="1">
        <f t="array" ref="I387">sentimentCategory(H387)</f>
        <v>Neutral</v>
      </c>
    </row>
    <row r="388" spans="1:9" x14ac:dyDescent="0.2">
      <c r="A388" s="3">
        <v>45353.921492997688</v>
      </c>
      <c r="B388" t="s">
        <v>522</v>
      </c>
      <c r="C388" t="s">
        <v>7</v>
      </c>
      <c r="E388">
        <v>0</v>
      </c>
      <c r="F388">
        <v>0</v>
      </c>
      <c r="G388" t="s">
        <v>2</v>
      </c>
      <c r="H388" cm="1">
        <f t="array" ref="H388">sentimentCalc(B388)</f>
        <v>0</v>
      </c>
      <c r="I388" s="5" t="str" cm="1">
        <f t="array" ref="I388">sentimentCategory(H388)</f>
        <v>Neutral</v>
      </c>
    </row>
    <row r="389" spans="1:9" x14ac:dyDescent="0.2">
      <c r="A389" s="3">
        <v>45354.921492997688</v>
      </c>
      <c r="B389" t="s">
        <v>523</v>
      </c>
      <c r="C389" t="s">
        <v>382</v>
      </c>
      <c r="D389" t="s">
        <v>524</v>
      </c>
      <c r="E389">
        <v>0</v>
      </c>
      <c r="F389">
        <v>0</v>
      </c>
      <c r="G389" t="s">
        <v>2</v>
      </c>
      <c r="H389" cm="1">
        <f t="array" ref="H389">sentimentCalc(B389)</f>
        <v>0</v>
      </c>
      <c r="I389" s="5" t="str" cm="1">
        <f t="array" ref="I389">sentimentCategory(H389)</f>
        <v>Neutral</v>
      </c>
    </row>
    <row r="390" spans="1:9" x14ac:dyDescent="0.2">
      <c r="A390" s="3">
        <v>45355.921492997688</v>
      </c>
      <c r="B390" t="s">
        <v>525</v>
      </c>
      <c r="C390" t="s">
        <v>526</v>
      </c>
      <c r="E390">
        <v>0</v>
      </c>
      <c r="F390">
        <v>0</v>
      </c>
      <c r="G390" t="s">
        <v>2</v>
      </c>
      <c r="H390" cm="1">
        <f t="array" ref="H390">sentimentCalc(B390)</f>
        <v>0</v>
      </c>
      <c r="I390" s="5" t="str" cm="1">
        <f t="array" ref="I390">sentimentCategory(H390)</f>
        <v>Neutral</v>
      </c>
    </row>
    <row r="391" spans="1:9" x14ac:dyDescent="0.2">
      <c r="A391" s="3">
        <v>45356.921492997688</v>
      </c>
      <c r="B391" t="s">
        <v>527</v>
      </c>
      <c r="C391" t="s">
        <v>528</v>
      </c>
      <c r="D391" t="s">
        <v>529</v>
      </c>
      <c r="E391">
        <v>0</v>
      </c>
      <c r="F391">
        <v>0</v>
      </c>
      <c r="G391" t="s">
        <v>2</v>
      </c>
      <c r="H391" cm="1">
        <f t="array" ref="H391">sentimentCalc(B391)</f>
        <v>0</v>
      </c>
      <c r="I391" s="5" t="str" cm="1">
        <f t="array" ref="I391">sentimentCategory(H391)</f>
        <v>Neutral</v>
      </c>
    </row>
    <row r="392" spans="1:9" x14ac:dyDescent="0.2">
      <c r="A392" s="3">
        <v>45357.921492997688</v>
      </c>
      <c r="B392" t="s">
        <v>530</v>
      </c>
      <c r="C392" t="s">
        <v>531</v>
      </c>
      <c r="D392" t="s">
        <v>532</v>
      </c>
      <c r="E392">
        <v>0</v>
      </c>
      <c r="F392">
        <v>2</v>
      </c>
      <c r="G392" t="s">
        <v>2</v>
      </c>
      <c r="H392" cm="1">
        <f t="array" ref="H392">sentimentCalc(B392)</f>
        <v>0</v>
      </c>
      <c r="I392" s="5" t="str" cm="1">
        <f t="array" ref="I392">sentimentCategory(H392)</f>
        <v>Neutral</v>
      </c>
    </row>
    <row r="393" spans="1:9" x14ac:dyDescent="0.2">
      <c r="A393" s="3"/>
      <c r="H393" cm="1">
        <f t="array" ref="H393">sentimentCalc(B393)</f>
        <v>0</v>
      </c>
      <c r="I393" s="5" t="str" cm="1">
        <f t="array" ref="I393">sentimentCategory(H393)</f>
        <v>Neutral</v>
      </c>
    </row>
    <row r="394" spans="1:9" x14ac:dyDescent="0.2">
      <c r="A394" s="3">
        <v>45359.921492997688</v>
      </c>
      <c r="B394" t="s">
        <v>533</v>
      </c>
      <c r="C394" t="s">
        <v>535</v>
      </c>
      <c r="E394">
        <v>0</v>
      </c>
      <c r="F394">
        <v>0</v>
      </c>
      <c r="G394" t="s">
        <v>2</v>
      </c>
      <c r="H394" cm="1">
        <f t="array" ref="H394">sentimentCalc(B394)</f>
        <v>10</v>
      </c>
      <c r="I394" s="5" t="str" cm="1">
        <f t="array" ref="I394">sentimentCategory(H394)</f>
        <v>Positive</v>
      </c>
    </row>
    <row r="395" spans="1:9" x14ac:dyDescent="0.2">
      <c r="A395" s="3">
        <v>45360.921492997688</v>
      </c>
      <c r="B395" t="s">
        <v>536</v>
      </c>
      <c r="C395" t="s">
        <v>7</v>
      </c>
      <c r="E395">
        <v>0</v>
      </c>
      <c r="F395">
        <v>0</v>
      </c>
      <c r="G395" t="s">
        <v>2</v>
      </c>
      <c r="H395" cm="1">
        <f t="array" ref="H395">sentimentCalc(B395)</f>
        <v>0</v>
      </c>
      <c r="I395" s="5" t="str" cm="1">
        <f t="array" ref="I395">sentimentCategory(H395)</f>
        <v>Neutral</v>
      </c>
    </row>
    <row r="396" spans="1:9" x14ac:dyDescent="0.2">
      <c r="A396" s="3"/>
      <c r="H396" cm="1">
        <f t="array" ref="H396">sentimentCalc(B396)</f>
        <v>0</v>
      </c>
      <c r="I396" s="5" t="str" cm="1">
        <f t="array" ref="I396">sentimentCategory(H396)</f>
        <v>Neutral</v>
      </c>
    </row>
    <row r="397" spans="1:9" x14ac:dyDescent="0.2">
      <c r="A397" s="3">
        <v>45362.921492997688</v>
      </c>
      <c r="B397" t="s">
        <v>218</v>
      </c>
      <c r="C397" t="s">
        <v>22</v>
      </c>
      <c r="E397">
        <v>0</v>
      </c>
      <c r="F397">
        <v>0</v>
      </c>
      <c r="G397" t="s">
        <v>2</v>
      </c>
      <c r="H397" cm="1">
        <f t="array" ref="H397">sentimentCalc(B397)</f>
        <v>0</v>
      </c>
      <c r="I397" s="5" t="str" cm="1">
        <f t="array" ref="I397">sentimentCategory(H397)</f>
        <v>Neutral</v>
      </c>
    </row>
    <row r="398" spans="1:9" x14ac:dyDescent="0.2">
      <c r="A398" s="3">
        <v>45363.921492997688</v>
      </c>
      <c r="B398" t="s">
        <v>537</v>
      </c>
      <c r="C398" t="s">
        <v>149</v>
      </c>
      <c r="D398" t="s">
        <v>150</v>
      </c>
      <c r="E398">
        <v>0</v>
      </c>
      <c r="F398">
        <v>0</v>
      </c>
      <c r="G398" t="s">
        <v>2</v>
      </c>
      <c r="H398" cm="1">
        <f t="array" ref="H398">sentimentCalc(B398)</f>
        <v>0</v>
      </c>
      <c r="I398" s="5" t="str" cm="1">
        <f t="array" ref="I398">sentimentCategory(H398)</f>
        <v>Neutral</v>
      </c>
    </row>
    <row r="399" spans="1:9" x14ac:dyDescent="0.2">
      <c r="A399" s="3">
        <v>45364.921492997688</v>
      </c>
      <c r="B399" t="s">
        <v>538</v>
      </c>
      <c r="C399" t="s">
        <v>98</v>
      </c>
      <c r="D399" t="s">
        <v>13</v>
      </c>
      <c r="E399">
        <v>0</v>
      </c>
      <c r="F399">
        <v>0</v>
      </c>
      <c r="G399" t="s">
        <v>2</v>
      </c>
      <c r="H399" cm="1">
        <f t="array" ref="H399">sentimentCalc(B399)</f>
        <v>10</v>
      </c>
      <c r="I399" s="5" t="str" cm="1">
        <f t="array" ref="I399">sentimentCategory(H399)</f>
        <v>Positive</v>
      </c>
    </row>
    <row r="400" spans="1:9" x14ac:dyDescent="0.2">
      <c r="A400" s="3">
        <v>45365.921492997688</v>
      </c>
      <c r="B400" t="s">
        <v>539</v>
      </c>
      <c r="C400" t="s">
        <v>98</v>
      </c>
      <c r="D400" t="s">
        <v>13</v>
      </c>
      <c r="E400">
        <v>0</v>
      </c>
      <c r="F400">
        <v>0</v>
      </c>
      <c r="G400" t="s">
        <v>2</v>
      </c>
      <c r="H400" cm="1">
        <f t="array" ref="H400">sentimentCalc(B400)</f>
        <v>0</v>
      </c>
      <c r="I400" s="5" t="str" cm="1">
        <f t="array" ref="I400">sentimentCategory(H400)</f>
        <v>Neutral</v>
      </c>
    </row>
    <row r="401" spans="1:9" x14ac:dyDescent="0.2">
      <c r="A401" s="3">
        <v>45366.921492997688</v>
      </c>
      <c r="B401" t="s">
        <v>540</v>
      </c>
      <c r="C401" t="s">
        <v>98</v>
      </c>
      <c r="D401" t="s">
        <v>13</v>
      </c>
      <c r="E401">
        <v>0</v>
      </c>
      <c r="F401">
        <v>0</v>
      </c>
      <c r="G401" t="s">
        <v>2</v>
      </c>
      <c r="H401" cm="1">
        <f t="array" ref="H401">sentimentCalc(B401)</f>
        <v>0</v>
      </c>
      <c r="I401" s="5" t="str" cm="1">
        <f t="array" ref="I401">sentimentCategory(H401)</f>
        <v>Neutral</v>
      </c>
    </row>
    <row r="402" spans="1:9" x14ac:dyDescent="0.2">
      <c r="A402" s="3">
        <v>45367.921492997688</v>
      </c>
      <c r="B402" t="s">
        <v>541</v>
      </c>
      <c r="C402" t="s">
        <v>542</v>
      </c>
      <c r="D402" t="s">
        <v>543</v>
      </c>
      <c r="E402">
        <v>0</v>
      </c>
      <c r="F402">
        <v>1</v>
      </c>
      <c r="G402" t="s">
        <v>2</v>
      </c>
      <c r="H402" cm="1">
        <f t="array" ref="H402">sentimentCalc(B402)</f>
        <v>0</v>
      </c>
      <c r="I402" s="5" t="str" cm="1">
        <f t="array" ref="I402">sentimentCategory(H402)</f>
        <v>Neutral</v>
      </c>
    </row>
    <row r="403" spans="1:9" x14ac:dyDescent="0.2">
      <c r="A403" s="3">
        <v>45368.921492997688</v>
      </c>
      <c r="B403" t="s">
        <v>40</v>
      </c>
      <c r="C403" t="s">
        <v>542</v>
      </c>
      <c r="D403" t="s">
        <v>543</v>
      </c>
      <c r="E403">
        <v>0</v>
      </c>
      <c r="F403">
        <v>0</v>
      </c>
      <c r="G403" t="s">
        <v>2</v>
      </c>
      <c r="H403" cm="1">
        <f t="array" ref="H403">sentimentCalc(B403)</f>
        <v>0</v>
      </c>
      <c r="I403" s="5" t="str" cm="1">
        <f t="array" ref="I403">sentimentCategory(H403)</f>
        <v>Neutral</v>
      </c>
    </row>
    <row r="404" spans="1:9" x14ac:dyDescent="0.2">
      <c r="A404" s="3">
        <v>45369.921492997688</v>
      </c>
      <c r="B404" t="s">
        <v>544</v>
      </c>
      <c r="C404" t="s">
        <v>542</v>
      </c>
      <c r="D404" t="s">
        <v>543</v>
      </c>
      <c r="E404">
        <v>1</v>
      </c>
      <c r="F404">
        <v>0</v>
      </c>
      <c r="G404" t="s">
        <v>2</v>
      </c>
      <c r="H404" cm="1">
        <f t="array" ref="H404">sentimentCalc(B404)</f>
        <v>0</v>
      </c>
      <c r="I404" s="5" t="str" cm="1">
        <f t="array" ref="I404">sentimentCategory(H404)</f>
        <v>Neutral</v>
      </c>
    </row>
    <row r="405" spans="1:9" x14ac:dyDescent="0.2">
      <c r="A405" s="3">
        <v>45370.921492997688</v>
      </c>
      <c r="B405" t="s">
        <v>545</v>
      </c>
      <c r="C405" t="s">
        <v>546</v>
      </c>
      <c r="D405" t="s">
        <v>547</v>
      </c>
      <c r="E405">
        <v>0</v>
      </c>
      <c r="F405">
        <v>0</v>
      </c>
      <c r="G405" t="s">
        <v>2</v>
      </c>
      <c r="H405" cm="1">
        <f t="array" ref="H405">sentimentCalc(B405)</f>
        <v>0</v>
      </c>
      <c r="I405" s="5" t="str" cm="1">
        <f t="array" ref="I405">sentimentCategory(H405)</f>
        <v>Neutral</v>
      </c>
    </row>
    <row r="406" spans="1:9" x14ac:dyDescent="0.2">
      <c r="A406" s="3">
        <v>45371.921492997688</v>
      </c>
      <c r="B406" t="s">
        <v>548</v>
      </c>
      <c r="C406" t="s">
        <v>549</v>
      </c>
      <c r="D406" t="s">
        <v>550</v>
      </c>
      <c r="E406">
        <v>0</v>
      </c>
      <c r="F406">
        <v>0</v>
      </c>
      <c r="G406" t="s">
        <v>2</v>
      </c>
      <c r="H406" cm="1">
        <f t="array" ref="H406">sentimentCalc(B406)</f>
        <v>0</v>
      </c>
      <c r="I406" s="5" t="str" cm="1">
        <f t="array" ref="I406">sentimentCategory(H406)</f>
        <v>Neutral</v>
      </c>
    </row>
    <row r="407" spans="1:9" x14ac:dyDescent="0.2">
      <c r="A407" s="3">
        <v>45372.921492997688</v>
      </c>
      <c r="B407" t="s">
        <v>551</v>
      </c>
      <c r="C407" t="s">
        <v>552</v>
      </c>
      <c r="D407" t="s">
        <v>553</v>
      </c>
      <c r="E407">
        <v>1</v>
      </c>
      <c r="F407">
        <v>1</v>
      </c>
      <c r="G407" t="s">
        <v>2</v>
      </c>
      <c r="H407" cm="1">
        <f t="array" ref="H407">sentimentCalc(B407)</f>
        <v>0</v>
      </c>
      <c r="I407" s="5" t="str" cm="1">
        <f t="array" ref="I407">sentimentCategory(H407)</f>
        <v>Neutral</v>
      </c>
    </row>
    <row r="408" spans="1:9" x14ac:dyDescent="0.2">
      <c r="A408" s="3"/>
      <c r="H408" cm="1">
        <f t="array" ref="H408">sentimentCalc(B408)</f>
        <v>0</v>
      </c>
      <c r="I408" s="5" t="str" cm="1">
        <f t="array" ref="I408">sentimentCategory(H408)</f>
        <v>Neutral</v>
      </c>
    </row>
    <row r="409" spans="1:9" x14ac:dyDescent="0.2">
      <c r="A409" s="3">
        <v>45374.921492997688</v>
      </c>
      <c r="B409" t="s">
        <v>554</v>
      </c>
      <c r="C409" t="s">
        <v>33</v>
      </c>
      <c r="D409" t="s">
        <v>34</v>
      </c>
      <c r="E409">
        <v>0</v>
      </c>
      <c r="F409">
        <v>0</v>
      </c>
      <c r="G409" t="s">
        <v>2</v>
      </c>
      <c r="H409" cm="1">
        <f t="array" ref="H409">sentimentCalc(B409)</f>
        <v>0</v>
      </c>
      <c r="I409" s="5" t="str" cm="1">
        <f t="array" ref="I409">sentimentCategory(H409)</f>
        <v>Neutral</v>
      </c>
    </row>
    <row r="410" spans="1:9" x14ac:dyDescent="0.2">
      <c r="A410" s="3">
        <v>45375.921492997688</v>
      </c>
      <c r="B410" t="s">
        <v>36</v>
      </c>
      <c r="C410" t="s">
        <v>33</v>
      </c>
      <c r="D410" t="s">
        <v>34</v>
      </c>
      <c r="E410">
        <v>0</v>
      </c>
      <c r="F410">
        <v>0</v>
      </c>
      <c r="G410" t="s">
        <v>2</v>
      </c>
      <c r="H410" cm="1">
        <f t="array" ref="H410">sentimentCalc(B410)</f>
        <v>10</v>
      </c>
      <c r="I410" s="5" t="str" cm="1">
        <f t="array" ref="I410">sentimentCategory(H410)</f>
        <v>Positive</v>
      </c>
    </row>
    <row r="411" spans="1:9" x14ac:dyDescent="0.2">
      <c r="A411" s="3">
        <v>45376.921492997688</v>
      </c>
      <c r="B411" t="s">
        <v>37</v>
      </c>
      <c r="C411" t="s">
        <v>33</v>
      </c>
      <c r="D411" t="s">
        <v>34</v>
      </c>
      <c r="E411">
        <v>0</v>
      </c>
      <c r="F411">
        <v>0</v>
      </c>
      <c r="G411" t="s">
        <v>2</v>
      </c>
      <c r="H411" cm="1">
        <f t="array" ref="H411">sentimentCalc(B411)</f>
        <v>0</v>
      </c>
      <c r="I411" s="5" t="str" cm="1">
        <f t="array" ref="I411">sentimentCategory(H411)</f>
        <v>Neutral</v>
      </c>
    </row>
    <row r="412" spans="1:9" x14ac:dyDescent="0.2">
      <c r="A412" s="3">
        <v>45377.921492997688</v>
      </c>
      <c r="B412" t="s">
        <v>555</v>
      </c>
      <c r="C412" t="s">
        <v>7</v>
      </c>
      <c r="E412">
        <v>0</v>
      </c>
      <c r="F412">
        <v>0</v>
      </c>
      <c r="G412" t="s">
        <v>2</v>
      </c>
      <c r="H412" cm="1">
        <f t="array" ref="H412">sentimentCalc(B412)</f>
        <v>0</v>
      </c>
      <c r="I412" s="5" t="str" cm="1">
        <f t="array" ref="I412">sentimentCategory(H412)</f>
        <v>Neutral</v>
      </c>
    </row>
    <row r="413" spans="1:9" x14ac:dyDescent="0.2">
      <c r="A413" s="3">
        <v>45378.921492997688</v>
      </c>
      <c r="B413" t="s">
        <v>3</v>
      </c>
      <c r="C413" t="s">
        <v>4</v>
      </c>
      <c r="D413" t="s">
        <v>5</v>
      </c>
      <c r="E413">
        <v>0</v>
      </c>
      <c r="F413">
        <v>0</v>
      </c>
      <c r="G413" t="s">
        <v>2</v>
      </c>
      <c r="H413" cm="1">
        <f t="array" ref="H413">sentimentCalc(B413)</f>
        <v>0</v>
      </c>
      <c r="I413" s="5" t="str" cm="1">
        <f t="array" ref="I413">sentimentCategory(H413)</f>
        <v>Neutral</v>
      </c>
    </row>
    <row r="414" spans="1:9" x14ac:dyDescent="0.2">
      <c r="A414" s="3">
        <v>45379.921492997688</v>
      </c>
      <c r="B414" t="s">
        <v>556</v>
      </c>
      <c r="C414" t="s">
        <v>557</v>
      </c>
      <c r="D414" t="s">
        <v>558</v>
      </c>
      <c r="E414">
        <v>0</v>
      </c>
      <c r="F414">
        <v>5</v>
      </c>
      <c r="G414" t="s">
        <v>2</v>
      </c>
      <c r="H414" cm="1">
        <f t="array" ref="H414">sentimentCalc(B414)</f>
        <v>10</v>
      </c>
      <c r="I414" s="5" t="str" cm="1">
        <f t="array" ref="I414">sentimentCategory(H414)</f>
        <v>Positive</v>
      </c>
    </row>
    <row r="415" spans="1:9" x14ac:dyDescent="0.2">
      <c r="A415" s="3">
        <v>45380.921492997688</v>
      </c>
      <c r="B415" t="s">
        <v>559</v>
      </c>
      <c r="C415" t="s">
        <v>560</v>
      </c>
      <c r="D415" t="s">
        <v>278</v>
      </c>
      <c r="E415">
        <v>0</v>
      </c>
      <c r="F415">
        <v>0</v>
      </c>
      <c r="G415" t="s">
        <v>2</v>
      </c>
      <c r="H415" cm="1">
        <f t="array" ref="H415">sentimentCalc(B415)</f>
        <v>0</v>
      </c>
      <c r="I415" s="5" t="str" cm="1">
        <f t="array" ref="I415">sentimentCategory(H415)</f>
        <v>Neutral</v>
      </c>
    </row>
    <row r="416" spans="1:9" x14ac:dyDescent="0.2">
      <c r="A416" s="3">
        <v>45381.921492997688</v>
      </c>
      <c r="B416" t="s">
        <v>561</v>
      </c>
      <c r="C416" t="s">
        <v>439</v>
      </c>
      <c r="D416" t="s">
        <v>562</v>
      </c>
      <c r="E416">
        <v>0</v>
      </c>
      <c r="F416">
        <v>0</v>
      </c>
      <c r="G416" t="s">
        <v>2</v>
      </c>
      <c r="H416" cm="1">
        <f t="array" ref="H416">sentimentCalc(B416)</f>
        <v>20</v>
      </c>
      <c r="I416" s="5" t="str" cm="1">
        <f t="array" ref="I416">sentimentCategory(H416)</f>
        <v>Positive</v>
      </c>
    </row>
    <row r="417" spans="1:9" x14ac:dyDescent="0.2">
      <c r="A417" s="3">
        <v>45382.921492997688</v>
      </c>
      <c r="B417" t="s">
        <v>563</v>
      </c>
      <c r="C417" t="s">
        <v>12</v>
      </c>
      <c r="D417" t="s">
        <v>13</v>
      </c>
      <c r="E417">
        <v>0</v>
      </c>
      <c r="F417">
        <v>0</v>
      </c>
      <c r="G417" t="s">
        <v>2</v>
      </c>
      <c r="H417" cm="1">
        <f t="array" ref="H417">sentimentCalc(B417)</f>
        <v>10</v>
      </c>
      <c r="I417" s="5" t="str" cm="1">
        <f t="array" ref="I417">sentimentCategory(H417)</f>
        <v>Positive</v>
      </c>
    </row>
    <row r="418" spans="1:9" x14ac:dyDescent="0.2">
      <c r="A418" s="3">
        <v>45383.921492997688</v>
      </c>
      <c r="B418" t="s">
        <v>564</v>
      </c>
      <c r="C418" t="s">
        <v>7</v>
      </c>
      <c r="E418">
        <v>0</v>
      </c>
      <c r="F418">
        <v>0</v>
      </c>
      <c r="G418" t="s">
        <v>2</v>
      </c>
      <c r="H418" cm="1">
        <f t="array" ref="H418">sentimentCalc(B418)</f>
        <v>0</v>
      </c>
      <c r="I418" s="5" t="str" cm="1">
        <f t="array" ref="I418">sentimentCategory(H418)</f>
        <v>Neutral</v>
      </c>
    </row>
    <row r="419" spans="1:9" x14ac:dyDescent="0.2">
      <c r="A419" s="3">
        <v>45384.921492997688</v>
      </c>
      <c r="B419" t="s">
        <v>565</v>
      </c>
      <c r="C419" t="s">
        <v>566</v>
      </c>
      <c r="D419" t="s">
        <v>567</v>
      </c>
      <c r="E419">
        <v>0</v>
      </c>
      <c r="F419">
        <v>1</v>
      </c>
      <c r="G419" t="s">
        <v>2</v>
      </c>
      <c r="H419" cm="1">
        <f t="array" ref="H419">sentimentCalc(B419)</f>
        <v>0</v>
      </c>
      <c r="I419" s="5" t="str" cm="1">
        <f t="array" ref="I419">sentimentCategory(H419)</f>
        <v>Neutral</v>
      </c>
    </row>
    <row r="420" spans="1:9" x14ac:dyDescent="0.2">
      <c r="A420" s="3">
        <v>45385.921492997688</v>
      </c>
      <c r="B420" t="s">
        <v>568</v>
      </c>
      <c r="C420" t="s">
        <v>569</v>
      </c>
      <c r="E420">
        <v>0</v>
      </c>
      <c r="F420">
        <v>0</v>
      </c>
      <c r="G420" t="s">
        <v>2</v>
      </c>
      <c r="H420" cm="1">
        <f t="array" ref="H420">sentimentCalc(B420)</f>
        <v>0</v>
      </c>
      <c r="I420" s="5" t="str" cm="1">
        <f t="array" ref="I420">sentimentCategory(H420)</f>
        <v>Neutral</v>
      </c>
    </row>
    <row r="421" spans="1:9" x14ac:dyDescent="0.2">
      <c r="A421" s="3">
        <v>45386.921492997688</v>
      </c>
      <c r="B421" t="s">
        <v>541</v>
      </c>
      <c r="C421" t="s">
        <v>102</v>
      </c>
      <c r="D421" t="s">
        <v>103</v>
      </c>
      <c r="E421">
        <v>0</v>
      </c>
      <c r="F421">
        <v>0</v>
      </c>
      <c r="G421" t="s">
        <v>2</v>
      </c>
      <c r="H421" cm="1">
        <f t="array" ref="H421">sentimentCalc(B421)</f>
        <v>0</v>
      </c>
      <c r="I421" s="5" t="str" cm="1">
        <f t="array" ref="I421">sentimentCategory(H421)</f>
        <v>Neutral</v>
      </c>
    </row>
    <row r="422" spans="1:9" x14ac:dyDescent="0.2">
      <c r="A422" s="3"/>
      <c r="H422" cm="1">
        <f t="array" ref="H422">sentimentCalc(B422)</f>
        <v>0</v>
      </c>
      <c r="I422" s="5" t="str" cm="1">
        <f t="array" ref="I422">sentimentCategory(H422)</f>
        <v>Neutral</v>
      </c>
    </row>
    <row r="423" spans="1:9" x14ac:dyDescent="0.2">
      <c r="A423" s="3">
        <v>45388.921492997688</v>
      </c>
      <c r="B423" t="s">
        <v>571</v>
      </c>
      <c r="C423" t="s">
        <v>7</v>
      </c>
      <c r="E423">
        <v>0</v>
      </c>
      <c r="F423">
        <v>0</v>
      </c>
      <c r="G423" t="s">
        <v>2</v>
      </c>
      <c r="H423" cm="1">
        <f t="array" ref="H423">sentimentCalc(B423)</f>
        <v>0</v>
      </c>
      <c r="I423" s="5" t="str" cm="1">
        <f t="array" ref="I423">sentimentCategory(H423)</f>
        <v>Neutral</v>
      </c>
    </row>
    <row r="424" spans="1:9" x14ac:dyDescent="0.2">
      <c r="A424" s="3">
        <v>45389.921492997688</v>
      </c>
      <c r="B424" t="s">
        <v>572</v>
      </c>
      <c r="C424" t="s">
        <v>573</v>
      </c>
      <c r="D424" t="s">
        <v>574</v>
      </c>
      <c r="E424">
        <v>0</v>
      </c>
      <c r="F424">
        <v>1</v>
      </c>
      <c r="G424" t="s">
        <v>2</v>
      </c>
      <c r="H424" cm="1">
        <f t="array" ref="H424">sentimentCalc(B424)</f>
        <v>0</v>
      </c>
      <c r="I424" s="5" t="str" cm="1">
        <f t="array" ref="I424">sentimentCategory(H424)</f>
        <v>Neutral</v>
      </c>
    </row>
    <row r="425" spans="1:9" x14ac:dyDescent="0.2">
      <c r="A425" s="3">
        <v>45390.921492997688</v>
      </c>
      <c r="B425" t="s">
        <v>575</v>
      </c>
      <c r="C425" t="s">
        <v>12</v>
      </c>
      <c r="D425" t="s">
        <v>13</v>
      </c>
      <c r="E425">
        <v>0</v>
      </c>
      <c r="F425">
        <v>0</v>
      </c>
      <c r="G425" t="s">
        <v>2</v>
      </c>
      <c r="H425" cm="1">
        <f t="array" ref="H425">sentimentCalc(B425)</f>
        <v>0</v>
      </c>
      <c r="I425" s="5" t="str" cm="1">
        <f t="array" ref="I425">sentimentCategory(H425)</f>
        <v>Neutral</v>
      </c>
    </row>
    <row r="426" spans="1:9" x14ac:dyDescent="0.2">
      <c r="A426" s="3">
        <v>45391.921492997688</v>
      </c>
      <c r="B426" t="s">
        <v>576</v>
      </c>
      <c r="C426" t="s">
        <v>577</v>
      </c>
      <c r="D426" t="s">
        <v>55</v>
      </c>
      <c r="E426">
        <v>0</v>
      </c>
      <c r="F426">
        <v>0</v>
      </c>
      <c r="G426" t="s">
        <v>2</v>
      </c>
      <c r="H426" cm="1">
        <f t="array" ref="H426">sentimentCalc(B426)</f>
        <v>10</v>
      </c>
      <c r="I426" s="5" t="str" cm="1">
        <f t="array" ref="I426">sentimentCategory(H426)</f>
        <v>Positive</v>
      </c>
    </row>
    <row r="427" spans="1:9" x14ac:dyDescent="0.2">
      <c r="A427" s="3"/>
      <c r="H427" cm="1">
        <f t="array" ref="H427">sentimentCalc(B427)</f>
        <v>0</v>
      </c>
      <c r="I427" s="5" t="str" cm="1">
        <f t="array" ref="I427">sentimentCategory(H427)</f>
        <v>Neutral</v>
      </c>
    </row>
    <row r="428" spans="1:9" x14ac:dyDescent="0.2">
      <c r="A428" s="3"/>
      <c r="H428" cm="1">
        <f t="array" ref="H428">sentimentCalc(B428)</f>
        <v>0</v>
      </c>
      <c r="I428" s="5" t="str" cm="1">
        <f t="array" ref="I428">sentimentCategory(H428)</f>
        <v>Neutral</v>
      </c>
    </row>
    <row r="429" spans="1:9" x14ac:dyDescent="0.2">
      <c r="A429" s="3">
        <v>45394.921492997688</v>
      </c>
      <c r="B429" t="s">
        <v>580</v>
      </c>
      <c r="C429" t="s">
        <v>7</v>
      </c>
      <c r="E429">
        <v>0</v>
      </c>
      <c r="F429">
        <v>0</v>
      </c>
      <c r="G429" t="s">
        <v>2</v>
      </c>
      <c r="H429" cm="1">
        <f t="array" ref="H429">sentimentCalc(B429)</f>
        <v>0</v>
      </c>
      <c r="I429" s="5" t="str" cm="1">
        <f t="array" ref="I429">sentimentCategory(H429)</f>
        <v>Neutral</v>
      </c>
    </row>
    <row r="430" spans="1:9" x14ac:dyDescent="0.2">
      <c r="A430" s="3">
        <v>45395.921492997688</v>
      </c>
      <c r="B430" t="s">
        <v>581</v>
      </c>
      <c r="C430" t="s">
        <v>582</v>
      </c>
      <c r="D430" t="s">
        <v>55</v>
      </c>
      <c r="E430">
        <v>0</v>
      </c>
      <c r="F430">
        <v>0</v>
      </c>
      <c r="G430" t="s">
        <v>2</v>
      </c>
      <c r="H430" cm="1">
        <f t="array" ref="H430">sentimentCalc(B430)</f>
        <v>0</v>
      </c>
      <c r="I430" s="5" t="str" cm="1">
        <f t="array" ref="I430">sentimentCategory(H430)</f>
        <v>Neutral</v>
      </c>
    </row>
    <row r="431" spans="1:9" x14ac:dyDescent="0.2">
      <c r="A431" s="3">
        <v>45396.921492997688</v>
      </c>
      <c r="B431" t="s">
        <v>583</v>
      </c>
      <c r="C431" t="s">
        <v>7</v>
      </c>
      <c r="E431">
        <v>0</v>
      </c>
      <c r="F431">
        <v>0</v>
      </c>
      <c r="G431" t="s">
        <v>2</v>
      </c>
      <c r="H431" cm="1">
        <f t="array" ref="H431">sentimentCalc(B431)</f>
        <v>0</v>
      </c>
      <c r="I431" s="5" t="str" cm="1">
        <f t="array" ref="I431">sentimentCategory(H431)</f>
        <v>Neutral</v>
      </c>
    </row>
    <row r="432" spans="1:9" x14ac:dyDescent="0.2">
      <c r="A432" s="3">
        <v>45397.921492997688</v>
      </c>
      <c r="B432" t="s">
        <v>584</v>
      </c>
      <c r="C432" t="s">
        <v>108</v>
      </c>
      <c r="D432" t="s">
        <v>585</v>
      </c>
      <c r="E432">
        <v>0</v>
      </c>
      <c r="F432">
        <v>6</v>
      </c>
      <c r="G432" t="s">
        <v>2</v>
      </c>
      <c r="H432" cm="1">
        <f t="array" ref="H432">sentimentCalc(B432)</f>
        <v>0</v>
      </c>
      <c r="I432" s="5" t="str" cm="1">
        <f t="array" ref="I432">sentimentCategory(H432)</f>
        <v>Neutral</v>
      </c>
    </row>
    <row r="433" spans="1:9" x14ac:dyDescent="0.2">
      <c r="A433" s="3">
        <v>45398.921492997688</v>
      </c>
      <c r="B433" t="s">
        <v>586</v>
      </c>
      <c r="C433" t="s">
        <v>7</v>
      </c>
      <c r="E433">
        <v>0</v>
      </c>
      <c r="F433">
        <v>0</v>
      </c>
      <c r="G433" t="s">
        <v>2</v>
      </c>
      <c r="H433" cm="1">
        <f t="array" ref="H433">sentimentCalc(B433)</f>
        <v>0</v>
      </c>
      <c r="I433" s="5" t="str" cm="1">
        <f t="array" ref="I433">sentimentCategory(H433)</f>
        <v>Neutral</v>
      </c>
    </row>
    <row r="434" spans="1:9" x14ac:dyDescent="0.2">
      <c r="A434" s="3">
        <v>45399.921492997688</v>
      </c>
      <c r="B434" t="s">
        <v>587</v>
      </c>
      <c r="C434" t="s">
        <v>588</v>
      </c>
      <c r="D434" t="s">
        <v>589</v>
      </c>
      <c r="E434">
        <v>0</v>
      </c>
      <c r="F434">
        <v>15</v>
      </c>
      <c r="G434" t="s">
        <v>2</v>
      </c>
      <c r="H434" cm="1">
        <f t="array" ref="H434">sentimentCalc(B434)</f>
        <v>0</v>
      </c>
      <c r="I434" s="5" t="str" cm="1">
        <f t="array" ref="I434">sentimentCategory(H434)</f>
        <v>Neutral</v>
      </c>
    </row>
    <row r="435" spans="1:9" x14ac:dyDescent="0.2">
      <c r="A435" s="3">
        <v>45400.921492997688</v>
      </c>
      <c r="B435" t="s">
        <v>590</v>
      </c>
      <c r="C435" t="s">
        <v>134</v>
      </c>
      <c r="E435">
        <v>0</v>
      </c>
      <c r="F435">
        <v>0</v>
      </c>
      <c r="G435" t="s">
        <v>2</v>
      </c>
      <c r="H435" cm="1">
        <f t="array" ref="H435">sentimentCalc(B435)</f>
        <v>0</v>
      </c>
      <c r="I435" s="5" t="str" cm="1">
        <f t="array" ref="I435">sentimentCategory(H435)</f>
        <v>Neutral</v>
      </c>
    </row>
    <row r="436" spans="1:9" x14ac:dyDescent="0.2">
      <c r="A436" s="3">
        <v>45401.921492997688</v>
      </c>
      <c r="B436" t="s">
        <v>591</v>
      </c>
      <c r="C436" t="s">
        <v>7</v>
      </c>
      <c r="E436">
        <v>0</v>
      </c>
      <c r="F436">
        <v>0</v>
      </c>
      <c r="G436" t="s">
        <v>2</v>
      </c>
      <c r="H436" cm="1">
        <f t="array" ref="H436">sentimentCalc(B436)</f>
        <v>0</v>
      </c>
      <c r="I436" s="5" t="str" cm="1">
        <f t="array" ref="I436">sentimentCategory(H436)</f>
        <v>Neutral</v>
      </c>
    </row>
    <row r="437" spans="1:9" x14ac:dyDescent="0.2">
      <c r="A437" s="3">
        <v>45402.921492997688</v>
      </c>
      <c r="B437" t="s">
        <v>592</v>
      </c>
      <c r="C437" t="s">
        <v>593</v>
      </c>
      <c r="D437" t="s">
        <v>594</v>
      </c>
      <c r="E437">
        <v>0</v>
      </c>
      <c r="F437">
        <v>0</v>
      </c>
      <c r="G437" t="s">
        <v>2</v>
      </c>
      <c r="H437" cm="1">
        <f t="array" ref="H437">sentimentCalc(B437)</f>
        <v>0</v>
      </c>
      <c r="I437" s="5" t="str" cm="1">
        <f t="array" ref="I437">sentimentCategory(H437)</f>
        <v>Neutral</v>
      </c>
    </row>
    <row r="438" spans="1:9" x14ac:dyDescent="0.2">
      <c r="A438" s="3">
        <v>45403.921492997688</v>
      </c>
      <c r="B438" t="s">
        <v>595</v>
      </c>
      <c r="C438" t="s">
        <v>33</v>
      </c>
      <c r="D438" t="s">
        <v>34</v>
      </c>
      <c r="E438">
        <v>0</v>
      </c>
      <c r="F438">
        <v>0</v>
      </c>
      <c r="G438" t="s">
        <v>2</v>
      </c>
      <c r="H438" cm="1">
        <f t="array" ref="H438">sentimentCalc(B438)</f>
        <v>0</v>
      </c>
      <c r="I438" s="5" t="str" cm="1">
        <f t="array" ref="I438">sentimentCategory(H438)</f>
        <v>Neutral</v>
      </c>
    </row>
    <row r="439" spans="1:9" x14ac:dyDescent="0.2">
      <c r="A439" s="3">
        <v>45404.921492997688</v>
      </c>
      <c r="B439" t="s">
        <v>36</v>
      </c>
      <c r="C439" t="s">
        <v>33</v>
      </c>
      <c r="D439" t="s">
        <v>34</v>
      </c>
      <c r="E439">
        <v>0</v>
      </c>
      <c r="F439">
        <v>0</v>
      </c>
      <c r="G439" t="s">
        <v>2</v>
      </c>
      <c r="H439" cm="1">
        <f t="array" ref="H439">sentimentCalc(B439)</f>
        <v>10</v>
      </c>
      <c r="I439" s="5" t="str" cm="1">
        <f t="array" ref="I439">sentimentCategory(H439)</f>
        <v>Positive</v>
      </c>
    </row>
    <row r="440" spans="1:9" x14ac:dyDescent="0.2">
      <c r="A440" s="3"/>
      <c r="H440" cm="1">
        <f t="array" ref="H440">sentimentCalc(B440)</f>
        <v>0</v>
      </c>
      <c r="I440" s="5" t="str" cm="1">
        <f t="array" ref="I440">sentimentCategory(H440)</f>
        <v>Neutral</v>
      </c>
    </row>
    <row r="441" spans="1:9" x14ac:dyDescent="0.2">
      <c r="A441" s="3">
        <v>45406.921492997688</v>
      </c>
      <c r="B441" t="s">
        <v>37</v>
      </c>
      <c r="C441" t="s">
        <v>33</v>
      </c>
      <c r="D441" t="s">
        <v>34</v>
      </c>
      <c r="E441">
        <v>0</v>
      </c>
      <c r="F441">
        <v>0</v>
      </c>
      <c r="G441" t="s">
        <v>2</v>
      </c>
      <c r="H441" cm="1">
        <f t="array" ref="H441">sentimentCalc(B441)</f>
        <v>0</v>
      </c>
      <c r="I441" s="5" t="str" cm="1">
        <f t="array" ref="I441">sentimentCategory(H441)</f>
        <v>Neutral</v>
      </c>
    </row>
    <row r="442" spans="1:9" x14ac:dyDescent="0.2">
      <c r="A442" s="3">
        <v>45407.921492997688</v>
      </c>
      <c r="B442" t="s">
        <v>287</v>
      </c>
      <c r="C442" t="s">
        <v>33</v>
      </c>
      <c r="D442" t="s">
        <v>34</v>
      </c>
      <c r="E442">
        <v>0</v>
      </c>
      <c r="F442">
        <v>0</v>
      </c>
      <c r="G442" t="s">
        <v>2</v>
      </c>
      <c r="H442" cm="1">
        <f t="array" ref="H442">sentimentCalc(B442)</f>
        <v>0</v>
      </c>
      <c r="I442" s="5" t="str" cm="1">
        <f t="array" ref="I442">sentimentCategory(H442)</f>
        <v>Neutral</v>
      </c>
    </row>
    <row r="443" spans="1:9" x14ac:dyDescent="0.2">
      <c r="A443" s="3">
        <v>45408.921492997688</v>
      </c>
      <c r="B443" t="s">
        <v>596</v>
      </c>
      <c r="C443" t="s">
        <v>597</v>
      </c>
      <c r="D443" t="s">
        <v>5</v>
      </c>
      <c r="E443">
        <v>0</v>
      </c>
      <c r="F443">
        <v>0</v>
      </c>
      <c r="G443" t="s">
        <v>2</v>
      </c>
      <c r="H443" cm="1">
        <f t="array" ref="H443">sentimentCalc(B443)</f>
        <v>10</v>
      </c>
      <c r="I443" s="5" t="str" cm="1">
        <f t="array" ref="I443">sentimentCategory(H443)</f>
        <v>Positive</v>
      </c>
    </row>
    <row r="444" spans="1:9" x14ac:dyDescent="0.2">
      <c r="A444" s="3">
        <v>45409.921492997688</v>
      </c>
      <c r="B444" t="s">
        <v>3</v>
      </c>
      <c r="C444" t="s">
        <v>4</v>
      </c>
      <c r="D444" t="s">
        <v>5</v>
      </c>
      <c r="E444">
        <v>0</v>
      </c>
      <c r="F444">
        <v>0</v>
      </c>
      <c r="G444" t="s">
        <v>2</v>
      </c>
      <c r="H444" cm="1">
        <f t="array" ref="H444">sentimentCalc(B444)</f>
        <v>0</v>
      </c>
      <c r="I444" s="5" t="str" cm="1">
        <f t="array" ref="I444">sentimentCategory(H444)</f>
        <v>Neutral</v>
      </c>
    </row>
    <row r="445" spans="1:9" x14ac:dyDescent="0.2">
      <c r="A445" s="3">
        <v>45410.921492997688</v>
      </c>
      <c r="B445" t="s">
        <v>598</v>
      </c>
      <c r="C445" t="s">
        <v>12</v>
      </c>
      <c r="D445" t="s">
        <v>13</v>
      </c>
      <c r="E445">
        <v>0</v>
      </c>
      <c r="F445">
        <v>0</v>
      </c>
      <c r="G445" t="s">
        <v>2</v>
      </c>
      <c r="H445" cm="1">
        <f t="array" ref="H445">sentimentCalc(B445)</f>
        <v>0</v>
      </c>
      <c r="I445" s="5" t="str" cm="1">
        <f t="array" ref="I445">sentimentCategory(H445)</f>
        <v>Neutral</v>
      </c>
    </row>
    <row r="446" spans="1:9" x14ac:dyDescent="0.2">
      <c r="A446" s="3">
        <v>45411.921492997688</v>
      </c>
      <c r="B446" t="s">
        <v>599</v>
      </c>
      <c r="C446" t="s">
        <v>7</v>
      </c>
      <c r="E446">
        <v>0</v>
      </c>
      <c r="F446">
        <v>0</v>
      </c>
      <c r="G446" t="s">
        <v>2</v>
      </c>
      <c r="H446" cm="1">
        <f t="array" ref="H446">sentimentCalc(B446)</f>
        <v>0</v>
      </c>
      <c r="I446" s="5" t="str" cm="1">
        <f t="array" ref="I446">sentimentCategory(H446)</f>
        <v>Neutral</v>
      </c>
    </row>
    <row r="447" spans="1:9" x14ac:dyDescent="0.2">
      <c r="A447" s="3">
        <v>45412.921492997688</v>
      </c>
      <c r="B447" t="s">
        <v>600</v>
      </c>
      <c r="C447" t="s">
        <v>12</v>
      </c>
      <c r="D447" t="s">
        <v>13</v>
      </c>
      <c r="E447">
        <v>0</v>
      </c>
      <c r="F447">
        <v>0</v>
      </c>
      <c r="G447" t="s">
        <v>2</v>
      </c>
      <c r="H447" cm="1">
        <f t="array" ref="H447">sentimentCalc(B447)</f>
        <v>0</v>
      </c>
      <c r="I447" s="5" t="str" cm="1">
        <f t="array" ref="I447">sentimentCategory(H447)</f>
        <v>Neutral</v>
      </c>
    </row>
    <row r="448" spans="1:9" x14ac:dyDescent="0.2">
      <c r="A448" s="3">
        <v>45413.921492997688</v>
      </c>
      <c r="B448" t="s">
        <v>601</v>
      </c>
      <c r="C448" t="s">
        <v>602</v>
      </c>
      <c r="D448" t="s">
        <v>603</v>
      </c>
      <c r="E448">
        <v>8</v>
      </c>
      <c r="F448">
        <v>12</v>
      </c>
      <c r="G448" t="s">
        <v>2</v>
      </c>
      <c r="H448" cm="1">
        <f t="array" ref="H448">sentimentCalc(B448)</f>
        <v>0</v>
      </c>
      <c r="I448" s="5" t="str" cm="1">
        <f t="array" ref="I448">sentimentCategory(H448)</f>
        <v>Neutral</v>
      </c>
    </row>
    <row r="449" spans="1:9" x14ac:dyDescent="0.2">
      <c r="A449" s="3">
        <v>45414.921492997688</v>
      </c>
      <c r="B449" t="s">
        <v>604</v>
      </c>
      <c r="C449" t="s">
        <v>605</v>
      </c>
      <c r="E449">
        <v>0</v>
      </c>
      <c r="F449">
        <v>0</v>
      </c>
      <c r="G449" t="s">
        <v>2</v>
      </c>
      <c r="H449" cm="1">
        <f t="array" ref="H449">sentimentCalc(B449)</f>
        <v>0</v>
      </c>
      <c r="I449" s="5" t="str" cm="1">
        <f t="array" ref="I449">sentimentCategory(H449)</f>
        <v>Neutral</v>
      </c>
    </row>
    <row r="450" spans="1:9" x14ac:dyDescent="0.2">
      <c r="A450" s="3">
        <v>45415.921492997688</v>
      </c>
      <c r="B450" t="s">
        <v>606</v>
      </c>
      <c r="C450" t="s">
        <v>7</v>
      </c>
      <c r="E450">
        <v>0</v>
      </c>
      <c r="F450">
        <v>0</v>
      </c>
      <c r="G450" t="s">
        <v>2</v>
      </c>
      <c r="H450" cm="1">
        <f t="array" ref="H450">sentimentCalc(B450)</f>
        <v>0</v>
      </c>
      <c r="I450" s="5" t="str" cm="1">
        <f t="array" ref="I450">sentimentCategory(H450)</f>
        <v>Neutral</v>
      </c>
    </row>
    <row r="451" spans="1:9" x14ac:dyDescent="0.2">
      <c r="A451" s="3">
        <v>45416.921492997688</v>
      </c>
      <c r="B451" t="s">
        <v>607</v>
      </c>
      <c r="C451" t="s">
        <v>608</v>
      </c>
      <c r="D451" t="s">
        <v>609</v>
      </c>
      <c r="E451">
        <v>0</v>
      </c>
      <c r="F451">
        <v>0</v>
      </c>
      <c r="G451" t="s">
        <v>2</v>
      </c>
      <c r="H451" cm="1">
        <f t="array" ref="H451">sentimentCalc(B451)</f>
        <v>0</v>
      </c>
      <c r="I451" s="5" t="str" cm="1">
        <f t="array" ref="I451">sentimentCategory(H451)</f>
        <v>Neutral</v>
      </c>
    </row>
    <row r="452" spans="1:9" x14ac:dyDescent="0.2">
      <c r="A452" s="3">
        <v>45417.921492997688</v>
      </c>
      <c r="B452" t="s">
        <v>610</v>
      </c>
      <c r="C452" t="s">
        <v>611</v>
      </c>
      <c r="D452" t="s">
        <v>491</v>
      </c>
      <c r="E452">
        <v>0</v>
      </c>
      <c r="F452">
        <v>1</v>
      </c>
      <c r="G452" t="s">
        <v>2</v>
      </c>
      <c r="H452" cm="1">
        <f t="array" ref="H452">sentimentCalc(B452)</f>
        <v>0</v>
      </c>
      <c r="I452" s="5" t="str" cm="1">
        <f t="array" ref="I452">sentimentCategory(H452)</f>
        <v>Neutral</v>
      </c>
    </row>
    <row r="453" spans="1:9" x14ac:dyDescent="0.2">
      <c r="A453" s="3">
        <v>45418.921492997688</v>
      </c>
      <c r="B453" t="s">
        <v>21</v>
      </c>
      <c r="C453" t="s">
        <v>22</v>
      </c>
      <c r="E453">
        <v>0</v>
      </c>
      <c r="F453">
        <v>0</v>
      </c>
      <c r="G453" t="s">
        <v>2</v>
      </c>
      <c r="H453" cm="1">
        <f t="array" ref="H453">sentimentCalc(B453)</f>
        <v>0</v>
      </c>
      <c r="I453" s="5" t="str" cm="1">
        <f t="array" ref="I453">sentimentCategory(H453)</f>
        <v>Neutral</v>
      </c>
    </row>
    <row r="454" spans="1:9" x14ac:dyDescent="0.2">
      <c r="A454" s="3">
        <v>45419.921492997688</v>
      </c>
      <c r="B454" t="s">
        <v>612</v>
      </c>
      <c r="C454" t="s">
        <v>7</v>
      </c>
      <c r="E454">
        <v>0</v>
      </c>
      <c r="F454">
        <v>0</v>
      </c>
      <c r="G454" t="s">
        <v>2</v>
      </c>
      <c r="H454" cm="1">
        <f t="array" ref="H454">sentimentCalc(B454)</f>
        <v>0</v>
      </c>
      <c r="I454" s="5" t="str" cm="1">
        <f t="array" ref="I454">sentimentCategory(H454)</f>
        <v>Neutral</v>
      </c>
    </row>
    <row r="455" spans="1:9" x14ac:dyDescent="0.2">
      <c r="A455" s="3">
        <v>45420.921492997688</v>
      </c>
      <c r="B455" t="s">
        <v>613</v>
      </c>
      <c r="C455" t="s">
        <v>614</v>
      </c>
      <c r="D455" t="s">
        <v>278</v>
      </c>
      <c r="E455">
        <v>2</v>
      </c>
      <c r="F455">
        <v>1</v>
      </c>
      <c r="G455" t="s">
        <v>2</v>
      </c>
      <c r="H455" cm="1">
        <f t="array" ref="H455">sentimentCalc(B455)</f>
        <v>10</v>
      </c>
      <c r="I455" s="5" t="str" cm="1">
        <f t="array" ref="I455">sentimentCategory(H455)</f>
        <v>Positive</v>
      </c>
    </row>
    <row r="456" spans="1:9" x14ac:dyDescent="0.2">
      <c r="A456" s="3">
        <v>45421.921492997688</v>
      </c>
      <c r="B456" t="s">
        <v>615</v>
      </c>
      <c r="C456" t="s">
        <v>616</v>
      </c>
      <c r="D456" t="s">
        <v>617</v>
      </c>
      <c r="E456">
        <v>0</v>
      </c>
      <c r="F456">
        <v>1</v>
      </c>
      <c r="G456" t="s">
        <v>2</v>
      </c>
      <c r="H456" cm="1">
        <f t="array" ref="H456">sentimentCalc(B456)</f>
        <v>0</v>
      </c>
      <c r="I456" s="5" t="str" cm="1">
        <f t="array" ref="I456">sentimentCategory(H456)</f>
        <v>Neutral</v>
      </c>
    </row>
    <row r="457" spans="1:9" x14ac:dyDescent="0.2">
      <c r="A457" s="3">
        <v>45422.921492997688</v>
      </c>
      <c r="B457" t="s">
        <v>618</v>
      </c>
      <c r="C457" t="s">
        <v>7</v>
      </c>
      <c r="E457">
        <v>0</v>
      </c>
      <c r="F457">
        <v>0</v>
      </c>
      <c r="G457" t="s">
        <v>2</v>
      </c>
      <c r="H457" cm="1">
        <f t="array" ref="H457">sentimentCalc(B457)</f>
        <v>0</v>
      </c>
      <c r="I457" s="5" t="str" cm="1">
        <f t="array" ref="I457">sentimentCategory(H457)</f>
        <v>Neutral</v>
      </c>
    </row>
    <row r="458" spans="1:9" x14ac:dyDescent="0.2">
      <c r="A458" s="3">
        <v>45423.921492997688</v>
      </c>
      <c r="B458" t="s">
        <v>619</v>
      </c>
      <c r="C458" t="s">
        <v>620</v>
      </c>
      <c r="D458" t="s">
        <v>621</v>
      </c>
      <c r="E458">
        <v>0</v>
      </c>
      <c r="F458">
        <v>1</v>
      </c>
      <c r="G458" t="s">
        <v>2</v>
      </c>
      <c r="H458" cm="1">
        <f t="array" ref="H458">sentimentCalc(B458)</f>
        <v>0</v>
      </c>
      <c r="I458" s="5" t="str" cm="1">
        <f t="array" ref="I458">sentimentCategory(H458)</f>
        <v>Neutral</v>
      </c>
    </row>
    <row r="459" spans="1:9" x14ac:dyDescent="0.2">
      <c r="A459" s="3">
        <v>45424.921492997688</v>
      </c>
      <c r="B459" t="s">
        <v>622</v>
      </c>
      <c r="C459" t="s">
        <v>341</v>
      </c>
      <c r="D459" t="s">
        <v>342</v>
      </c>
      <c r="E459">
        <v>1</v>
      </c>
      <c r="F459">
        <v>0</v>
      </c>
      <c r="G459" t="s">
        <v>2</v>
      </c>
      <c r="H459" cm="1">
        <f t="array" ref="H459">sentimentCalc(B459)</f>
        <v>20</v>
      </c>
      <c r="I459" s="5" t="str" cm="1">
        <f t="array" ref="I459">sentimentCategory(H459)</f>
        <v>Positive</v>
      </c>
    </row>
    <row r="460" spans="1:9" x14ac:dyDescent="0.2">
      <c r="A460" s="3">
        <v>45425.921492997688</v>
      </c>
      <c r="B460" t="s">
        <v>623</v>
      </c>
      <c r="C460" t="s">
        <v>624</v>
      </c>
      <c r="D460" t="s">
        <v>410</v>
      </c>
      <c r="E460">
        <v>0</v>
      </c>
      <c r="F460">
        <v>1</v>
      </c>
      <c r="G460" t="s">
        <v>2</v>
      </c>
      <c r="H460" cm="1">
        <f t="array" ref="H460">sentimentCalc(B460)</f>
        <v>0</v>
      </c>
      <c r="I460" s="5" t="str" cm="1">
        <f t="array" ref="I460">sentimentCategory(H460)</f>
        <v>Neutral</v>
      </c>
    </row>
    <row r="461" spans="1:9" x14ac:dyDescent="0.2">
      <c r="A461" s="3">
        <v>45426.921492997688</v>
      </c>
      <c r="B461" t="s">
        <v>625</v>
      </c>
      <c r="C461" t="s">
        <v>626</v>
      </c>
      <c r="D461" t="s">
        <v>627</v>
      </c>
      <c r="E461">
        <v>0</v>
      </c>
      <c r="F461">
        <v>1</v>
      </c>
      <c r="G461" t="s">
        <v>2</v>
      </c>
      <c r="H461" cm="1">
        <f t="array" ref="H461">sentimentCalc(B461)</f>
        <v>0</v>
      </c>
      <c r="I461" s="5" t="str" cm="1">
        <f t="array" ref="I461">sentimentCategory(H461)</f>
        <v>Neutral</v>
      </c>
    </row>
    <row r="462" spans="1:9" x14ac:dyDescent="0.2">
      <c r="A462" s="3">
        <v>45427.921492997688</v>
      </c>
      <c r="B462" t="s">
        <v>628</v>
      </c>
      <c r="C462" t="s">
        <v>629</v>
      </c>
      <c r="E462">
        <v>0</v>
      </c>
      <c r="F462">
        <v>0</v>
      </c>
      <c r="G462" t="s">
        <v>2</v>
      </c>
      <c r="H462" cm="1">
        <f t="array" ref="H462">sentimentCalc(B462)</f>
        <v>0</v>
      </c>
      <c r="I462" s="5" t="str" cm="1">
        <f t="array" ref="I462">sentimentCategory(H462)</f>
        <v>Neutral</v>
      </c>
    </row>
    <row r="463" spans="1:9" x14ac:dyDescent="0.2">
      <c r="A463" s="3">
        <v>45428.921492997688</v>
      </c>
      <c r="B463" t="s">
        <v>630</v>
      </c>
      <c r="C463" t="s">
        <v>7</v>
      </c>
      <c r="E463">
        <v>0</v>
      </c>
      <c r="F463">
        <v>0</v>
      </c>
      <c r="G463" t="s">
        <v>2</v>
      </c>
      <c r="H463" cm="1">
        <f t="array" ref="H463">sentimentCalc(B463)</f>
        <v>0</v>
      </c>
      <c r="I463" s="5" t="str" cm="1">
        <f t="array" ref="I463">sentimentCategory(H463)</f>
        <v>Neutral</v>
      </c>
    </row>
    <row r="464" spans="1:9" x14ac:dyDescent="0.2">
      <c r="A464" s="3">
        <v>45429.921492997688</v>
      </c>
      <c r="B464" t="s">
        <v>631</v>
      </c>
      <c r="C464" t="s">
        <v>632</v>
      </c>
      <c r="D464" t="s">
        <v>633</v>
      </c>
      <c r="E464">
        <v>0</v>
      </c>
      <c r="F464">
        <v>2</v>
      </c>
      <c r="G464" t="s">
        <v>2</v>
      </c>
      <c r="H464" cm="1">
        <f t="array" ref="H464">sentimentCalc(B464)</f>
        <v>0</v>
      </c>
      <c r="I464" s="5" t="str" cm="1">
        <f t="array" ref="I464">sentimentCategory(H464)</f>
        <v>Neutral</v>
      </c>
    </row>
    <row r="465" spans="1:9" x14ac:dyDescent="0.2">
      <c r="A465" s="3">
        <v>45430.921492997688</v>
      </c>
      <c r="B465" t="s">
        <v>634</v>
      </c>
      <c r="C465" t="s">
        <v>294</v>
      </c>
      <c r="E465">
        <v>0</v>
      </c>
      <c r="F465">
        <v>2</v>
      </c>
      <c r="G465" t="s">
        <v>2</v>
      </c>
      <c r="H465" cm="1">
        <f t="array" ref="H465">sentimentCalc(B465)</f>
        <v>0</v>
      </c>
      <c r="I465" s="5" t="str" cm="1">
        <f t="array" ref="I465">sentimentCategory(H465)</f>
        <v>Neutral</v>
      </c>
    </row>
    <row r="466" spans="1:9" x14ac:dyDescent="0.2">
      <c r="A466" s="3">
        <v>45431.921492997688</v>
      </c>
      <c r="B466" t="s">
        <v>635</v>
      </c>
      <c r="C466" t="s">
        <v>636</v>
      </c>
      <c r="E466">
        <v>0</v>
      </c>
      <c r="F466">
        <v>1</v>
      </c>
      <c r="G466" t="s">
        <v>2</v>
      </c>
      <c r="H466" cm="1">
        <f t="array" ref="H466">sentimentCalc(B466)</f>
        <v>-10</v>
      </c>
      <c r="I466" s="5" t="str" cm="1">
        <f t="array" ref="I466">sentimentCategory(H466)</f>
        <v>Negative</v>
      </c>
    </row>
    <row r="467" spans="1:9" x14ac:dyDescent="0.2">
      <c r="A467" s="3">
        <v>45432.921492997688</v>
      </c>
      <c r="B467" t="s">
        <v>637</v>
      </c>
      <c r="C467" t="s">
        <v>7</v>
      </c>
      <c r="E467">
        <v>0</v>
      </c>
      <c r="F467">
        <v>0</v>
      </c>
      <c r="G467" t="s">
        <v>2</v>
      </c>
      <c r="H467" cm="1">
        <f t="array" ref="H467">sentimentCalc(B467)</f>
        <v>0</v>
      </c>
      <c r="I467" s="5" t="str" cm="1">
        <f t="array" ref="I467">sentimentCategory(H467)</f>
        <v>Neutral</v>
      </c>
    </row>
    <row r="468" spans="1:9" x14ac:dyDescent="0.2">
      <c r="A468" s="3">
        <v>45433.921492997688</v>
      </c>
      <c r="B468" t="s">
        <v>638</v>
      </c>
      <c r="C468" t="s">
        <v>7</v>
      </c>
      <c r="E468">
        <v>0</v>
      </c>
      <c r="F468">
        <v>0</v>
      </c>
      <c r="G468" t="s">
        <v>2</v>
      </c>
      <c r="H468" cm="1">
        <f t="array" ref="H468">sentimentCalc(B468)</f>
        <v>0</v>
      </c>
      <c r="I468" s="5" t="str" cm="1">
        <f t="array" ref="I468">sentimentCategory(H468)</f>
        <v>Neutral</v>
      </c>
    </row>
    <row r="469" spans="1:9" x14ac:dyDescent="0.2">
      <c r="A469" s="3">
        <v>45434.921492997688</v>
      </c>
      <c r="B469" t="s">
        <v>639</v>
      </c>
      <c r="C469" t="s">
        <v>640</v>
      </c>
      <c r="D469" t="s">
        <v>641</v>
      </c>
      <c r="E469">
        <v>0</v>
      </c>
      <c r="F469">
        <v>0</v>
      </c>
      <c r="G469" t="s">
        <v>2</v>
      </c>
      <c r="H469" cm="1">
        <f t="array" ref="H469">sentimentCalc(B469)</f>
        <v>0</v>
      </c>
      <c r="I469" s="5" t="str" cm="1">
        <f t="array" ref="I469">sentimentCategory(H469)</f>
        <v>Neutral</v>
      </c>
    </row>
    <row r="470" spans="1:9" x14ac:dyDescent="0.2">
      <c r="A470" s="3">
        <v>45435.921492997688</v>
      </c>
      <c r="B470" t="s">
        <v>642</v>
      </c>
      <c r="C470" t="s">
        <v>643</v>
      </c>
      <c r="E470">
        <v>0</v>
      </c>
      <c r="F470">
        <v>0</v>
      </c>
      <c r="G470" t="s">
        <v>2</v>
      </c>
      <c r="H470" cm="1">
        <f t="array" ref="H470">sentimentCalc(B470)</f>
        <v>0</v>
      </c>
      <c r="I470" s="5" t="str" cm="1">
        <f t="array" ref="I470">sentimentCategory(H470)</f>
        <v>Neutral</v>
      </c>
    </row>
    <row r="471" spans="1:9" x14ac:dyDescent="0.2">
      <c r="A471" s="3">
        <v>45436.921492997688</v>
      </c>
      <c r="B471" t="s">
        <v>644</v>
      </c>
      <c r="C471" t="s">
        <v>4</v>
      </c>
      <c r="D471" t="s">
        <v>5</v>
      </c>
      <c r="E471">
        <v>0</v>
      </c>
      <c r="F471">
        <v>0</v>
      </c>
      <c r="G471" t="s">
        <v>2</v>
      </c>
      <c r="H471" cm="1">
        <f t="array" ref="H471">sentimentCalc(B471)</f>
        <v>0</v>
      </c>
      <c r="I471" s="5" t="str" cm="1">
        <f t="array" ref="I471">sentimentCategory(H471)</f>
        <v>Neutral</v>
      </c>
    </row>
    <row r="472" spans="1:9" x14ac:dyDescent="0.2">
      <c r="A472" s="3">
        <v>45437.921492997688</v>
      </c>
      <c r="B472" t="s">
        <v>645</v>
      </c>
      <c r="C472" t="s">
        <v>7</v>
      </c>
      <c r="E472">
        <v>0</v>
      </c>
      <c r="F472">
        <v>0</v>
      </c>
      <c r="G472" t="s">
        <v>2</v>
      </c>
      <c r="H472" cm="1">
        <f t="array" ref="H472">sentimentCalc(B472)</f>
        <v>0</v>
      </c>
      <c r="I472" s="5" t="str" cm="1">
        <f t="array" ref="I472">sentimentCategory(H472)</f>
        <v>Neutral</v>
      </c>
    </row>
    <row r="473" spans="1:9" x14ac:dyDescent="0.2">
      <c r="A473" s="3">
        <v>45438.921492997688</v>
      </c>
      <c r="B473" t="s">
        <v>646</v>
      </c>
      <c r="C473" t="s">
        <v>143</v>
      </c>
      <c r="D473" t="s">
        <v>129</v>
      </c>
      <c r="E473">
        <v>0</v>
      </c>
      <c r="F473">
        <v>0</v>
      </c>
      <c r="G473" t="s">
        <v>2</v>
      </c>
      <c r="H473" cm="1">
        <f t="array" ref="H473">sentimentCalc(B473)</f>
        <v>-10</v>
      </c>
      <c r="I473" s="5" t="str" cm="1">
        <f t="array" ref="I473">sentimentCategory(H473)</f>
        <v>Negative</v>
      </c>
    </row>
    <row r="474" spans="1:9" x14ac:dyDescent="0.2">
      <c r="A474" s="3">
        <v>45439.921492997688</v>
      </c>
      <c r="B474" t="s">
        <v>647</v>
      </c>
      <c r="C474" t="s">
        <v>648</v>
      </c>
      <c r="E474">
        <v>0</v>
      </c>
      <c r="F474">
        <v>0</v>
      </c>
      <c r="G474" t="s">
        <v>2</v>
      </c>
      <c r="H474" cm="1">
        <f t="array" ref="H474">sentimentCalc(B474)</f>
        <v>0</v>
      </c>
      <c r="I474" s="5" t="str" cm="1">
        <f t="array" ref="I474">sentimentCategory(H474)</f>
        <v>Neutral</v>
      </c>
    </row>
    <row r="475" spans="1:9" x14ac:dyDescent="0.2">
      <c r="A475" s="3">
        <v>45440.921492997688</v>
      </c>
      <c r="B475" t="s">
        <v>649</v>
      </c>
      <c r="C475" t="s">
        <v>605</v>
      </c>
      <c r="E475">
        <v>0</v>
      </c>
      <c r="F475">
        <v>0</v>
      </c>
      <c r="G475" t="s">
        <v>2</v>
      </c>
      <c r="H475" cm="1">
        <f t="array" ref="H475">sentimentCalc(B475)</f>
        <v>0</v>
      </c>
      <c r="I475" s="5" t="str" cm="1">
        <f t="array" ref="I475">sentimentCategory(H475)</f>
        <v>Neutral</v>
      </c>
    </row>
    <row r="476" spans="1:9" x14ac:dyDescent="0.2">
      <c r="A476" s="3"/>
      <c r="H476" cm="1">
        <f t="array" ref="H476">sentimentCalc(B476)</f>
        <v>0</v>
      </c>
      <c r="I476" s="5" t="str" cm="1">
        <f t="array" ref="I476">sentimentCategory(H476)</f>
        <v>Neutral</v>
      </c>
    </row>
    <row r="477" spans="1:9" x14ac:dyDescent="0.2">
      <c r="A477" s="3">
        <v>45442.921492997688</v>
      </c>
      <c r="B477" t="s">
        <v>229</v>
      </c>
      <c r="C477" t="s">
        <v>33</v>
      </c>
      <c r="D477" t="s">
        <v>34</v>
      </c>
      <c r="E477">
        <v>0</v>
      </c>
      <c r="F477">
        <v>0</v>
      </c>
      <c r="G477" t="s">
        <v>2</v>
      </c>
      <c r="H477" cm="1">
        <f t="array" ref="H477">sentimentCalc(B477)</f>
        <v>0</v>
      </c>
      <c r="I477" s="5" t="str" cm="1">
        <f t="array" ref="I477">sentimentCategory(H477)</f>
        <v>Neutral</v>
      </c>
    </row>
    <row r="478" spans="1:9" x14ac:dyDescent="0.2">
      <c r="A478" s="3">
        <v>45443.921492997688</v>
      </c>
      <c r="B478" t="s">
        <v>225</v>
      </c>
      <c r="C478" t="s">
        <v>33</v>
      </c>
      <c r="D478" t="s">
        <v>34</v>
      </c>
      <c r="E478">
        <v>0</v>
      </c>
      <c r="F478">
        <v>0</v>
      </c>
      <c r="G478" t="s">
        <v>2</v>
      </c>
      <c r="H478" cm="1">
        <f t="array" ref="H478">sentimentCalc(B478)</f>
        <v>0</v>
      </c>
      <c r="I478" s="5" t="str" cm="1">
        <f t="array" ref="I478">sentimentCategory(H478)</f>
        <v>Neutral</v>
      </c>
    </row>
    <row r="479" spans="1:9" x14ac:dyDescent="0.2">
      <c r="A479" s="3">
        <v>45444.921492997688</v>
      </c>
      <c r="B479" t="s">
        <v>227</v>
      </c>
      <c r="C479" t="s">
        <v>33</v>
      </c>
      <c r="D479" t="s">
        <v>34</v>
      </c>
      <c r="E479">
        <v>0</v>
      </c>
      <c r="F479">
        <v>0</v>
      </c>
      <c r="G479" t="s">
        <v>2</v>
      </c>
      <c r="H479" cm="1">
        <f t="array" ref="H479">sentimentCalc(B479)</f>
        <v>0</v>
      </c>
      <c r="I479" s="5" t="str" cm="1">
        <f t="array" ref="I479">sentimentCategory(H479)</f>
        <v>Neutral</v>
      </c>
    </row>
    <row r="480" spans="1:9" x14ac:dyDescent="0.2">
      <c r="A480" s="3">
        <v>45445.921492997688</v>
      </c>
      <c r="B480" t="s">
        <v>224</v>
      </c>
      <c r="C480" t="s">
        <v>33</v>
      </c>
      <c r="D480" t="s">
        <v>34</v>
      </c>
      <c r="E480">
        <v>0</v>
      </c>
      <c r="F480">
        <v>0</v>
      </c>
      <c r="G480" t="s">
        <v>2</v>
      </c>
      <c r="H480" cm="1">
        <f t="array" ref="H480">sentimentCalc(B480)</f>
        <v>10</v>
      </c>
      <c r="I480" s="5" t="str" cm="1">
        <f t="array" ref="I480">sentimentCategory(H480)</f>
        <v>Positive</v>
      </c>
    </row>
    <row r="481" spans="1:9" x14ac:dyDescent="0.2">
      <c r="A481" s="3">
        <v>45446.921492997688</v>
      </c>
      <c r="B481" t="s">
        <v>230</v>
      </c>
      <c r="C481" t="s">
        <v>33</v>
      </c>
      <c r="D481" t="s">
        <v>34</v>
      </c>
      <c r="E481">
        <v>0</v>
      </c>
      <c r="F481">
        <v>0</v>
      </c>
      <c r="G481" t="s">
        <v>2</v>
      </c>
      <c r="H481" cm="1">
        <f t="array" ref="H481">sentimentCalc(B481)</f>
        <v>0</v>
      </c>
      <c r="I481" s="5" t="str" cm="1">
        <f t="array" ref="I481">sentimentCategory(H481)</f>
        <v>Neutral</v>
      </c>
    </row>
    <row r="482" spans="1:9" x14ac:dyDescent="0.2">
      <c r="A482" s="3">
        <v>45447.921492997688</v>
      </c>
      <c r="B482" t="s">
        <v>231</v>
      </c>
      <c r="C482" t="s">
        <v>33</v>
      </c>
      <c r="D482" t="s">
        <v>34</v>
      </c>
      <c r="E482">
        <v>0</v>
      </c>
      <c r="F482">
        <v>0</v>
      </c>
      <c r="G482" t="s">
        <v>2</v>
      </c>
      <c r="H482" cm="1">
        <f t="array" ref="H482">sentimentCalc(B482)</f>
        <v>0</v>
      </c>
      <c r="I482" s="5" t="str" cm="1">
        <f t="array" ref="I482">sentimentCategory(H482)</f>
        <v>Neutral</v>
      </c>
    </row>
    <row r="483" spans="1:9" x14ac:dyDescent="0.2">
      <c r="A483" s="3">
        <v>45448.921492997688</v>
      </c>
      <c r="B483" t="s">
        <v>228</v>
      </c>
      <c r="C483" t="s">
        <v>33</v>
      </c>
      <c r="D483" t="s">
        <v>34</v>
      </c>
      <c r="E483">
        <v>0</v>
      </c>
      <c r="F483">
        <v>0</v>
      </c>
      <c r="G483" t="s">
        <v>2</v>
      </c>
      <c r="H483" cm="1">
        <f t="array" ref="H483">sentimentCalc(B483)</f>
        <v>0</v>
      </c>
      <c r="I483" s="5" t="str" cm="1">
        <f t="array" ref="I483">sentimentCategory(H483)</f>
        <v>Neutral</v>
      </c>
    </row>
    <row r="484" spans="1:9" x14ac:dyDescent="0.2">
      <c r="A484" s="3">
        <v>45449.921492997688</v>
      </c>
      <c r="B484" t="s">
        <v>650</v>
      </c>
      <c r="C484" t="s">
        <v>651</v>
      </c>
      <c r="D484" t="s">
        <v>652</v>
      </c>
      <c r="E484">
        <v>0</v>
      </c>
      <c r="F484">
        <v>1</v>
      </c>
      <c r="G484" t="s">
        <v>2</v>
      </c>
      <c r="H484" cm="1">
        <f t="array" ref="H484">sentimentCalc(B484)</f>
        <v>0</v>
      </c>
      <c r="I484" s="5" t="str" cm="1">
        <f t="array" ref="I484">sentimentCategory(H484)</f>
        <v>Neutral</v>
      </c>
    </row>
    <row r="485" spans="1:9" x14ac:dyDescent="0.2">
      <c r="A485" s="3">
        <v>45450.921492997688</v>
      </c>
      <c r="B485" t="s">
        <v>653</v>
      </c>
      <c r="C485" t="s">
        <v>7</v>
      </c>
      <c r="E485">
        <v>0</v>
      </c>
      <c r="F485">
        <v>0</v>
      </c>
      <c r="G485" t="s">
        <v>2</v>
      </c>
      <c r="H485" cm="1">
        <f t="array" ref="H485">sentimentCalc(B485)</f>
        <v>0</v>
      </c>
      <c r="I485" s="5" t="str" cm="1">
        <f t="array" ref="I485">sentimentCategory(H485)</f>
        <v>Neutral</v>
      </c>
    </row>
    <row r="486" spans="1:9" x14ac:dyDescent="0.2">
      <c r="A486" s="3">
        <v>45451.921492997688</v>
      </c>
      <c r="B486" t="s">
        <v>654</v>
      </c>
      <c r="C486" t="s">
        <v>286</v>
      </c>
      <c r="E486">
        <v>0</v>
      </c>
      <c r="F486">
        <v>0</v>
      </c>
      <c r="G486" t="s">
        <v>2</v>
      </c>
      <c r="H486" cm="1">
        <f t="array" ref="H486">sentimentCalc(B486)</f>
        <v>0</v>
      </c>
      <c r="I486" s="5" t="str" cm="1">
        <f t="array" ref="I486">sentimentCategory(H486)</f>
        <v>Neutral</v>
      </c>
    </row>
    <row r="487" spans="1:9" x14ac:dyDescent="0.2">
      <c r="A487" s="3">
        <v>45452.921492997688</v>
      </c>
      <c r="B487" t="s">
        <v>655</v>
      </c>
      <c r="C487" t="s">
        <v>656</v>
      </c>
      <c r="D487" t="s">
        <v>657</v>
      </c>
      <c r="E487">
        <v>0</v>
      </c>
      <c r="F487">
        <v>2</v>
      </c>
      <c r="G487" t="s">
        <v>2</v>
      </c>
      <c r="H487" cm="1">
        <f t="array" ref="H487">sentimentCalc(B487)</f>
        <v>0</v>
      </c>
      <c r="I487" s="5" t="str" cm="1">
        <f t="array" ref="I487">sentimentCategory(H487)</f>
        <v>Neutral</v>
      </c>
    </row>
    <row r="488" spans="1:9" x14ac:dyDescent="0.2">
      <c r="A488" s="3">
        <v>45453.921492997688</v>
      </c>
      <c r="B488" t="s">
        <v>658</v>
      </c>
      <c r="C488" t="s">
        <v>7</v>
      </c>
      <c r="E488">
        <v>0</v>
      </c>
      <c r="F488">
        <v>0</v>
      </c>
      <c r="G488" t="s">
        <v>2</v>
      </c>
      <c r="H488" cm="1">
        <f t="array" ref="H488">sentimentCalc(B488)</f>
        <v>0</v>
      </c>
      <c r="I488" s="5" t="str" cm="1">
        <f t="array" ref="I488">sentimentCategory(H488)</f>
        <v>Neutral</v>
      </c>
    </row>
    <row r="489" spans="1:9" x14ac:dyDescent="0.2">
      <c r="A489" s="3">
        <v>45454.921492997688</v>
      </c>
      <c r="B489" t="s">
        <v>169</v>
      </c>
      <c r="C489" t="s">
        <v>143</v>
      </c>
      <c r="D489" t="s">
        <v>129</v>
      </c>
      <c r="E489">
        <v>0</v>
      </c>
      <c r="F489">
        <v>0</v>
      </c>
      <c r="G489" t="s">
        <v>2</v>
      </c>
      <c r="H489" cm="1">
        <f t="array" ref="H489">sentimentCalc(B489)</f>
        <v>0</v>
      </c>
      <c r="I489" s="5" t="str" cm="1">
        <f t="array" ref="I489">sentimentCategory(H489)</f>
        <v>Neutral</v>
      </c>
    </row>
    <row r="490" spans="1:9" x14ac:dyDescent="0.2">
      <c r="A490" s="3">
        <v>45455.921492997688</v>
      </c>
      <c r="B490" t="s">
        <v>659</v>
      </c>
      <c r="C490" t="s">
        <v>7</v>
      </c>
      <c r="E490">
        <v>0</v>
      </c>
      <c r="F490">
        <v>0</v>
      </c>
      <c r="G490" t="s">
        <v>2</v>
      </c>
      <c r="H490" cm="1">
        <f t="array" ref="H490">sentimentCalc(B490)</f>
        <v>0</v>
      </c>
      <c r="I490" s="5" t="str" cm="1">
        <f t="array" ref="I490">sentimentCategory(H490)</f>
        <v>Neutral</v>
      </c>
    </row>
    <row r="491" spans="1:9" x14ac:dyDescent="0.2">
      <c r="A491" s="3">
        <v>45456.921492997688</v>
      </c>
      <c r="B491" t="s">
        <v>3</v>
      </c>
      <c r="C491" t="s">
        <v>4</v>
      </c>
      <c r="D491" t="s">
        <v>5</v>
      </c>
      <c r="E491">
        <v>0</v>
      </c>
      <c r="F491">
        <v>0</v>
      </c>
      <c r="G491" t="s">
        <v>2</v>
      </c>
      <c r="H491" cm="1">
        <f t="array" ref="H491">sentimentCalc(B491)</f>
        <v>0</v>
      </c>
      <c r="I491" s="5" t="str" cm="1">
        <f t="array" ref="I491">sentimentCategory(H491)</f>
        <v>Neutral</v>
      </c>
    </row>
    <row r="492" spans="1:9" x14ac:dyDescent="0.2">
      <c r="A492" s="3">
        <v>45457.921492997688</v>
      </c>
      <c r="B492" t="s">
        <v>660</v>
      </c>
      <c r="C492" t="s">
        <v>593</v>
      </c>
      <c r="D492" t="s">
        <v>661</v>
      </c>
      <c r="E492">
        <v>0</v>
      </c>
      <c r="F492">
        <v>0</v>
      </c>
      <c r="G492" t="s">
        <v>2</v>
      </c>
      <c r="H492" cm="1">
        <f t="array" ref="H492">sentimentCalc(B492)</f>
        <v>10</v>
      </c>
      <c r="I492" s="5" t="str" cm="1">
        <f t="array" ref="I492">sentimentCategory(H492)</f>
        <v>Positive</v>
      </c>
    </row>
    <row r="493" spans="1:9" x14ac:dyDescent="0.2">
      <c r="A493" s="3">
        <v>45458.921492997688</v>
      </c>
      <c r="B493" t="s">
        <v>36</v>
      </c>
      <c r="C493" t="s">
        <v>33</v>
      </c>
      <c r="D493" t="s">
        <v>34</v>
      </c>
      <c r="E493">
        <v>0</v>
      </c>
      <c r="F493">
        <v>0</v>
      </c>
      <c r="G493" t="s">
        <v>2</v>
      </c>
      <c r="H493" cm="1">
        <f t="array" ref="H493">sentimentCalc(B493)</f>
        <v>10</v>
      </c>
      <c r="I493" s="5" t="str" cm="1">
        <f t="array" ref="I493">sentimentCategory(H493)</f>
        <v>Positive</v>
      </c>
    </row>
    <row r="494" spans="1:9" x14ac:dyDescent="0.2">
      <c r="A494" s="3"/>
      <c r="H494" cm="1">
        <f t="array" ref="H494">sentimentCalc(B494)</f>
        <v>0</v>
      </c>
      <c r="I494" s="5" t="str" cm="1">
        <f t="array" ref="I494">sentimentCategory(H494)</f>
        <v>Neutral</v>
      </c>
    </row>
    <row r="495" spans="1:9" x14ac:dyDescent="0.2">
      <c r="A495" s="3">
        <v>45460.921492997688</v>
      </c>
      <c r="B495" t="s">
        <v>37</v>
      </c>
      <c r="C495" t="s">
        <v>33</v>
      </c>
      <c r="D495" t="s">
        <v>34</v>
      </c>
      <c r="E495">
        <v>0</v>
      </c>
      <c r="F495">
        <v>0</v>
      </c>
      <c r="G495" t="s">
        <v>2</v>
      </c>
      <c r="H495" cm="1">
        <f t="array" ref="H495">sentimentCalc(B495)</f>
        <v>0</v>
      </c>
      <c r="I495" s="5" t="str" cm="1">
        <f t="array" ref="I495">sentimentCategory(H495)</f>
        <v>Neutral</v>
      </c>
    </row>
    <row r="496" spans="1:9" x14ac:dyDescent="0.2">
      <c r="A496" s="3">
        <v>45461.921492997688</v>
      </c>
      <c r="B496" t="s">
        <v>662</v>
      </c>
      <c r="C496" t="s">
        <v>33</v>
      </c>
      <c r="D496" t="s">
        <v>34</v>
      </c>
      <c r="E496">
        <v>0</v>
      </c>
      <c r="F496">
        <v>0</v>
      </c>
      <c r="G496" t="s">
        <v>2</v>
      </c>
      <c r="H496" cm="1">
        <f t="array" ref="H496">sentimentCalc(B496)</f>
        <v>0</v>
      </c>
      <c r="I496" s="5" t="str" cm="1">
        <f t="array" ref="I496">sentimentCategory(H496)</f>
        <v>Neutral</v>
      </c>
    </row>
    <row r="497" spans="1:9" x14ac:dyDescent="0.2">
      <c r="A497" s="3">
        <v>45462.921492997688</v>
      </c>
      <c r="B497" t="s">
        <v>287</v>
      </c>
      <c r="C497" t="s">
        <v>33</v>
      </c>
      <c r="D497" t="s">
        <v>34</v>
      </c>
      <c r="E497">
        <v>0</v>
      </c>
      <c r="F497">
        <v>0</v>
      </c>
      <c r="G497" t="s">
        <v>2</v>
      </c>
      <c r="H497" cm="1">
        <f t="array" ref="H497">sentimentCalc(B497)</f>
        <v>0</v>
      </c>
      <c r="I497" s="5" t="str" cm="1">
        <f t="array" ref="I497">sentimentCategory(H497)</f>
        <v>Neutral</v>
      </c>
    </row>
    <row r="498" spans="1:9" x14ac:dyDescent="0.2">
      <c r="A498" s="3">
        <v>45463.921492997688</v>
      </c>
      <c r="B498" t="s">
        <v>663</v>
      </c>
      <c r="C498" t="s">
        <v>664</v>
      </c>
      <c r="D498" t="s">
        <v>665</v>
      </c>
      <c r="E498">
        <v>0</v>
      </c>
      <c r="F498">
        <v>1</v>
      </c>
      <c r="G498" t="s">
        <v>2</v>
      </c>
      <c r="H498" cm="1">
        <f t="array" ref="H498">sentimentCalc(B498)</f>
        <v>10</v>
      </c>
      <c r="I498" s="5" t="str" cm="1">
        <f t="array" ref="I498">sentimentCategory(H498)</f>
        <v>Positive</v>
      </c>
    </row>
    <row r="499" spans="1:9" x14ac:dyDescent="0.2">
      <c r="A499" s="3">
        <v>45464.921492997688</v>
      </c>
      <c r="B499" t="s">
        <v>666</v>
      </c>
      <c r="C499" t="s">
        <v>605</v>
      </c>
      <c r="E499">
        <v>0</v>
      </c>
      <c r="F499">
        <v>3</v>
      </c>
      <c r="G499" t="s">
        <v>2</v>
      </c>
      <c r="H499" cm="1">
        <f t="array" ref="H499">sentimentCalc(B499)</f>
        <v>0</v>
      </c>
      <c r="I499" s="5" t="str" cm="1">
        <f t="array" ref="I499">sentimentCategory(H499)</f>
        <v>Neutral</v>
      </c>
    </row>
    <row r="500" spans="1:9" x14ac:dyDescent="0.2">
      <c r="A500" s="3">
        <v>45465.921492997688</v>
      </c>
      <c r="B500" t="s">
        <v>667</v>
      </c>
      <c r="C500" t="s">
        <v>7</v>
      </c>
      <c r="E500">
        <v>0</v>
      </c>
      <c r="F500">
        <v>0</v>
      </c>
      <c r="G500" t="s">
        <v>2</v>
      </c>
      <c r="H500" cm="1">
        <f t="array" ref="H500">sentimentCalc(B500)</f>
        <v>0</v>
      </c>
      <c r="I500" s="5" t="str" cm="1">
        <f t="array" ref="I500">sentimentCategory(H500)</f>
        <v>Neutral</v>
      </c>
    </row>
    <row r="501" spans="1:9" x14ac:dyDescent="0.2">
      <c r="A501" s="3">
        <v>45466.921492997688</v>
      </c>
      <c r="B501" t="s">
        <v>668</v>
      </c>
      <c r="C501" t="s">
        <v>669</v>
      </c>
      <c r="E501">
        <v>0</v>
      </c>
      <c r="F501">
        <v>0</v>
      </c>
      <c r="G501" t="s">
        <v>2</v>
      </c>
      <c r="H501" cm="1">
        <f t="array" ref="H501">sentimentCalc(B501)</f>
        <v>0</v>
      </c>
      <c r="I501" s="5" t="str" cm="1">
        <f t="array" ref="I501">sentimentCategory(H501)</f>
        <v>Neutral</v>
      </c>
    </row>
    <row r="502" spans="1:9" x14ac:dyDescent="0.2">
      <c r="A502" s="3">
        <v>45467.921492997688</v>
      </c>
      <c r="B502" t="s">
        <v>670</v>
      </c>
      <c r="C502" t="s">
        <v>12</v>
      </c>
      <c r="D502" t="s">
        <v>13</v>
      </c>
      <c r="E502">
        <v>0</v>
      </c>
      <c r="F502">
        <v>0</v>
      </c>
      <c r="G502" t="s">
        <v>2</v>
      </c>
      <c r="H502" cm="1">
        <f t="array" ref="H502">sentimentCalc(B502)</f>
        <v>0</v>
      </c>
      <c r="I502" s="5" t="str" cm="1">
        <f t="array" ref="I502">sentimentCategory(H502)</f>
        <v>Neutral</v>
      </c>
    </row>
    <row r="503" spans="1:9" x14ac:dyDescent="0.2">
      <c r="A503" s="3">
        <v>45468.921492997688</v>
      </c>
      <c r="B503" t="s">
        <v>671</v>
      </c>
      <c r="C503" t="s">
        <v>12</v>
      </c>
      <c r="D503" t="s">
        <v>13</v>
      </c>
      <c r="E503">
        <v>0</v>
      </c>
      <c r="F503">
        <v>0</v>
      </c>
      <c r="G503" t="s">
        <v>2</v>
      </c>
      <c r="H503" cm="1">
        <f t="array" ref="H503">sentimentCalc(B503)</f>
        <v>0</v>
      </c>
      <c r="I503" s="5" t="str" cm="1">
        <f t="array" ref="I503">sentimentCategory(H503)</f>
        <v>Neutral</v>
      </c>
    </row>
    <row r="504" spans="1:9" x14ac:dyDescent="0.2">
      <c r="A504" s="3">
        <v>45469.921492997688</v>
      </c>
      <c r="B504" t="s">
        <v>672</v>
      </c>
      <c r="C504" t="s">
        <v>673</v>
      </c>
      <c r="E504">
        <v>0</v>
      </c>
      <c r="F504">
        <v>0</v>
      </c>
      <c r="G504" t="s">
        <v>2</v>
      </c>
      <c r="H504" cm="1">
        <f t="array" ref="H504">sentimentCalc(B504)</f>
        <v>-10</v>
      </c>
      <c r="I504" s="5" t="str" cm="1">
        <f t="array" ref="I504">sentimentCategory(H504)</f>
        <v>Negative</v>
      </c>
    </row>
    <row r="505" spans="1:9" x14ac:dyDescent="0.2">
      <c r="A505" s="3">
        <v>45470.921492997688</v>
      </c>
      <c r="B505" t="s">
        <v>674</v>
      </c>
      <c r="C505" t="s">
        <v>98</v>
      </c>
      <c r="D505" t="s">
        <v>13</v>
      </c>
      <c r="E505">
        <v>0</v>
      </c>
      <c r="F505">
        <v>0</v>
      </c>
      <c r="G505" t="s">
        <v>2</v>
      </c>
      <c r="H505" cm="1">
        <f t="array" ref="H505">sentimentCalc(B505)</f>
        <v>0</v>
      </c>
      <c r="I505" s="5" t="str" cm="1">
        <f t="array" ref="I505">sentimentCategory(H505)</f>
        <v>Neutral</v>
      </c>
    </row>
    <row r="506" spans="1:9" x14ac:dyDescent="0.2">
      <c r="A506" s="3">
        <v>45471.921492997688</v>
      </c>
      <c r="B506" t="s">
        <v>675</v>
      </c>
      <c r="C506" t="s">
        <v>7</v>
      </c>
      <c r="E506">
        <v>0</v>
      </c>
      <c r="F506">
        <v>0</v>
      </c>
      <c r="G506" t="s">
        <v>2</v>
      </c>
      <c r="H506" cm="1">
        <f t="array" ref="H506">sentimentCalc(B506)</f>
        <v>0</v>
      </c>
      <c r="I506" s="5" t="str" cm="1">
        <f t="array" ref="I506">sentimentCategory(H506)</f>
        <v>Neutral</v>
      </c>
    </row>
    <row r="507" spans="1:9" x14ac:dyDescent="0.2">
      <c r="A507" s="3">
        <v>45472.921492997688</v>
      </c>
      <c r="B507" t="s">
        <v>141</v>
      </c>
      <c r="C507" t="s">
        <v>143</v>
      </c>
      <c r="D507" t="s">
        <v>129</v>
      </c>
      <c r="E507">
        <v>0</v>
      </c>
      <c r="F507">
        <v>0</v>
      </c>
      <c r="G507" t="s">
        <v>2</v>
      </c>
      <c r="H507" cm="1">
        <f t="array" ref="H507">sentimentCalc(B507)</f>
        <v>0</v>
      </c>
      <c r="I507" s="5" t="str" cm="1">
        <f t="array" ref="I507">sentimentCategory(H507)</f>
        <v>Neutral</v>
      </c>
    </row>
    <row r="508" spans="1:9" x14ac:dyDescent="0.2">
      <c r="A508" s="3">
        <v>45473.921492997688</v>
      </c>
      <c r="B508" t="s">
        <v>676</v>
      </c>
      <c r="C508" t="s">
        <v>12</v>
      </c>
      <c r="D508" t="s">
        <v>677</v>
      </c>
      <c r="E508">
        <v>0</v>
      </c>
      <c r="F508">
        <v>0</v>
      </c>
      <c r="G508" t="s">
        <v>2</v>
      </c>
      <c r="H508" cm="1">
        <f t="array" ref="H508">sentimentCalc(B508)</f>
        <v>0</v>
      </c>
      <c r="I508" s="5" t="str" cm="1">
        <f t="array" ref="I508">sentimentCategory(H508)</f>
        <v>Neutral</v>
      </c>
    </row>
    <row r="509" spans="1:9" x14ac:dyDescent="0.2">
      <c r="A509" s="3">
        <v>45474.921492997688</v>
      </c>
      <c r="B509" t="s">
        <v>678</v>
      </c>
      <c r="C509" t="s">
        <v>679</v>
      </c>
      <c r="D509" t="s">
        <v>680</v>
      </c>
      <c r="E509">
        <v>0</v>
      </c>
      <c r="F509">
        <v>0</v>
      </c>
      <c r="G509" t="s">
        <v>2</v>
      </c>
      <c r="H509" cm="1">
        <f t="array" ref="H509">sentimentCalc(B509)</f>
        <v>0</v>
      </c>
      <c r="I509" s="5" t="str" cm="1">
        <f t="array" ref="I509">sentimentCategory(H509)</f>
        <v>Neutral</v>
      </c>
    </row>
    <row r="510" spans="1:9" x14ac:dyDescent="0.2">
      <c r="A510" s="3">
        <v>45475.921492997688</v>
      </c>
      <c r="B510" t="s">
        <v>681</v>
      </c>
      <c r="C510" t="s">
        <v>7</v>
      </c>
      <c r="E510">
        <v>1</v>
      </c>
      <c r="F510">
        <v>0</v>
      </c>
      <c r="G510" t="s">
        <v>2</v>
      </c>
      <c r="H510" cm="1">
        <f t="array" ref="H510">sentimentCalc(B510)</f>
        <v>0</v>
      </c>
      <c r="I510" s="5" t="str" cm="1">
        <f t="array" ref="I510">sentimentCategory(H510)</f>
        <v>Neutral</v>
      </c>
    </row>
    <row r="511" spans="1:9" x14ac:dyDescent="0.2">
      <c r="A511" s="3">
        <v>45476.921492997688</v>
      </c>
      <c r="B511" t="s">
        <v>682</v>
      </c>
      <c r="C511" t="s">
        <v>683</v>
      </c>
      <c r="D511" t="s">
        <v>684</v>
      </c>
      <c r="E511">
        <v>4</v>
      </c>
      <c r="F511">
        <v>7</v>
      </c>
      <c r="G511" t="s">
        <v>2</v>
      </c>
      <c r="H511" cm="1">
        <f t="array" ref="H511">sentimentCalc(B511)</f>
        <v>0</v>
      </c>
      <c r="I511" s="5" t="str" cm="1">
        <f t="array" ref="I511">sentimentCategory(H511)</f>
        <v>Neutral</v>
      </c>
    </row>
    <row r="512" spans="1:9" x14ac:dyDescent="0.2">
      <c r="A512" s="3">
        <v>45477.921492997688</v>
      </c>
      <c r="B512" t="s">
        <v>685</v>
      </c>
      <c r="C512" t="s">
        <v>686</v>
      </c>
      <c r="D512" t="s">
        <v>13</v>
      </c>
      <c r="E512">
        <v>0</v>
      </c>
      <c r="F512">
        <v>0</v>
      </c>
      <c r="G512" t="s">
        <v>2</v>
      </c>
      <c r="H512" cm="1">
        <f t="array" ref="H512">sentimentCalc(B512)</f>
        <v>10</v>
      </c>
      <c r="I512" s="5" t="str" cm="1">
        <f t="array" ref="I512">sentimentCategory(H512)</f>
        <v>Positive</v>
      </c>
    </row>
    <row r="513" spans="1:9" x14ac:dyDescent="0.2">
      <c r="A513" s="3">
        <v>45478.921492997688</v>
      </c>
      <c r="B513" t="s">
        <v>687</v>
      </c>
      <c r="C513" t="s">
        <v>688</v>
      </c>
      <c r="D513" t="s">
        <v>410</v>
      </c>
      <c r="E513">
        <v>0</v>
      </c>
      <c r="F513">
        <v>0</v>
      </c>
      <c r="G513" t="s">
        <v>2</v>
      </c>
      <c r="H513" cm="1">
        <f t="array" ref="H513">sentimentCalc(B513)</f>
        <v>0</v>
      </c>
      <c r="I513" s="5" t="str" cm="1">
        <f t="array" ref="I513">sentimentCategory(H513)</f>
        <v>Neutral</v>
      </c>
    </row>
    <row r="514" spans="1:9" x14ac:dyDescent="0.2">
      <c r="A514" s="3">
        <v>45479.921492997688</v>
      </c>
      <c r="B514" t="s">
        <v>689</v>
      </c>
      <c r="C514" t="s">
        <v>7</v>
      </c>
      <c r="E514">
        <v>0</v>
      </c>
      <c r="F514">
        <v>0</v>
      </c>
      <c r="G514" t="s">
        <v>2</v>
      </c>
      <c r="H514" cm="1">
        <f t="array" ref="H514">sentimentCalc(B514)</f>
        <v>0</v>
      </c>
      <c r="I514" s="5" t="str" cm="1">
        <f t="array" ref="I514">sentimentCategory(H514)</f>
        <v>Neutral</v>
      </c>
    </row>
    <row r="515" spans="1:9" x14ac:dyDescent="0.2">
      <c r="A515" s="3">
        <v>45480.921492997688</v>
      </c>
      <c r="B515" t="s">
        <v>690</v>
      </c>
      <c r="C515" t="s">
        <v>7</v>
      </c>
      <c r="E515">
        <v>0</v>
      </c>
      <c r="F515">
        <v>0</v>
      </c>
      <c r="G515" t="s">
        <v>2</v>
      </c>
      <c r="H515" cm="1">
        <f t="array" ref="H515">sentimentCalc(B515)</f>
        <v>0</v>
      </c>
      <c r="I515" s="5" t="str" cm="1">
        <f t="array" ref="I515">sentimentCategory(H515)</f>
        <v>Neutral</v>
      </c>
    </row>
    <row r="516" spans="1:9" x14ac:dyDescent="0.2">
      <c r="A516" s="3">
        <v>45481.921492997688</v>
      </c>
      <c r="B516" t="s">
        <v>691</v>
      </c>
      <c r="C516" t="s">
        <v>692</v>
      </c>
      <c r="D516" t="s">
        <v>693</v>
      </c>
      <c r="E516">
        <v>0</v>
      </c>
      <c r="F516">
        <v>0</v>
      </c>
      <c r="G516" t="s">
        <v>2</v>
      </c>
      <c r="H516" cm="1">
        <f t="array" ref="H516">sentimentCalc(B516)</f>
        <v>0</v>
      </c>
      <c r="I516" s="5" t="str" cm="1">
        <f t="array" ref="I516">sentimentCategory(H516)</f>
        <v>Neutral</v>
      </c>
    </row>
    <row r="517" spans="1:9" x14ac:dyDescent="0.2">
      <c r="A517" s="3">
        <v>45482.921492997688</v>
      </c>
      <c r="B517" t="s">
        <v>694</v>
      </c>
      <c r="C517" t="s">
        <v>695</v>
      </c>
      <c r="D517" t="s">
        <v>158</v>
      </c>
      <c r="E517">
        <v>1</v>
      </c>
      <c r="F517">
        <v>22</v>
      </c>
      <c r="G517" t="s">
        <v>2</v>
      </c>
      <c r="H517" cm="1">
        <f t="array" ref="H517">sentimentCalc(B517)</f>
        <v>0</v>
      </c>
      <c r="I517" s="5" t="str" cm="1">
        <f t="array" ref="I517">sentimentCategory(H517)</f>
        <v>Neutral</v>
      </c>
    </row>
    <row r="518" spans="1:9" x14ac:dyDescent="0.2">
      <c r="A518" s="3">
        <v>45483.921492997688</v>
      </c>
      <c r="B518" t="s">
        <v>696</v>
      </c>
      <c r="C518" t="s">
        <v>697</v>
      </c>
      <c r="E518">
        <v>0</v>
      </c>
      <c r="F518">
        <v>1</v>
      </c>
      <c r="G518" t="s">
        <v>2</v>
      </c>
      <c r="H518" cm="1">
        <f t="array" ref="H518">sentimentCalc(B518)</f>
        <v>20</v>
      </c>
      <c r="I518" s="5" t="str" cm="1">
        <f t="array" ref="I518">sentimentCategory(H518)</f>
        <v>Positive</v>
      </c>
    </row>
    <row r="519" spans="1:9" x14ac:dyDescent="0.2">
      <c r="A519" s="3">
        <v>45484.921492997688</v>
      </c>
      <c r="B519" t="s">
        <v>698</v>
      </c>
      <c r="C519" t="s">
        <v>699</v>
      </c>
      <c r="D519" t="s">
        <v>700</v>
      </c>
      <c r="E519">
        <v>0</v>
      </c>
      <c r="F519">
        <v>0</v>
      </c>
      <c r="G519" t="s">
        <v>2</v>
      </c>
      <c r="H519" cm="1">
        <f t="array" ref="H519">sentimentCalc(B519)</f>
        <v>10</v>
      </c>
      <c r="I519" s="5" t="str" cm="1">
        <f t="array" ref="I519">sentimentCategory(H519)</f>
        <v>Positive</v>
      </c>
    </row>
    <row r="520" spans="1:9" x14ac:dyDescent="0.2">
      <c r="A520" s="3">
        <v>45485.921492997688</v>
      </c>
      <c r="B520" t="s">
        <v>701</v>
      </c>
      <c r="C520" t="s">
        <v>593</v>
      </c>
      <c r="E520">
        <v>1</v>
      </c>
      <c r="F520">
        <v>0</v>
      </c>
      <c r="G520" t="s">
        <v>2</v>
      </c>
      <c r="H520" cm="1">
        <f t="array" ref="H520">sentimentCalc(B520)</f>
        <v>10</v>
      </c>
      <c r="I520" s="5" t="str" cm="1">
        <f t="array" ref="I520">sentimentCategory(H520)</f>
        <v>Positive</v>
      </c>
    </row>
    <row r="521" spans="1:9" x14ac:dyDescent="0.2">
      <c r="A521" s="3">
        <v>45486.921492997688</v>
      </c>
      <c r="B521" t="s">
        <v>702</v>
      </c>
      <c r="C521" t="s">
        <v>703</v>
      </c>
      <c r="D521" t="s">
        <v>210</v>
      </c>
      <c r="E521">
        <v>0</v>
      </c>
      <c r="F521">
        <v>4</v>
      </c>
      <c r="G521" t="s">
        <v>2</v>
      </c>
      <c r="H521" cm="1">
        <f t="array" ref="H521">sentimentCalc(B521)</f>
        <v>0</v>
      </c>
      <c r="I521" s="5" t="str" cm="1">
        <f t="array" ref="I521">sentimentCategory(H521)</f>
        <v>Neutral</v>
      </c>
    </row>
    <row r="522" spans="1:9" x14ac:dyDescent="0.2">
      <c r="A522" s="3">
        <v>45487.921492997688</v>
      </c>
      <c r="B522" t="s">
        <v>704</v>
      </c>
      <c r="C522" t="s">
        <v>643</v>
      </c>
      <c r="E522">
        <v>0</v>
      </c>
      <c r="F522">
        <v>0</v>
      </c>
      <c r="G522" t="s">
        <v>2</v>
      </c>
      <c r="H522" cm="1">
        <f t="array" ref="H522">sentimentCalc(B522)</f>
        <v>0</v>
      </c>
      <c r="I522" s="5" t="str" cm="1">
        <f t="array" ref="I522">sentimentCategory(H522)</f>
        <v>Neutral</v>
      </c>
    </row>
    <row r="523" spans="1:9" x14ac:dyDescent="0.2">
      <c r="A523" s="3">
        <v>45488.921492997688</v>
      </c>
      <c r="B523" t="s">
        <v>705</v>
      </c>
      <c r="C523" t="s">
        <v>7</v>
      </c>
      <c r="E523">
        <v>1</v>
      </c>
      <c r="F523">
        <v>0</v>
      </c>
      <c r="G523" t="s">
        <v>2</v>
      </c>
      <c r="H523" cm="1">
        <f t="array" ref="H523">sentimentCalc(B523)</f>
        <v>0</v>
      </c>
      <c r="I523" s="5" t="str" cm="1">
        <f t="array" ref="I523">sentimentCategory(H523)</f>
        <v>Neutral</v>
      </c>
    </row>
    <row r="524" spans="1:9" x14ac:dyDescent="0.2">
      <c r="A524" s="3">
        <v>45489.921492997688</v>
      </c>
      <c r="B524" t="s">
        <v>706</v>
      </c>
      <c r="C524" t="s">
        <v>707</v>
      </c>
      <c r="D524" t="s">
        <v>708</v>
      </c>
      <c r="E524">
        <v>0</v>
      </c>
      <c r="F524">
        <v>2</v>
      </c>
      <c r="G524" t="s">
        <v>2</v>
      </c>
      <c r="H524" cm="1">
        <f t="array" ref="H524">sentimentCalc(B524)</f>
        <v>10</v>
      </c>
      <c r="I524" s="5" t="str" cm="1">
        <f t="array" ref="I524">sentimentCategory(H524)</f>
        <v>Positive</v>
      </c>
    </row>
    <row r="525" spans="1:9" x14ac:dyDescent="0.2">
      <c r="A525" s="3">
        <v>45490.921492997688</v>
      </c>
      <c r="B525" t="s">
        <v>709</v>
      </c>
      <c r="C525" t="s">
        <v>710</v>
      </c>
      <c r="E525">
        <v>0</v>
      </c>
      <c r="F525">
        <v>1</v>
      </c>
      <c r="G525" t="s">
        <v>2</v>
      </c>
      <c r="H525" cm="1">
        <f t="array" ref="H525">sentimentCalc(B525)</f>
        <v>10</v>
      </c>
      <c r="I525" s="5" t="str" cm="1">
        <f t="array" ref="I525">sentimentCategory(H525)</f>
        <v>Positive</v>
      </c>
    </row>
    <row r="526" spans="1:9" x14ac:dyDescent="0.2">
      <c r="A526" s="3">
        <v>45491.921492997688</v>
      </c>
      <c r="B526" t="s">
        <v>711</v>
      </c>
      <c r="C526" t="s">
        <v>134</v>
      </c>
      <c r="E526">
        <v>0</v>
      </c>
      <c r="F526">
        <v>0</v>
      </c>
      <c r="G526" t="s">
        <v>2</v>
      </c>
      <c r="H526" cm="1">
        <f t="array" ref="H526">sentimentCalc(B526)</f>
        <v>0</v>
      </c>
      <c r="I526" s="5" t="str" cm="1">
        <f t="array" ref="I526">sentimentCategory(H526)</f>
        <v>Neutral</v>
      </c>
    </row>
    <row r="527" spans="1:9" x14ac:dyDescent="0.2">
      <c r="A527" s="3">
        <v>45492.921492997688</v>
      </c>
      <c r="B527" t="s">
        <v>712</v>
      </c>
      <c r="C527" t="s">
        <v>713</v>
      </c>
      <c r="E527">
        <v>0</v>
      </c>
      <c r="F527">
        <v>0</v>
      </c>
      <c r="G527" t="s">
        <v>2</v>
      </c>
      <c r="H527" cm="1">
        <f t="array" ref="H527">sentimentCalc(B527)</f>
        <v>10</v>
      </c>
      <c r="I527" s="5" t="str" cm="1">
        <f t="array" ref="I527">sentimentCategory(H527)</f>
        <v>Positive</v>
      </c>
    </row>
    <row r="528" spans="1:9" x14ac:dyDescent="0.2">
      <c r="A528" s="3">
        <v>45493.921492997688</v>
      </c>
      <c r="B528" t="s">
        <v>714</v>
      </c>
      <c r="C528" t="s">
        <v>715</v>
      </c>
      <c r="D528" t="s">
        <v>716</v>
      </c>
      <c r="E528">
        <v>0</v>
      </c>
      <c r="F528">
        <v>0</v>
      </c>
      <c r="G528" t="s">
        <v>2</v>
      </c>
      <c r="H528" cm="1">
        <f t="array" ref="H528">sentimentCalc(B528)</f>
        <v>0</v>
      </c>
      <c r="I528" s="5" t="str" cm="1">
        <f t="array" ref="I528">sentimentCategory(H528)</f>
        <v>Neutral</v>
      </c>
    </row>
    <row r="529" spans="1:9" x14ac:dyDescent="0.2">
      <c r="A529" s="3">
        <v>45494.921492997688</v>
      </c>
      <c r="B529" t="s">
        <v>717</v>
      </c>
      <c r="C529" t="s">
        <v>718</v>
      </c>
      <c r="D529" t="s">
        <v>719</v>
      </c>
      <c r="E529">
        <v>0</v>
      </c>
      <c r="F529">
        <v>1</v>
      </c>
      <c r="G529" t="s">
        <v>2</v>
      </c>
      <c r="H529" cm="1">
        <f t="array" ref="H529">sentimentCalc(B529)</f>
        <v>-10</v>
      </c>
      <c r="I529" s="5" t="str" cm="1">
        <f t="array" ref="I529">sentimentCategory(H529)</f>
        <v>Negative</v>
      </c>
    </row>
    <row r="530" spans="1:9" x14ac:dyDescent="0.2">
      <c r="A530" s="3">
        <v>45495.921492997688</v>
      </c>
      <c r="B530" t="s">
        <v>720</v>
      </c>
      <c r="C530" t="s">
        <v>51</v>
      </c>
      <c r="D530" t="s">
        <v>721</v>
      </c>
      <c r="E530">
        <v>0</v>
      </c>
      <c r="F530">
        <v>0</v>
      </c>
      <c r="G530" t="s">
        <v>2</v>
      </c>
      <c r="H530" cm="1">
        <f t="array" ref="H530">sentimentCalc(B530)</f>
        <v>-10</v>
      </c>
      <c r="I530" s="5" t="str" cm="1">
        <f t="array" ref="I530">sentimentCategory(H530)</f>
        <v>Negative</v>
      </c>
    </row>
    <row r="531" spans="1:9" x14ac:dyDescent="0.2">
      <c r="A531" s="3">
        <v>45496.921492997688</v>
      </c>
      <c r="B531" t="s">
        <v>722</v>
      </c>
      <c r="C531" t="s">
        <v>723</v>
      </c>
      <c r="E531">
        <v>0</v>
      </c>
      <c r="F531">
        <v>0</v>
      </c>
      <c r="G531" t="s">
        <v>2</v>
      </c>
      <c r="H531" cm="1">
        <f t="array" ref="H531">sentimentCalc(B531)</f>
        <v>10</v>
      </c>
      <c r="I531" s="5" t="str" cm="1">
        <f t="array" ref="I531">sentimentCategory(H531)</f>
        <v>Positive</v>
      </c>
    </row>
    <row r="532" spans="1:9" x14ac:dyDescent="0.2">
      <c r="A532" s="3">
        <v>45497.921492997688</v>
      </c>
      <c r="B532" t="s">
        <v>724</v>
      </c>
      <c r="C532" t="s">
        <v>350</v>
      </c>
      <c r="D532" t="s">
        <v>55</v>
      </c>
      <c r="E532">
        <v>0</v>
      </c>
      <c r="F532">
        <v>0</v>
      </c>
      <c r="G532" t="s">
        <v>2</v>
      </c>
      <c r="H532" cm="1">
        <f t="array" ref="H532">sentimentCalc(B532)</f>
        <v>0</v>
      </c>
      <c r="I532" s="5" t="str" cm="1">
        <f t="array" ref="I532">sentimentCategory(H532)</f>
        <v>Neutral</v>
      </c>
    </row>
    <row r="533" spans="1:9" x14ac:dyDescent="0.2">
      <c r="A533" s="3">
        <v>45498.921492997688</v>
      </c>
      <c r="B533" t="s">
        <v>725</v>
      </c>
      <c r="C533" t="s">
        <v>7</v>
      </c>
      <c r="E533">
        <v>0</v>
      </c>
      <c r="F533">
        <v>0</v>
      </c>
      <c r="G533" t="s">
        <v>2</v>
      </c>
      <c r="H533" cm="1">
        <f t="array" ref="H533">sentimentCalc(B533)</f>
        <v>0</v>
      </c>
      <c r="I533" s="5" t="str" cm="1">
        <f t="array" ref="I533">sentimentCategory(H533)</f>
        <v>Neutral</v>
      </c>
    </row>
    <row r="534" spans="1:9" x14ac:dyDescent="0.2">
      <c r="A534" s="3">
        <v>45499.921492997688</v>
      </c>
      <c r="B534" t="s">
        <v>726</v>
      </c>
      <c r="C534" t="s">
        <v>727</v>
      </c>
      <c r="D534" t="s">
        <v>728</v>
      </c>
      <c r="E534">
        <v>0</v>
      </c>
      <c r="F534">
        <v>0</v>
      </c>
      <c r="G534" t="s">
        <v>2</v>
      </c>
      <c r="H534" cm="1">
        <f t="array" ref="H534">sentimentCalc(B534)</f>
        <v>10</v>
      </c>
      <c r="I534" s="5" t="str" cm="1">
        <f t="array" ref="I534">sentimentCategory(H534)</f>
        <v>Positive</v>
      </c>
    </row>
    <row r="535" spans="1:9" x14ac:dyDescent="0.2">
      <c r="A535" s="3">
        <v>45500.921492997688</v>
      </c>
      <c r="B535" t="s">
        <v>729</v>
      </c>
      <c r="C535" t="s">
        <v>290</v>
      </c>
      <c r="D535" t="s">
        <v>291</v>
      </c>
      <c r="E535">
        <v>0</v>
      </c>
      <c r="F535">
        <v>0</v>
      </c>
      <c r="G535" t="s">
        <v>2</v>
      </c>
      <c r="H535" cm="1">
        <f t="array" ref="H535">sentimentCalc(B535)</f>
        <v>0</v>
      </c>
      <c r="I535" s="5" t="str" cm="1">
        <f t="array" ref="I535">sentimentCategory(H535)</f>
        <v>Neutral</v>
      </c>
    </row>
    <row r="536" spans="1:9" x14ac:dyDescent="0.2">
      <c r="A536" s="3">
        <v>45501.921492997688</v>
      </c>
      <c r="B536" t="s">
        <v>730</v>
      </c>
      <c r="C536" t="s">
        <v>731</v>
      </c>
      <c r="E536">
        <v>0</v>
      </c>
      <c r="F536">
        <v>0</v>
      </c>
      <c r="G536" t="s">
        <v>2</v>
      </c>
      <c r="H536" cm="1">
        <f t="array" ref="H536">sentimentCalc(B536)</f>
        <v>0</v>
      </c>
      <c r="I536" s="5" t="str" cm="1">
        <f t="array" ref="I536">sentimentCategory(H536)</f>
        <v>Neutral</v>
      </c>
    </row>
    <row r="537" spans="1:9" x14ac:dyDescent="0.2">
      <c r="A537" s="3">
        <v>45502.921492997688</v>
      </c>
      <c r="B537" t="s">
        <v>732</v>
      </c>
      <c r="C537" t="s">
        <v>7</v>
      </c>
      <c r="E537">
        <v>0</v>
      </c>
      <c r="F537">
        <v>0</v>
      </c>
      <c r="G537" t="s">
        <v>2</v>
      </c>
      <c r="H537" cm="1">
        <f t="array" ref="H537">sentimentCalc(B537)</f>
        <v>0</v>
      </c>
      <c r="I537" s="5" t="str" cm="1">
        <f t="array" ref="I537">sentimentCategory(H537)</f>
        <v>Neutral</v>
      </c>
    </row>
    <row r="538" spans="1:9" x14ac:dyDescent="0.2">
      <c r="A538" s="3">
        <v>45503.921492997688</v>
      </c>
      <c r="B538" t="s">
        <v>733</v>
      </c>
      <c r="C538" t="s">
        <v>734</v>
      </c>
      <c r="E538">
        <v>0</v>
      </c>
      <c r="F538">
        <v>0</v>
      </c>
      <c r="G538" t="s">
        <v>2</v>
      </c>
      <c r="H538" cm="1">
        <f t="array" ref="H538">sentimentCalc(B538)</f>
        <v>0</v>
      </c>
      <c r="I538" s="5" t="str" cm="1">
        <f t="array" ref="I538">sentimentCategory(H538)</f>
        <v>Neutral</v>
      </c>
    </row>
    <row r="539" spans="1:9" x14ac:dyDescent="0.2">
      <c r="A539" s="3">
        <v>45504.921492997688</v>
      </c>
      <c r="B539" t="s">
        <v>3</v>
      </c>
      <c r="C539" t="s">
        <v>4</v>
      </c>
      <c r="D539" t="s">
        <v>5</v>
      </c>
      <c r="E539">
        <v>0</v>
      </c>
      <c r="F539">
        <v>0</v>
      </c>
      <c r="G539" t="s">
        <v>2</v>
      </c>
      <c r="H539" cm="1">
        <f t="array" ref="H539">sentimentCalc(B539)</f>
        <v>0</v>
      </c>
      <c r="I539" s="5" t="str" cm="1">
        <f t="array" ref="I539">sentimentCategory(H539)</f>
        <v>Neutral</v>
      </c>
    </row>
    <row r="540" spans="1:9" x14ac:dyDescent="0.2">
      <c r="A540" s="3">
        <v>45505.921492997688</v>
      </c>
      <c r="B540" t="s">
        <v>735</v>
      </c>
      <c r="C540" t="s">
        <v>98</v>
      </c>
      <c r="D540" t="s">
        <v>13</v>
      </c>
      <c r="E540">
        <v>0</v>
      </c>
      <c r="F540">
        <v>0</v>
      </c>
      <c r="G540" t="s">
        <v>2</v>
      </c>
      <c r="H540" cm="1">
        <f t="array" ref="H540">sentimentCalc(B540)</f>
        <v>10</v>
      </c>
      <c r="I540" s="5" t="str" cm="1">
        <f t="array" ref="I540">sentimentCategory(H540)</f>
        <v>Positive</v>
      </c>
    </row>
    <row r="541" spans="1:9" x14ac:dyDescent="0.2">
      <c r="A541" s="3">
        <v>45506.921492997688</v>
      </c>
      <c r="B541" t="s">
        <v>736</v>
      </c>
      <c r="C541" t="s">
        <v>737</v>
      </c>
      <c r="E541">
        <v>0</v>
      </c>
      <c r="F541">
        <v>0</v>
      </c>
      <c r="G541" t="s">
        <v>2</v>
      </c>
      <c r="H541" cm="1">
        <f t="array" ref="H541">sentimentCalc(B541)</f>
        <v>-10</v>
      </c>
      <c r="I541" s="5" t="str" cm="1">
        <f t="array" ref="I541">sentimentCategory(H541)</f>
        <v>Negative</v>
      </c>
    </row>
    <row r="542" spans="1:9" x14ac:dyDescent="0.2">
      <c r="A542" s="3">
        <v>45507.921492997688</v>
      </c>
      <c r="B542" t="s">
        <v>738</v>
      </c>
      <c r="C542" t="s">
        <v>33</v>
      </c>
      <c r="D542" t="s">
        <v>34</v>
      </c>
      <c r="E542">
        <v>0</v>
      </c>
      <c r="F542">
        <v>0</v>
      </c>
      <c r="G542" t="s">
        <v>2</v>
      </c>
      <c r="H542" cm="1">
        <f t="array" ref="H542">sentimentCalc(B542)</f>
        <v>0</v>
      </c>
      <c r="I542" s="5" t="str" cm="1">
        <f t="array" ref="I542">sentimentCategory(H542)</f>
        <v>Neutral</v>
      </c>
    </row>
    <row r="543" spans="1:9" x14ac:dyDescent="0.2">
      <c r="A543" s="3">
        <v>45508.921492997688</v>
      </c>
      <c r="B543" t="s">
        <v>36</v>
      </c>
      <c r="C543" t="s">
        <v>33</v>
      </c>
      <c r="D543" t="s">
        <v>34</v>
      </c>
      <c r="E543">
        <v>0</v>
      </c>
      <c r="F543">
        <v>0</v>
      </c>
      <c r="G543" t="s">
        <v>2</v>
      </c>
      <c r="H543" cm="1">
        <f t="array" ref="H543">sentimentCalc(B543)</f>
        <v>10</v>
      </c>
      <c r="I543" s="5" t="str" cm="1">
        <f t="array" ref="I543">sentimentCategory(H543)</f>
        <v>Positive</v>
      </c>
    </row>
    <row r="544" spans="1:9" x14ac:dyDescent="0.2">
      <c r="A544" s="3"/>
      <c r="H544" cm="1">
        <f t="array" ref="H544">sentimentCalc(B544)</f>
        <v>0</v>
      </c>
      <c r="I544" s="5" t="str" cm="1">
        <f t="array" ref="I544">sentimentCategory(H544)</f>
        <v>Neutral</v>
      </c>
    </row>
    <row r="545" spans="1:9" x14ac:dyDescent="0.2">
      <c r="A545" s="3">
        <v>45510.921492997688</v>
      </c>
      <c r="B545" t="s">
        <v>35</v>
      </c>
      <c r="C545" t="s">
        <v>33</v>
      </c>
      <c r="D545" t="s">
        <v>34</v>
      </c>
      <c r="E545">
        <v>0</v>
      </c>
      <c r="F545">
        <v>0</v>
      </c>
      <c r="G545" t="s">
        <v>2</v>
      </c>
      <c r="H545" cm="1">
        <f t="array" ref="H545">sentimentCalc(B545)</f>
        <v>0</v>
      </c>
      <c r="I545" s="5" t="str" cm="1">
        <f t="array" ref="I545">sentimentCategory(H545)</f>
        <v>Neutral</v>
      </c>
    </row>
    <row r="546" spans="1:9" x14ac:dyDescent="0.2">
      <c r="A546" s="3">
        <v>45511.921492997688</v>
      </c>
      <c r="B546" t="s">
        <v>287</v>
      </c>
      <c r="C546" t="s">
        <v>33</v>
      </c>
      <c r="D546" t="s">
        <v>34</v>
      </c>
      <c r="E546">
        <v>0</v>
      </c>
      <c r="F546">
        <v>0</v>
      </c>
      <c r="G546" t="s">
        <v>2</v>
      </c>
      <c r="H546" cm="1">
        <f t="array" ref="H546">sentimentCalc(B546)</f>
        <v>0</v>
      </c>
      <c r="I546" s="5" t="str" cm="1">
        <f t="array" ref="I546">sentimentCategory(H546)</f>
        <v>Neutral</v>
      </c>
    </row>
    <row r="547" spans="1:9" x14ac:dyDescent="0.2">
      <c r="A547" s="3">
        <v>45512.921492997688</v>
      </c>
      <c r="B547" t="s">
        <v>739</v>
      </c>
      <c r="C547" t="s">
        <v>7</v>
      </c>
      <c r="E547">
        <v>0</v>
      </c>
      <c r="F547">
        <v>0</v>
      </c>
      <c r="G547" t="s">
        <v>2</v>
      </c>
      <c r="H547" cm="1">
        <f t="array" ref="H547">sentimentCalc(B547)</f>
        <v>0</v>
      </c>
      <c r="I547" s="5" t="str" cm="1">
        <f t="array" ref="I547">sentimentCategory(H547)</f>
        <v>Neutral</v>
      </c>
    </row>
    <row r="548" spans="1:9" x14ac:dyDescent="0.2">
      <c r="A548" s="3"/>
      <c r="H548" cm="1">
        <f t="array" ref="H548">sentimentCalc(B548)</f>
        <v>0</v>
      </c>
      <c r="I548" s="5" t="str" cm="1">
        <f t="array" ref="I548">sentimentCategory(H548)</f>
        <v>Neutral</v>
      </c>
    </row>
    <row r="549" spans="1:9" x14ac:dyDescent="0.2">
      <c r="A549" s="3">
        <v>45514.921492997688</v>
      </c>
      <c r="B549" t="s">
        <v>94</v>
      </c>
      <c r="C549" t="s">
        <v>22</v>
      </c>
      <c r="E549">
        <v>0</v>
      </c>
      <c r="F549">
        <v>0</v>
      </c>
      <c r="G549" t="s">
        <v>2</v>
      </c>
      <c r="H549" cm="1">
        <f t="array" ref="H549">sentimentCalc(B549)</f>
        <v>0</v>
      </c>
      <c r="I549" s="5" t="str" cm="1">
        <f t="array" ref="I549">sentimentCategory(H549)</f>
        <v>Neutral</v>
      </c>
    </row>
    <row r="550" spans="1:9" x14ac:dyDescent="0.2">
      <c r="A550" s="3">
        <v>45515.921492997688</v>
      </c>
      <c r="B550" t="s">
        <v>740</v>
      </c>
      <c r="C550" t="s">
        <v>741</v>
      </c>
      <c r="E550">
        <v>0</v>
      </c>
      <c r="F550">
        <v>1</v>
      </c>
      <c r="G550" t="s">
        <v>2</v>
      </c>
      <c r="H550" cm="1">
        <f t="array" ref="H550">sentimentCalc(B550)</f>
        <v>10</v>
      </c>
      <c r="I550" s="5" t="str" cm="1">
        <f t="array" ref="I550">sentimentCategory(H550)</f>
        <v>Positive</v>
      </c>
    </row>
    <row r="551" spans="1:9" x14ac:dyDescent="0.2">
      <c r="A551" s="3">
        <v>45516.921492997688</v>
      </c>
      <c r="B551" t="s">
        <v>742</v>
      </c>
      <c r="C551" t="s">
        <v>7</v>
      </c>
      <c r="E551">
        <v>0</v>
      </c>
      <c r="F551">
        <v>0</v>
      </c>
      <c r="G551" t="s">
        <v>2</v>
      </c>
      <c r="H551" cm="1">
        <f t="array" ref="H551">sentimentCalc(B551)</f>
        <v>0</v>
      </c>
      <c r="I551" s="5" t="str" cm="1">
        <f t="array" ref="I551">sentimentCategory(H551)</f>
        <v>Neutral</v>
      </c>
    </row>
    <row r="552" spans="1:9" x14ac:dyDescent="0.2">
      <c r="A552" s="3">
        <v>45517.921492997688</v>
      </c>
      <c r="B552" t="s">
        <v>743</v>
      </c>
      <c r="C552" t="s">
        <v>744</v>
      </c>
      <c r="D552" t="s">
        <v>745</v>
      </c>
      <c r="E552">
        <v>0</v>
      </c>
      <c r="F552">
        <v>2</v>
      </c>
      <c r="G552" t="s">
        <v>2</v>
      </c>
      <c r="H552" cm="1">
        <f t="array" ref="H552">sentimentCalc(B552)</f>
        <v>0</v>
      </c>
      <c r="I552" s="5" t="str" cm="1">
        <f t="array" ref="I552">sentimentCategory(H552)</f>
        <v>Neutral</v>
      </c>
    </row>
    <row r="553" spans="1:9" x14ac:dyDescent="0.2">
      <c r="A553" s="3">
        <v>45518.921492997688</v>
      </c>
      <c r="B553" t="s">
        <v>746</v>
      </c>
      <c r="C553" t="s">
        <v>747</v>
      </c>
      <c r="D553" t="s">
        <v>748</v>
      </c>
      <c r="E553">
        <v>1</v>
      </c>
      <c r="F553">
        <v>1</v>
      </c>
      <c r="G553" t="s">
        <v>2</v>
      </c>
      <c r="H553" cm="1">
        <f t="array" ref="H553">sentimentCalc(B553)</f>
        <v>20</v>
      </c>
      <c r="I553" s="5" t="str" cm="1">
        <f t="array" ref="I553">sentimentCategory(H553)</f>
        <v>Positive</v>
      </c>
    </row>
    <row r="554" spans="1:9" x14ac:dyDescent="0.2">
      <c r="A554" s="3">
        <v>45519.921492997688</v>
      </c>
      <c r="B554" t="s">
        <v>600</v>
      </c>
      <c r="C554" t="s">
        <v>12</v>
      </c>
      <c r="D554" t="s">
        <v>13</v>
      </c>
      <c r="E554">
        <v>0</v>
      </c>
      <c r="F554">
        <v>0</v>
      </c>
      <c r="G554" t="s">
        <v>2</v>
      </c>
      <c r="H554" cm="1">
        <f t="array" ref="H554">sentimentCalc(B554)</f>
        <v>0</v>
      </c>
      <c r="I554" s="5" t="str" cm="1">
        <f t="array" ref="I554">sentimentCategory(H554)</f>
        <v>Neutral</v>
      </c>
    </row>
    <row r="555" spans="1:9" x14ac:dyDescent="0.2">
      <c r="A555" s="3">
        <v>45520.921492997688</v>
      </c>
      <c r="B555" t="s">
        <v>749</v>
      </c>
      <c r="C555" t="s">
        <v>378</v>
      </c>
      <c r="D555" t="s">
        <v>129</v>
      </c>
      <c r="E555">
        <v>0</v>
      </c>
      <c r="F555">
        <v>0</v>
      </c>
      <c r="G555" t="s">
        <v>2</v>
      </c>
      <c r="H555" cm="1">
        <f t="array" ref="H555">sentimentCalc(B555)</f>
        <v>0</v>
      </c>
      <c r="I555" s="5" t="str" cm="1">
        <f t="array" ref="I555">sentimentCategory(H555)</f>
        <v>Neutral</v>
      </c>
    </row>
    <row r="556" spans="1:9" x14ac:dyDescent="0.2">
      <c r="A556" s="3">
        <v>45521.921492997688</v>
      </c>
      <c r="B556" t="s">
        <v>750</v>
      </c>
      <c r="C556" t="s">
        <v>751</v>
      </c>
      <c r="D556" t="s">
        <v>69</v>
      </c>
      <c r="E556">
        <v>2</v>
      </c>
      <c r="F556">
        <v>15</v>
      </c>
      <c r="G556" t="s">
        <v>2</v>
      </c>
      <c r="H556" cm="1">
        <f t="array" ref="H556">sentimentCalc(B556)</f>
        <v>10</v>
      </c>
      <c r="I556" s="5" t="str" cm="1">
        <f t="array" ref="I556">sentimentCategory(H556)</f>
        <v>Positive</v>
      </c>
    </row>
    <row r="557" spans="1:9" x14ac:dyDescent="0.2">
      <c r="A557" s="3">
        <v>45522.921492997688</v>
      </c>
      <c r="B557" t="s">
        <v>752</v>
      </c>
      <c r="C557" t="s">
        <v>753</v>
      </c>
      <c r="E557">
        <v>0</v>
      </c>
      <c r="F557">
        <v>0</v>
      </c>
      <c r="G557" t="s">
        <v>2</v>
      </c>
      <c r="H557" cm="1">
        <f t="array" ref="H557">sentimentCalc(B557)</f>
        <v>0</v>
      </c>
      <c r="I557" s="5" t="str" cm="1">
        <f t="array" ref="I557">sentimentCategory(H557)</f>
        <v>Neutral</v>
      </c>
    </row>
    <row r="558" spans="1:9" x14ac:dyDescent="0.2">
      <c r="A558" s="3">
        <v>45523.921492997688</v>
      </c>
      <c r="B558" t="s">
        <v>754</v>
      </c>
      <c r="C558" t="s">
        <v>7</v>
      </c>
      <c r="E558">
        <v>0</v>
      </c>
      <c r="F558">
        <v>0</v>
      </c>
      <c r="G558" t="s">
        <v>2</v>
      </c>
      <c r="H558" cm="1">
        <f t="array" ref="H558">sentimentCalc(B558)</f>
        <v>0</v>
      </c>
      <c r="I558" s="5" t="str" cm="1">
        <f t="array" ref="I558">sentimentCategory(H558)</f>
        <v>Neutral</v>
      </c>
    </row>
    <row r="559" spans="1:9" x14ac:dyDescent="0.2">
      <c r="A559" s="3">
        <v>45524.921492997688</v>
      </c>
      <c r="B559" t="s">
        <v>755</v>
      </c>
      <c r="C559" t="s">
        <v>756</v>
      </c>
      <c r="E559">
        <v>0</v>
      </c>
      <c r="F559">
        <v>0</v>
      </c>
      <c r="G559" t="s">
        <v>2</v>
      </c>
      <c r="H559" cm="1">
        <f t="array" ref="H559">sentimentCalc(B559)</f>
        <v>0</v>
      </c>
      <c r="I559" s="5" t="str" cm="1">
        <f t="array" ref="I559">sentimentCategory(H559)</f>
        <v>Neutral</v>
      </c>
    </row>
    <row r="560" spans="1:9" x14ac:dyDescent="0.2">
      <c r="A560" s="3">
        <v>45525.921492997688</v>
      </c>
      <c r="B560" t="s">
        <v>757</v>
      </c>
      <c r="C560" t="s">
        <v>632</v>
      </c>
      <c r="D560" t="s">
        <v>633</v>
      </c>
      <c r="E560">
        <v>0</v>
      </c>
      <c r="F560">
        <v>1</v>
      </c>
      <c r="G560" t="s">
        <v>2</v>
      </c>
      <c r="H560" cm="1">
        <f t="array" ref="H560">sentimentCalc(B560)</f>
        <v>10</v>
      </c>
      <c r="I560" s="5" t="str" cm="1">
        <f t="array" ref="I560">sentimentCategory(H560)</f>
        <v>Positive</v>
      </c>
    </row>
    <row r="561" spans="1:9" x14ac:dyDescent="0.2">
      <c r="A561" s="3">
        <v>45526.921492997688</v>
      </c>
      <c r="B561" t="s">
        <v>193</v>
      </c>
      <c r="C561" t="s">
        <v>143</v>
      </c>
      <c r="D561" t="s">
        <v>129</v>
      </c>
      <c r="E561">
        <v>0</v>
      </c>
      <c r="F561">
        <v>0</v>
      </c>
      <c r="G561" t="s">
        <v>2</v>
      </c>
      <c r="H561" cm="1">
        <f t="array" ref="H561">sentimentCalc(B561)</f>
        <v>0</v>
      </c>
      <c r="I561" s="5" t="str" cm="1">
        <f t="array" ref="I561">sentimentCategory(H561)</f>
        <v>Neutral</v>
      </c>
    </row>
    <row r="562" spans="1:9" x14ac:dyDescent="0.2">
      <c r="A562" s="3">
        <v>45527.921492997688</v>
      </c>
      <c r="B562" t="s">
        <v>758</v>
      </c>
      <c r="C562" t="s">
        <v>759</v>
      </c>
      <c r="E562">
        <v>0</v>
      </c>
      <c r="F562">
        <v>0</v>
      </c>
      <c r="G562" t="s">
        <v>2</v>
      </c>
      <c r="H562" cm="1">
        <f t="array" ref="H562">sentimentCalc(B562)</f>
        <v>0</v>
      </c>
      <c r="I562" s="5" t="str" cm="1">
        <f t="array" ref="I562">sentimentCategory(H562)</f>
        <v>Neutral</v>
      </c>
    </row>
    <row r="563" spans="1:9" x14ac:dyDescent="0.2">
      <c r="A563" s="3">
        <v>45528.921492997688</v>
      </c>
      <c r="B563" t="s">
        <v>760</v>
      </c>
      <c r="C563" t="s">
        <v>597</v>
      </c>
      <c r="D563" t="s">
        <v>5</v>
      </c>
      <c r="E563">
        <v>1</v>
      </c>
      <c r="F563">
        <v>1</v>
      </c>
      <c r="G563" t="s">
        <v>2</v>
      </c>
      <c r="H563" cm="1">
        <f t="array" ref="H563">sentimentCalc(B563)</f>
        <v>0</v>
      </c>
      <c r="I563" s="5" t="str" cm="1">
        <f t="array" ref="I563">sentimentCategory(H563)</f>
        <v>Neutral</v>
      </c>
    </row>
    <row r="564" spans="1:9" x14ac:dyDescent="0.2">
      <c r="A564" s="3">
        <v>45529.921492997688</v>
      </c>
      <c r="B564" t="s">
        <v>761</v>
      </c>
      <c r="C564" t="s">
        <v>384</v>
      </c>
      <c r="D564" t="s">
        <v>410</v>
      </c>
      <c r="E564">
        <v>0</v>
      </c>
      <c r="F564">
        <v>1</v>
      </c>
      <c r="G564" t="s">
        <v>2</v>
      </c>
      <c r="H564" cm="1">
        <f t="array" ref="H564">sentimentCalc(B564)</f>
        <v>0</v>
      </c>
      <c r="I564" s="5" t="str" cm="1">
        <f t="array" ref="I564">sentimentCategory(H564)</f>
        <v>Neutral</v>
      </c>
    </row>
    <row r="565" spans="1:9" x14ac:dyDescent="0.2">
      <c r="A565" s="3">
        <v>45530.921492997688</v>
      </c>
      <c r="B565" t="s">
        <v>762</v>
      </c>
      <c r="C565" t="s">
        <v>294</v>
      </c>
      <c r="E565">
        <v>0</v>
      </c>
      <c r="F565">
        <v>3</v>
      </c>
      <c r="G565" t="s">
        <v>2</v>
      </c>
      <c r="H565" cm="1">
        <f t="array" ref="H565">sentimentCalc(B565)</f>
        <v>-10</v>
      </c>
      <c r="I565" s="5" t="str" cm="1">
        <f t="array" ref="I565">sentimentCategory(H565)</f>
        <v>Negative</v>
      </c>
    </row>
    <row r="566" spans="1:9" x14ac:dyDescent="0.2">
      <c r="A566" s="3">
        <v>45531.921492997688</v>
      </c>
      <c r="B566" t="s">
        <v>763</v>
      </c>
      <c r="C566" t="s">
        <v>7</v>
      </c>
      <c r="E566">
        <v>0</v>
      </c>
      <c r="F566">
        <v>0</v>
      </c>
      <c r="G566" t="s">
        <v>2</v>
      </c>
      <c r="H566" cm="1">
        <f t="array" ref="H566">sentimentCalc(B566)</f>
        <v>0</v>
      </c>
      <c r="I566" s="5" t="str" cm="1">
        <f t="array" ref="I566">sentimentCategory(H566)</f>
        <v>Neutral</v>
      </c>
    </row>
    <row r="567" spans="1:9" x14ac:dyDescent="0.2">
      <c r="A567" s="3">
        <v>45532.921492997688</v>
      </c>
      <c r="B567" t="s">
        <v>764</v>
      </c>
      <c r="C567" t="s">
        <v>643</v>
      </c>
      <c r="E567">
        <v>0</v>
      </c>
      <c r="F567">
        <v>0</v>
      </c>
      <c r="G567" t="s">
        <v>2</v>
      </c>
      <c r="H567" cm="1">
        <f t="array" ref="H567">sentimentCalc(B567)</f>
        <v>0</v>
      </c>
      <c r="I567" s="5" t="str" cm="1">
        <f t="array" ref="I567">sentimentCategory(H567)</f>
        <v>Neutral</v>
      </c>
    </row>
    <row r="568" spans="1:9" x14ac:dyDescent="0.2">
      <c r="A568" s="3">
        <v>45533.921492997688</v>
      </c>
      <c r="B568" t="s">
        <v>765</v>
      </c>
      <c r="C568" t="s">
        <v>7</v>
      </c>
      <c r="E568">
        <v>0</v>
      </c>
      <c r="F568">
        <v>0</v>
      </c>
      <c r="G568" t="s">
        <v>2</v>
      </c>
      <c r="H568" cm="1">
        <f t="array" ref="H568">sentimentCalc(B568)</f>
        <v>0</v>
      </c>
      <c r="I568" s="5" t="str" cm="1">
        <f t="array" ref="I568">sentimentCategory(H568)</f>
        <v>Neutral</v>
      </c>
    </row>
    <row r="569" spans="1:9" x14ac:dyDescent="0.2">
      <c r="A569" s="3">
        <v>45534.921492997688</v>
      </c>
      <c r="B569" t="s">
        <v>766</v>
      </c>
      <c r="C569" t="s">
        <v>223</v>
      </c>
      <c r="D569" t="s">
        <v>767</v>
      </c>
      <c r="E569">
        <v>0</v>
      </c>
      <c r="F569">
        <v>3</v>
      </c>
      <c r="G569" t="s">
        <v>2</v>
      </c>
      <c r="H569" cm="1">
        <f t="array" ref="H569">sentimentCalc(B569)</f>
        <v>0</v>
      </c>
      <c r="I569" s="5" t="str" cm="1">
        <f t="array" ref="I569">sentimentCategory(H569)</f>
        <v>Neutral</v>
      </c>
    </row>
    <row r="570" spans="1:9" x14ac:dyDescent="0.2">
      <c r="A570" s="3">
        <v>45535.921492997688</v>
      </c>
      <c r="B570" t="s">
        <v>768</v>
      </c>
      <c r="C570" t="s">
        <v>7</v>
      </c>
      <c r="E570">
        <v>0</v>
      </c>
      <c r="F570">
        <v>0</v>
      </c>
      <c r="G570" t="s">
        <v>2</v>
      </c>
      <c r="H570" cm="1">
        <f t="array" ref="H570">sentimentCalc(B570)</f>
        <v>0</v>
      </c>
      <c r="I570" s="5" t="str" cm="1">
        <f t="array" ref="I570">sentimentCategory(H570)</f>
        <v>Neutral</v>
      </c>
    </row>
    <row r="571" spans="1:9" x14ac:dyDescent="0.2">
      <c r="A571" s="3">
        <v>45536.921492997688</v>
      </c>
      <c r="B571" t="s">
        <v>46</v>
      </c>
      <c r="C571" t="s">
        <v>22</v>
      </c>
      <c r="E571">
        <v>0</v>
      </c>
      <c r="F571">
        <v>0</v>
      </c>
      <c r="G571" t="s">
        <v>2</v>
      </c>
      <c r="H571" cm="1">
        <f t="array" ref="H571">sentimentCalc(B571)</f>
        <v>0</v>
      </c>
      <c r="I571" s="5" t="str" cm="1">
        <f t="array" ref="I571">sentimentCategory(H571)</f>
        <v>Neutral</v>
      </c>
    </row>
    <row r="572" spans="1:9" x14ac:dyDescent="0.2">
      <c r="A572" s="3">
        <v>45537.921492997688</v>
      </c>
      <c r="B572" t="s">
        <v>769</v>
      </c>
      <c r="C572" t="s">
        <v>673</v>
      </c>
      <c r="E572">
        <v>0</v>
      </c>
      <c r="F572">
        <v>0</v>
      </c>
      <c r="G572" t="s">
        <v>2</v>
      </c>
      <c r="H572" cm="1">
        <f t="array" ref="H572">sentimentCalc(B572)</f>
        <v>10</v>
      </c>
      <c r="I572" s="5" t="str" cm="1">
        <f t="array" ref="I572">sentimentCategory(H572)</f>
        <v>Positive</v>
      </c>
    </row>
    <row r="573" spans="1:9" x14ac:dyDescent="0.2">
      <c r="A573" s="3">
        <v>45538.921492997688</v>
      </c>
      <c r="B573" t="s">
        <v>770</v>
      </c>
      <c r="C573" t="s">
        <v>771</v>
      </c>
      <c r="E573">
        <v>0</v>
      </c>
      <c r="F573">
        <v>3</v>
      </c>
      <c r="G573" t="s">
        <v>2</v>
      </c>
      <c r="H573" cm="1">
        <f t="array" ref="H573">sentimentCalc(B573)</f>
        <v>0</v>
      </c>
      <c r="I573" s="5" t="str" cm="1">
        <f t="array" ref="I573">sentimentCategory(H573)</f>
        <v>Neutral</v>
      </c>
    </row>
    <row r="574" spans="1:9" x14ac:dyDescent="0.2">
      <c r="A574" s="3">
        <v>45539.921492997688</v>
      </c>
      <c r="B574" t="s">
        <v>772</v>
      </c>
      <c r="C574" t="s">
        <v>773</v>
      </c>
      <c r="D574" t="s">
        <v>774</v>
      </c>
      <c r="E574">
        <v>0</v>
      </c>
      <c r="F574">
        <v>0</v>
      </c>
      <c r="G574" t="s">
        <v>2</v>
      </c>
      <c r="H574" cm="1">
        <f t="array" ref="H574">sentimentCalc(B574)</f>
        <v>-10</v>
      </c>
      <c r="I574" s="5" t="str" cm="1">
        <f t="array" ref="I574">sentimentCategory(H574)</f>
        <v>Negative</v>
      </c>
    </row>
    <row r="575" spans="1:9" x14ac:dyDescent="0.2">
      <c r="A575" s="3">
        <v>45540.921492997688</v>
      </c>
      <c r="B575" t="s">
        <v>387</v>
      </c>
      <c r="C575" t="s">
        <v>143</v>
      </c>
      <c r="D575" t="s">
        <v>129</v>
      </c>
      <c r="E575">
        <v>0</v>
      </c>
      <c r="F575">
        <v>0</v>
      </c>
      <c r="G575" t="s">
        <v>2</v>
      </c>
      <c r="H575" cm="1">
        <f t="array" ref="H575">sentimentCalc(B575)</f>
        <v>-10</v>
      </c>
      <c r="I575" s="5" t="str" cm="1">
        <f t="array" ref="I575">sentimentCategory(H575)</f>
        <v>Negative</v>
      </c>
    </row>
    <row r="576" spans="1:9" x14ac:dyDescent="0.2">
      <c r="A576" s="3">
        <v>45541.921492997688</v>
      </c>
      <c r="B576" t="s">
        <v>775</v>
      </c>
      <c r="C576" t="s">
        <v>776</v>
      </c>
      <c r="D576" t="s">
        <v>777</v>
      </c>
      <c r="E576">
        <v>0</v>
      </c>
      <c r="F576">
        <v>0</v>
      </c>
      <c r="G576" t="s">
        <v>2</v>
      </c>
      <c r="H576" cm="1">
        <f t="array" ref="H576">sentimentCalc(B576)</f>
        <v>-10</v>
      </c>
      <c r="I576" s="5" t="str" cm="1">
        <f t="array" ref="I576">sentimentCategory(H576)</f>
        <v>Negative</v>
      </c>
    </row>
    <row r="577" spans="1:9" x14ac:dyDescent="0.2">
      <c r="A577" s="3">
        <v>45542.921492997688</v>
      </c>
      <c r="B577" t="s">
        <v>778</v>
      </c>
      <c r="C577" t="s">
        <v>7</v>
      </c>
      <c r="E577">
        <v>0</v>
      </c>
      <c r="F577">
        <v>0</v>
      </c>
      <c r="G577" t="s">
        <v>2</v>
      </c>
      <c r="H577" cm="1">
        <f t="array" ref="H577">sentimentCalc(B577)</f>
        <v>0</v>
      </c>
      <c r="I577" s="5" t="str" cm="1">
        <f t="array" ref="I577">sentimentCategory(H577)</f>
        <v>Neutral</v>
      </c>
    </row>
    <row r="578" spans="1:9" x14ac:dyDescent="0.2">
      <c r="A578" s="3">
        <v>45543.921492997688</v>
      </c>
      <c r="B578" t="s">
        <v>138</v>
      </c>
      <c r="C578" t="s">
        <v>22</v>
      </c>
      <c r="E578">
        <v>0</v>
      </c>
      <c r="F578">
        <v>0</v>
      </c>
      <c r="G578" t="s">
        <v>2</v>
      </c>
      <c r="H578" cm="1">
        <f t="array" ref="H578">sentimentCalc(B578)</f>
        <v>0</v>
      </c>
      <c r="I578" s="5" t="str" cm="1">
        <f t="array" ref="I578">sentimentCategory(H578)</f>
        <v>Neutral</v>
      </c>
    </row>
    <row r="579" spans="1:9" x14ac:dyDescent="0.2">
      <c r="A579" s="3">
        <v>45544.921492997688</v>
      </c>
      <c r="B579" t="s">
        <v>370</v>
      </c>
      <c r="C579" t="s">
        <v>143</v>
      </c>
      <c r="D579" t="s">
        <v>129</v>
      </c>
      <c r="E579">
        <v>0</v>
      </c>
      <c r="F579">
        <v>0</v>
      </c>
      <c r="G579" t="s">
        <v>2</v>
      </c>
      <c r="H579" cm="1">
        <f t="array" ref="H579">sentimentCalc(B579)</f>
        <v>-10</v>
      </c>
      <c r="I579" s="5" t="str" cm="1">
        <f t="array" ref="I579">sentimentCategory(H579)</f>
        <v>Negative</v>
      </c>
    </row>
    <row r="580" spans="1:9" x14ac:dyDescent="0.2">
      <c r="A580" s="3">
        <v>45545.921492997688</v>
      </c>
      <c r="B580" t="s">
        <v>144</v>
      </c>
      <c r="C580" t="s">
        <v>22</v>
      </c>
      <c r="E580">
        <v>0</v>
      </c>
      <c r="F580">
        <v>0</v>
      </c>
      <c r="G580" t="s">
        <v>2</v>
      </c>
      <c r="H580" cm="1">
        <f t="array" ref="H580">sentimentCalc(B580)</f>
        <v>0</v>
      </c>
      <c r="I580" s="5" t="str" cm="1">
        <f t="array" ref="I580">sentimentCategory(H580)</f>
        <v>Neutral</v>
      </c>
    </row>
    <row r="581" spans="1:9" x14ac:dyDescent="0.2">
      <c r="A581" s="3">
        <v>45546.921492997688</v>
      </c>
      <c r="B581" t="s">
        <v>3</v>
      </c>
      <c r="C581" t="s">
        <v>4</v>
      </c>
      <c r="D581" t="s">
        <v>5</v>
      </c>
      <c r="E581">
        <v>0</v>
      </c>
      <c r="F581">
        <v>0</v>
      </c>
      <c r="G581" t="s">
        <v>2</v>
      </c>
      <c r="H581" cm="1">
        <f t="array" ref="H581">sentimentCalc(B581)</f>
        <v>0</v>
      </c>
      <c r="I581" s="5" t="str" cm="1">
        <f t="array" ref="I581">sentimentCategory(H581)</f>
        <v>Neutral</v>
      </c>
    </row>
    <row r="582" spans="1:9" x14ac:dyDescent="0.2">
      <c r="A582" s="3">
        <v>45547.921492997688</v>
      </c>
      <c r="B582" t="s">
        <v>152</v>
      </c>
      <c r="C582" t="s">
        <v>22</v>
      </c>
      <c r="E582">
        <v>0</v>
      </c>
      <c r="F582">
        <v>0</v>
      </c>
      <c r="G582" t="s">
        <v>2</v>
      </c>
      <c r="H582" cm="1">
        <f t="array" ref="H582">sentimentCalc(B582)</f>
        <v>0</v>
      </c>
      <c r="I582" s="5" t="str" cm="1">
        <f t="array" ref="I582">sentimentCategory(H582)</f>
        <v>Neutral</v>
      </c>
    </row>
    <row r="583" spans="1:9" x14ac:dyDescent="0.2">
      <c r="A583" s="3">
        <v>45548.921492997688</v>
      </c>
      <c r="B583" t="s">
        <v>398</v>
      </c>
      <c r="C583" t="s">
        <v>143</v>
      </c>
      <c r="D583" t="s">
        <v>129</v>
      </c>
      <c r="E583">
        <v>0</v>
      </c>
      <c r="F583">
        <v>0</v>
      </c>
      <c r="G583" t="s">
        <v>2</v>
      </c>
      <c r="H583" cm="1">
        <f t="array" ref="H583">sentimentCalc(B583)</f>
        <v>0</v>
      </c>
      <c r="I583" s="5" t="str" cm="1">
        <f t="array" ref="I583">sentimentCategory(H583)</f>
        <v>Neutral</v>
      </c>
    </row>
    <row r="584" spans="1:9" x14ac:dyDescent="0.2">
      <c r="A584" s="3">
        <v>45549.921492997688</v>
      </c>
      <c r="B584" t="s">
        <v>151</v>
      </c>
      <c r="C584" t="s">
        <v>22</v>
      </c>
      <c r="E584">
        <v>0</v>
      </c>
      <c r="F584">
        <v>0</v>
      </c>
      <c r="G584" t="s">
        <v>2</v>
      </c>
      <c r="H584" cm="1">
        <f t="array" ref="H584">sentimentCalc(B584)</f>
        <v>0</v>
      </c>
      <c r="I584" s="5" t="str" cm="1">
        <f t="array" ref="I584">sentimentCategory(H584)</f>
        <v>Neutral</v>
      </c>
    </row>
    <row r="585" spans="1:9" x14ac:dyDescent="0.2">
      <c r="A585" s="3"/>
      <c r="H585" cm="1">
        <f t="array" ref="H585">sentimentCalc(B585)</f>
        <v>0</v>
      </c>
      <c r="I585" s="5" t="str" cm="1">
        <f t="array" ref="I585">sentimentCategory(H585)</f>
        <v>Neutral</v>
      </c>
    </row>
    <row r="586" spans="1:9" x14ac:dyDescent="0.2">
      <c r="A586" s="3">
        <v>45551.921492997688</v>
      </c>
      <c r="B586" t="s">
        <v>153</v>
      </c>
      <c r="C586" t="s">
        <v>22</v>
      </c>
      <c r="E586">
        <v>0</v>
      </c>
      <c r="F586">
        <v>0</v>
      </c>
      <c r="G586" t="s">
        <v>2</v>
      </c>
      <c r="H586" cm="1">
        <f t="array" ref="H586">sentimentCalc(B586)</f>
        <v>0</v>
      </c>
      <c r="I586" s="5" t="str" cm="1">
        <f t="array" ref="I586">sentimentCategory(H586)</f>
        <v>Neutral</v>
      </c>
    </row>
    <row r="587" spans="1:9" x14ac:dyDescent="0.2">
      <c r="A587" s="3">
        <v>45552.921492997688</v>
      </c>
      <c r="B587" t="s">
        <v>779</v>
      </c>
      <c r="C587" t="s">
        <v>341</v>
      </c>
      <c r="D587" t="s">
        <v>342</v>
      </c>
      <c r="E587">
        <v>1</v>
      </c>
      <c r="F587">
        <v>0</v>
      </c>
      <c r="G587" t="s">
        <v>2</v>
      </c>
      <c r="H587" cm="1">
        <f t="array" ref="H587">sentimentCalc(B587)</f>
        <v>20</v>
      </c>
      <c r="I587" s="5" t="str" cm="1">
        <f t="array" ref="I587">sentimentCategory(H587)</f>
        <v>Positive</v>
      </c>
    </row>
    <row r="588" spans="1:9" x14ac:dyDescent="0.2">
      <c r="A588" s="3">
        <v>45553.921492997688</v>
      </c>
      <c r="B588" t="s">
        <v>780</v>
      </c>
      <c r="C588" t="s">
        <v>7</v>
      </c>
      <c r="E588">
        <v>0</v>
      </c>
      <c r="F588">
        <v>0</v>
      </c>
      <c r="G588" t="s">
        <v>2</v>
      </c>
      <c r="H588" cm="1">
        <f t="array" ref="H588">sentimentCalc(B588)</f>
        <v>0</v>
      </c>
      <c r="I588" s="5" t="str" cm="1">
        <f t="array" ref="I588">sentimentCategory(H588)</f>
        <v>Neutral</v>
      </c>
    </row>
    <row r="589" spans="1:9" x14ac:dyDescent="0.2">
      <c r="A589" s="3">
        <v>45554.921492997688</v>
      </c>
      <c r="B589" t="s">
        <v>154</v>
      </c>
      <c r="C589" t="s">
        <v>22</v>
      </c>
      <c r="E589">
        <v>0</v>
      </c>
      <c r="F589">
        <v>0</v>
      </c>
      <c r="G589" t="s">
        <v>2</v>
      </c>
      <c r="H589" cm="1">
        <f t="array" ref="H589">sentimentCalc(B589)</f>
        <v>0</v>
      </c>
      <c r="I589" s="5" t="str" cm="1">
        <f t="array" ref="I589">sentimentCategory(H589)</f>
        <v>Neutral</v>
      </c>
    </row>
    <row r="590" spans="1:9" x14ac:dyDescent="0.2">
      <c r="A590" s="3"/>
      <c r="H590" cm="1">
        <f t="array" ref="H590">sentimentCalc(B590)</f>
        <v>0</v>
      </c>
      <c r="I590" s="5" t="str" cm="1">
        <f t="array" ref="I590">sentimentCategory(H590)</f>
        <v>Neutral</v>
      </c>
    </row>
    <row r="591" spans="1:9" x14ac:dyDescent="0.2">
      <c r="A591" s="3">
        <v>45556.921492997688</v>
      </c>
      <c r="B591" t="s">
        <v>781</v>
      </c>
      <c r="C591" t="s">
        <v>33</v>
      </c>
      <c r="D591" t="s">
        <v>34</v>
      </c>
      <c r="E591">
        <v>0</v>
      </c>
      <c r="F591">
        <v>0</v>
      </c>
      <c r="G591" t="s">
        <v>2</v>
      </c>
      <c r="H591" cm="1">
        <f t="array" ref="H591">sentimentCalc(B591)</f>
        <v>0</v>
      </c>
      <c r="I591" s="5" t="str" cm="1">
        <f t="array" ref="I591">sentimentCategory(H591)</f>
        <v>Neutral</v>
      </c>
    </row>
    <row r="592" spans="1:9" x14ac:dyDescent="0.2">
      <c r="A592" s="3">
        <v>45557.921492997688</v>
      </c>
      <c r="B592" t="s">
        <v>37</v>
      </c>
      <c r="C592" t="s">
        <v>33</v>
      </c>
      <c r="D592" t="s">
        <v>34</v>
      </c>
      <c r="E592">
        <v>0</v>
      </c>
      <c r="F592">
        <v>0</v>
      </c>
      <c r="G592" t="s">
        <v>2</v>
      </c>
      <c r="H592" cm="1">
        <f t="array" ref="H592">sentimentCalc(B592)</f>
        <v>0</v>
      </c>
      <c r="I592" s="5" t="str" cm="1">
        <f t="array" ref="I592">sentimentCategory(H592)</f>
        <v>Neutral</v>
      </c>
    </row>
    <row r="593" spans="1:9" x14ac:dyDescent="0.2">
      <c r="A593" s="3">
        <v>45558.921492997688</v>
      </c>
      <c r="B593" t="s">
        <v>36</v>
      </c>
      <c r="C593" t="s">
        <v>33</v>
      </c>
      <c r="D593" t="s">
        <v>34</v>
      </c>
      <c r="E593">
        <v>0</v>
      </c>
      <c r="F593">
        <v>0</v>
      </c>
      <c r="G593" t="s">
        <v>2</v>
      </c>
      <c r="H593" cm="1">
        <f t="array" ref="H593">sentimentCalc(B593)</f>
        <v>10</v>
      </c>
      <c r="I593" s="5" t="str" cm="1">
        <f t="array" ref="I593">sentimentCategory(H593)</f>
        <v>Positive</v>
      </c>
    </row>
    <row r="594" spans="1:9" x14ac:dyDescent="0.2">
      <c r="A594" s="3">
        <v>45559.921492997688</v>
      </c>
      <c r="B594" t="s">
        <v>287</v>
      </c>
      <c r="C594" t="s">
        <v>33</v>
      </c>
      <c r="D594" t="s">
        <v>34</v>
      </c>
      <c r="E594">
        <v>0</v>
      </c>
      <c r="F594">
        <v>0</v>
      </c>
      <c r="G594" t="s">
        <v>2</v>
      </c>
      <c r="H594" cm="1">
        <f t="array" ref="H594">sentimentCalc(B594)</f>
        <v>0</v>
      </c>
      <c r="I594" s="5" t="str" cm="1">
        <f t="array" ref="I594">sentimentCategory(H594)</f>
        <v>Neutral</v>
      </c>
    </row>
    <row r="595" spans="1:9" x14ac:dyDescent="0.2">
      <c r="A595" s="3">
        <v>45560.921492997688</v>
      </c>
      <c r="B595" t="s">
        <v>782</v>
      </c>
      <c r="C595" t="s">
        <v>487</v>
      </c>
      <c r="D595" t="s">
        <v>783</v>
      </c>
      <c r="E595">
        <v>0</v>
      </c>
      <c r="F595">
        <v>0</v>
      </c>
      <c r="G595" t="s">
        <v>2</v>
      </c>
      <c r="H595" cm="1">
        <f t="array" ref="H595">sentimentCalc(B595)</f>
        <v>0</v>
      </c>
      <c r="I595" s="5" t="str" cm="1">
        <f t="array" ref="I595">sentimentCategory(H595)</f>
        <v>Neutral</v>
      </c>
    </row>
    <row r="596" spans="1:9" x14ac:dyDescent="0.2">
      <c r="A596" s="3">
        <v>45561.921492997688</v>
      </c>
      <c r="B596" t="s">
        <v>784</v>
      </c>
      <c r="C596" t="s">
        <v>785</v>
      </c>
      <c r="D596" t="s">
        <v>786</v>
      </c>
      <c r="E596">
        <v>0</v>
      </c>
      <c r="F596">
        <v>2</v>
      </c>
      <c r="G596" t="s">
        <v>2</v>
      </c>
      <c r="H596" cm="1">
        <f t="array" ref="H596">sentimentCalc(B596)</f>
        <v>10</v>
      </c>
      <c r="I596" s="5" t="str" cm="1">
        <f t="array" ref="I596">sentimentCategory(H596)</f>
        <v>Positive</v>
      </c>
    </row>
    <row r="597" spans="1:9" x14ac:dyDescent="0.2">
      <c r="A597" s="3">
        <v>45562.921492997688</v>
      </c>
      <c r="B597" t="s">
        <v>159</v>
      </c>
      <c r="C597" t="s">
        <v>22</v>
      </c>
      <c r="E597">
        <v>0</v>
      </c>
      <c r="F597">
        <v>0</v>
      </c>
      <c r="G597" t="s">
        <v>2</v>
      </c>
      <c r="H597" cm="1">
        <f t="array" ref="H597">sentimentCalc(B597)</f>
        <v>0</v>
      </c>
      <c r="I597" s="5" t="str" cm="1">
        <f t="array" ref="I597">sentimentCategory(H597)</f>
        <v>Neutral</v>
      </c>
    </row>
    <row r="598" spans="1:9" x14ac:dyDescent="0.2">
      <c r="A598" s="3"/>
      <c r="H598" cm="1">
        <f t="array" ref="H598">sentimentCalc(B598)</f>
        <v>0</v>
      </c>
      <c r="I598" s="5" t="str" cm="1">
        <f t="array" ref="I598">sentimentCategory(H598)</f>
        <v>Neutral</v>
      </c>
    </row>
    <row r="599" spans="1:9" x14ac:dyDescent="0.2">
      <c r="A599" s="3">
        <v>45564.921492997688</v>
      </c>
      <c r="B599" t="s">
        <v>788</v>
      </c>
      <c r="C599" t="s">
        <v>789</v>
      </c>
      <c r="D599" t="s">
        <v>790</v>
      </c>
      <c r="E599">
        <v>0</v>
      </c>
      <c r="F599">
        <v>0</v>
      </c>
      <c r="G599" t="s">
        <v>2</v>
      </c>
      <c r="H599" cm="1">
        <f t="array" ref="H599">sentimentCalc(B599)</f>
        <v>0</v>
      </c>
      <c r="I599" s="5" t="str" cm="1">
        <f t="array" ref="I599">sentimentCategory(H599)</f>
        <v>Neutral</v>
      </c>
    </row>
    <row r="600" spans="1:9" x14ac:dyDescent="0.2">
      <c r="A600" s="3">
        <v>45565.921492997688</v>
      </c>
      <c r="B600" t="s">
        <v>787</v>
      </c>
      <c r="C600" t="s">
        <v>341</v>
      </c>
      <c r="D600" t="s">
        <v>342</v>
      </c>
      <c r="E600">
        <v>1</v>
      </c>
      <c r="F600">
        <v>0</v>
      </c>
      <c r="G600" t="s">
        <v>2</v>
      </c>
      <c r="H600" cm="1">
        <f t="array" ref="H600">sentimentCalc(B600)</f>
        <v>0</v>
      </c>
      <c r="I600" s="5" t="str" cm="1">
        <f t="array" ref="I600">sentimentCategory(H600)</f>
        <v>Neutral</v>
      </c>
    </row>
    <row r="601" spans="1:9" x14ac:dyDescent="0.2">
      <c r="A601" s="3">
        <v>45566.921492997688</v>
      </c>
      <c r="B601" t="s">
        <v>791</v>
      </c>
      <c r="C601" t="s">
        <v>792</v>
      </c>
      <c r="D601" t="s">
        <v>793</v>
      </c>
      <c r="E601">
        <v>0</v>
      </c>
      <c r="F601">
        <v>11</v>
      </c>
      <c r="G601" t="s">
        <v>2</v>
      </c>
      <c r="H601" cm="1">
        <f t="array" ref="H601">sentimentCalc(B601)</f>
        <v>0</v>
      </c>
      <c r="I601" s="5" t="str" cm="1">
        <f t="array" ref="I601">sentimentCategory(H601)</f>
        <v>Neutral</v>
      </c>
    </row>
    <row r="602" spans="1:9" x14ac:dyDescent="0.2">
      <c r="A602" s="3"/>
      <c r="H602" cm="1">
        <f t="array" ref="H602">sentimentCalc(B602)</f>
        <v>0</v>
      </c>
      <c r="I602" s="5" t="str" cm="1">
        <f t="array" ref="I602">sentimentCategory(H602)</f>
        <v>Neutral</v>
      </c>
    </row>
    <row r="603" spans="1:9" x14ac:dyDescent="0.2">
      <c r="A603" s="3">
        <v>45568.921492997688</v>
      </c>
      <c r="B603" t="s">
        <v>165</v>
      </c>
      <c r="C603" t="s">
        <v>22</v>
      </c>
      <c r="E603">
        <v>0</v>
      </c>
      <c r="F603">
        <v>0</v>
      </c>
      <c r="G603" t="s">
        <v>2</v>
      </c>
      <c r="H603" cm="1">
        <f t="array" ref="H603">sentimentCalc(B603)</f>
        <v>0</v>
      </c>
      <c r="I603" s="5" t="str" cm="1">
        <f t="array" ref="I603">sentimentCategory(H603)</f>
        <v>Neutral</v>
      </c>
    </row>
    <row r="604" spans="1:9" x14ac:dyDescent="0.2">
      <c r="A604" s="3">
        <v>45569.921492997688</v>
      </c>
      <c r="B604" t="s">
        <v>794</v>
      </c>
      <c r="C604" t="s">
        <v>286</v>
      </c>
      <c r="E604">
        <v>0</v>
      </c>
      <c r="F604">
        <v>0</v>
      </c>
      <c r="G604" t="s">
        <v>2</v>
      </c>
      <c r="H604" cm="1">
        <f t="array" ref="H604">sentimentCalc(B604)</f>
        <v>0</v>
      </c>
      <c r="I604" s="5" t="str" cm="1">
        <f t="array" ref="I604">sentimentCategory(H604)</f>
        <v>Neutral</v>
      </c>
    </row>
    <row r="605" spans="1:9" x14ac:dyDescent="0.2">
      <c r="A605" s="3">
        <v>45570.921492997688</v>
      </c>
      <c r="B605" t="s">
        <v>795</v>
      </c>
      <c r="C605" t="s">
        <v>796</v>
      </c>
      <c r="D605" t="s">
        <v>189</v>
      </c>
      <c r="E605">
        <v>0</v>
      </c>
      <c r="F605">
        <v>0</v>
      </c>
      <c r="G605" t="s">
        <v>2</v>
      </c>
      <c r="H605" cm="1">
        <f t="array" ref="H605">sentimentCalc(B605)</f>
        <v>0</v>
      </c>
      <c r="I605" s="5" t="str" cm="1">
        <f t="array" ref="I605">sentimentCategory(H605)</f>
        <v>Neutral</v>
      </c>
    </row>
    <row r="606" spans="1:9" x14ac:dyDescent="0.2">
      <c r="A606" s="3">
        <v>45571.921492997688</v>
      </c>
      <c r="B606" t="s">
        <v>414</v>
      </c>
      <c r="C606" t="s">
        <v>78</v>
      </c>
      <c r="E606">
        <v>0</v>
      </c>
      <c r="F606">
        <v>1</v>
      </c>
      <c r="G606" t="s">
        <v>2</v>
      </c>
      <c r="H606" cm="1">
        <f t="array" ref="H606">sentimentCalc(B606)</f>
        <v>10</v>
      </c>
      <c r="I606" s="5" t="str" cm="1">
        <f t="array" ref="I606">sentimentCategory(H606)</f>
        <v>Positive</v>
      </c>
    </row>
    <row r="607" spans="1:9" x14ac:dyDescent="0.2">
      <c r="A607" s="3">
        <v>45572.921492997688</v>
      </c>
      <c r="B607" t="s">
        <v>797</v>
      </c>
      <c r="C607" t="s">
        <v>798</v>
      </c>
      <c r="D607" t="s">
        <v>799</v>
      </c>
      <c r="E607">
        <v>0</v>
      </c>
      <c r="F607">
        <v>0</v>
      </c>
      <c r="G607" t="s">
        <v>2</v>
      </c>
      <c r="H607" cm="1">
        <f t="array" ref="H607">sentimentCalc(B607)</f>
        <v>0</v>
      </c>
      <c r="I607" s="5" t="str" cm="1">
        <f t="array" ref="I607">sentimentCategory(H607)</f>
        <v>Neutral</v>
      </c>
    </row>
    <row r="608" spans="1:9" x14ac:dyDescent="0.2">
      <c r="A608" s="3">
        <v>45573.921492997688</v>
      </c>
      <c r="B608" t="s">
        <v>800</v>
      </c>
      <c r="C608" t="s">
        <v>7</v>
      </c>
      <c r="E608">
        <v>0</v>
      </c>
      <c r="F608">
        <v>0</v>
      </c>
      <c r="G608" t="s">
        <v>2</v>
      </c>
      <c r="H608" cm="1">
        <f t="array" ref="H608">sentimentCalc(B608)</f>
        <v>0</v>
      </c>
      <c r="I608" s="5" t="str" cm="1">
        <f t="array" ref="I608">sentimentCategory(H608)</f>
        <v>Neutral</v>
      </c>
    </row>
    <row r="609" spans="1:9" x14ac:dyDescent="0.2">
      <c r="A609" s="3">
        <v>45574.921492997688</v>
      </c>
      <c r="B609" t="s">
        <v>801</v>
      </c>
      <c r="C609" t="s">
        <v>643</v>
      </c>
      <c r="E609">
        <v>0</v>
      </c>
      <c r="F609">
        <v>0</v>
      </c>
      <c r="G609" t="s">
        <v>2</v>
      </c>
      <c r="H609" cm="1">
        <f t="array" ref="H609">sentimentCalc(B609)</f>
        <v>0</v>
      </c>
      <c r="I609" s="5" t="str" cm="1">
        <f t="array" ref="I609">sentimentCategory(H609)</f>
        <v>Neutral</v>
      </c>
    </row>
    <row r="610" spans="1:9" x14ac:dyDescent="0.2">
      <c r="A610" s="3">
        <v>45575.921492997688</v>
      </c>
      <c r="B610" t="s">
        <v>802</v>
      </c>
      <c r="C610" t="s">
        <v>643</v>
      </c>
      <c r="E610">
        <v>0</v>
      </c>
      <c r="F610">
        <v>0</v>
      </c>
      <c r="G610" t="s">
        <v>2</v>
      </c>
      <c r="H610" cm="1">
        <f t="array" ref="H610">sentimentCalc(B610)</f>
        <v>10</v>
      </c>
      <c r="I610" s="5" t="str" cm="1">
        <f t="array" ref="I610">sentimentCategory(H610)</f>
        <v>Positive</v>
      </c>
    </row>
    <row r="611" spans="1:9" x14ac:dyDescent="0.2">
      <c r="A611" s="3"/>
      <c r="H611" cm="1">
        <f t="array" ref="H611">sentimentCalc(B611)</f>
        <v>0</v>
      </c>
      <c r="I611" s="5" t="str" cm="1">
        <f t="array" ref="I611">sentimentCategory(H611)</f>
        <v>Neutral</v>
      </c>
    </row>
    <row r="612" spans="1:9" x14ac:dyDescent="0.2">
      <c r="A612" s="3">
        <v>45577.921492997688</v>
      </c>
      <c r="B612" t="s">
        <v>804</v>
      </c>
      <c r="C612" t="s">
        <v>7</v>
      </c>
      <c r="E612">
        <v>0</v>
      </c>
      <c r="F612">
        <v>0</v>
      </c>
      <c r="G612" t="s">
        <v>2</v>
      </c>
      <c r="H612" cm="1">
        <f t="array" ref="H612">sentimentCalc(B612)</f>
        <v>0</v>
      </c>
      <c r="I612" s="5" t="str" cm="1">
        <f t="array" ref="I612">sentimentCategory(H612)</f>
        <v>Neutral</v>
      </c>
    </row>
    <row r="613" spans="1:9" x14ac:dyDescent="0.2">
      <c r="A613" s="3">
        <v>45578.921492997688</v>
      </c>
      <c r="B613" t="s">
        <v>805</v>
      </c>
      <c r="C613" t="s">
        <v>727</v>
      </c>
      <c r="D613" t="s">
        <v>728</v>
      </c>
      <c r="E613">
        <v>0</v>
      </c>
      <c r="F613">
        <v>8</v>
      </c>
      <c r="G613" t="s">
        <v>2</v>
      </c>
      <c r="H613" cm="1">
        <f t="array" ref="H613">sentimentCalc(B613)</f>
        <v>10</v>
      </c>
      <c r="I613" s="5" t="str" cm="1">
        <f t="array" ref="I613">sentimentCategory(H613)</f>
        <v>Positive</v>
      </c>
    </row>
    <row r="614" spans="1:9" x14ac:dyDescent="0.2">
      <c r="A614" s="3">
        <v>45579.921492997688</v>
      </c>
      <c r="B614" t="s">
        <v>194</v>
      </c>
      <c r="C614" t="s">
        <v>128</v>
      </c>
      <c r="D614" t="s">
        <v>129</v>
      </c>
      <c r="E614">
        <v>0</v>
      </c>
      <c r="F614">
        <v>0</v>
      </c>
      <c r="G614" t="s">
        <v>2</v>
      </c>
      <c r="H614" cm="1">
        <f t="array" ref="H614">sentimentCalc(B614)</f>
        <v>-10</v>
      </c>
      <c r="I614" s="5" t="str" cm="1">
        <f t="array" ref="I614">sentimentCategory(H614)</f>
        <v>Negative</v>
      </c>
    </row>
    <row r="615" spans="1:9" x14ac:dyDescent="0.2">
      <c r="A615" s="3">
        <v>45580.921492997688</v>
      </c>
      <c r="B615" t="s">
        <v>806</v>
      </c>
      <c r="C615" t="s">
        <v>134</v>
      </c>
      <c r="E615">
        <v>0</v>
      </c>
      <c r="F615">
        <v>0</v>
      </c>
      <c r="G615" t="s">
        <v>2</v>
      </c>
      <c r="H615" cm="1">
        <f t="array" ref="H615">sentimentCalc(B615)</f>
        <v>0</v>
      </c>
      <c r="I615" s="5" t="str" cm="1">
        <f t="array" ref="I615">sentimentCategory(H615)</f>
        <v>Neutral</v>
      </c>
    </row>
    <row r="616" spans="1:9" x14ac:dyDescent="0.2">
      <c r="A616" s="3">
        <v>45581.921492997688</v>
      </c>
      <c r="B616" t="s">
        <v>807</v>
      </c>
      <c r="C616" t="s">
        <v>808</v>
      </c>
      <c r="E616">
        <v>0</v>
      </c>
      <c r="F616">
        <v>2</v>
      </c>
      <c r="G616" t="s">
        <v>2</v>
      </c>
      <c r="H616" cm="1">
        <f t="array" ref="H616">sentimentCalc(B616)</f>
        <v>0</v>
      </c>
      <c r="I616" s="5" t="str" cm="1">
        <f t="array" ref="I616">sentimentCategory(H616)</f>
        <v>Neutral</v>
      </c>
    </row>
    <row r="617" spans="1:9" x14ac:dyDescent="0.2">
      <c r="A617" s="3">
        <v>45582.921492997688</v>
      </c>
      <c r="B617" t="s">
        <v>809</v>
      </c>
      <c r="C617" t="s">
        <v>7</v>
      </c>
      <c r="E617">
        <v>0</v>
      </c>
      <c r="F617">
        <v>0</v>
      </c>
      <c r="G617" t="s">
        <v>2</v>
      </c>
      <c r="H617" cm="1">
        <f t="array" ref="H617">sentimentCalc(B617)</f>
        <v>0</v>
      </c>
      <c r="I617" s="5" t="str" cm="1">
        <f t="array" ref="I617">sentimentCategory(H617)</f>
        <v>Neutral</v>
      </c>
    </row>
    <row r="618" spans="1:9" x14ac:dyDescent="0.2">
      <c r="A618" s="3"/>
      <c r="H618" cm="1">
        <f t="array" ref="H618">sentimentCalc(B618)</f>
        <v>0</v>
      </c>
      <c r="I618" s="5" t="str" cm="1">
        <f t="array" ref="I618">sentimentCategory(H618)</f>
        <v>Neutral</v>
      </c>
    </row>
    <row r="619" spans="1:9" x14ac:dyDescent="0.2">
      <c r="A619" s="3">
        <v>45584.921492997688</v>
      </c>
      <c r="B619" t="s">
        <v>396</v>
      </c>
      <c r="C619" t="s">
        <v>143</v>
      </c>
      <c r="D619" t="s">
        <v>129</v>
      </c>
      <c r="E619">
        <v>0</v>
      </c>
      <c r="F619">
        <v>0</v>
      </c>
      <c r="G619" t="s">
        <v>2</v>
      </c>
      <c r="H619" cm="1">
        <f t="array" ref="H619">sentimentCalc(B619)</f>
        <v>0</v>
      </c>
      <c r="I619" s="5" t="str" cm="1">
        <f t="array" ref="I619">sentimentCategory(H619)</f>
        <v>Neutral</v>
      </c>
    </row>
    <row r="620" spans="1:9" x14ac:dyDescent="0.2">
      <c r="A620" s="3">
        <v>45585.921492997688</v>
      </c>
      <c r="B620" t="s">
        <v>810</v>
      </c>
      <c r="C620" t="s">
        <v>7</v>
      </c>
      <c r="E620">
        <v>0</v>
      </c>
      <c r="F620">
        <v>0</v>
      </c>
      <c r="G620" t="s">
        <v>2</v>
      </c>
      <c r="H620" cm="1">
        <f t="array" ref="H620">sentimentCalc(B620)</f>
        <v>0</v>
      </c>
      <c r="I620" s="5" t="str" cm="1">
        <f t="array" ref="I620">sentimentCategory(H620)</f>
        <v>Neutral</v>
      </c>
    </row>
    <row r="621" spans="1:9" x14ac:dyDescent="0.2">
      <c r="A621" s="3">
        <v>45586.921492997688</v>
      </c>
      <c r="B621" t="s">
        <v>811</v>
      </c>
      <c r="C621" t="s">
        <v>128</v>
      </c>
      <c r="D621" t="s">
        <v>129</v>
      </c>
      <c r="E621">
        <v>0</v>
      </c>
      <c r="F621">
        <v>0</v>
      </c>
      <c r="G621" t="s">
        <v>2</v>
      </c>
      <c r="H621" cm="1">
        <f t="array" ref="H621">sentimentCalc(B621)</f>
        <v>-10</v>
      </c>
      <c r="I621" s="5" t="str" cm="1">
        <f t="array" ref="I621">sentimentCategory(H621)</f>
        <v>Negative</v>
      </c>
    </row>
    <row r="622" spans="1:9" x14ac:dyDescent="0.2">
      <c r="A622" s="3"/>
      <c r="H622" cm="1">
        <f t="array" ref="H622">sentimentCalc(B622)</f>
        <v>0</v>
      </c>
      <c r="I622" s="5" t="str" cm="1">
        <f t="array" ref="I622">sentimentCategory(H622)</f>
        <v>Neutral</v>
      </c>
    </row>
    <row r="623" spans="1:9" x14ac:dyDescent="0.2">
      <c r="A623" s="3">
        <v>45588.921492997688</v>
      </c>
      <c r="B623" t="s">
        <v>429</v>
      </c>
      <c r="C623" t="s">
        <v>143</v>
      </c>
      <c r="D623" t="s">
        <v>129</v>
      </c>
      <c r="E623">
        <v>0</v>
      </c>
      <c r="F623">
        <v>0</v>
      </c>
      <c r="G623" t="s">
        <v>2</v>
      </c>
      <c r="H623" cm="1">
        <f t="array" ref="H623">sentimentCalc(B623)</f>
        <v>-10</v>
      </c>
      <c r="I623" s="5" t="str" cm="1">
        <f t="array" ref="I623">sentimentCategory(H623)</f>
        <v>Negative</v>
      </c>
    </row>
    <row r="624" spans="1:9" x14ac:dyDescent="0.2">
      <c r="A624" s="3"/>
      <c r="H624" cm="1">
        <f t="array" ref="H624">sentimentCalc(B624)</f>
        <v>0</v>
      </c>
      <c r="I624" s="5" t="str" cm="1">
        <f t="array" ref="I624">sentimentCategory(H624)</f>
        <v>Neutral</v>
      </c>
    </row>
    <row r="625" spans="1:9" x14ac:dyDescent="0.2">
      <c r="A625" s="3">
        <v>45590.921492997688</v>
      </c>
      <c r="B625" t="s">
        <v>141</v>
      </c>
      <c r="C625" t="s">
        <v>128</v>
      </c>
      <c r="D625" t="s">
        <v>129</v>
      </c>
      <c r="E625">
        <v>0</v>
      </c>
      <c r="F625">
        <v>0</v>
      </c>
      <c r="G625" t="s">
        <v>2</v>
      </c>
      <c r="H625" cm="1">
        <f t="array" ref="H625">sentimentCalc(B625)</f>
        <v>0</v>
      </c>
      <c r="I625" s="5" t="str" cm="1">
        <f t="array" ref="I625">sentimentCategory(H625)</f>
        <v>Neutral</v>
      </c>
    </row>
    <row r="626" spans="1:9" x14ac:dyDescent="0.2">
      <c r="A626" s="3">
        <v>45591.921492997688</v>
      </c>
      <c r="B626" t="s">
        <v>812</v>
      </c>
      <c r="C626" t="s">
        <v>632</v>
      </c>
      <c r="D626" t="s">
        <v>633</v>
      </c>
      <c r="E626">
        <v>0</v>
      </c>
      <c r="F626">
        <v>1</v>
      </c>
      <c r="G626" t="s">
        <v>2</v>
      </c>
      <c r="H626" cm="1">
        <f t="array" ref="H626">sentimentCalc(B626)</f>
        <v>0</v>
      </c>
      <c r="I626" s="5" t="str" cm="1">
        <f t="array" ref="I626">sentimentCategory(H626)</f>
        <v>Neutral</v>
      </c>
    </row>
    <row r="627" spans="1:9" x14ac:dyDescent="0.2">
      <c r="A627" s="3">
        <v>45592.921492997688</v>
      </c>
      <c r="B627" t="s">
        <v>3</v>
      </c>
      <c r="C627" t="s">
        <v>4</v>
      </c>
      <c r="D627" t="s">
        <v>5</v>
      </c>
      <c r="E627">
        <v>0</v>
      </c>
      <c r="F627">
        <v>0</v>
      </c>
      <c r="G627" t="s">
        <v>2</v>
      </c>
      <c r="H627" cm="1">
        <f t="array" ref="H627">sentimentCalc(B627)</f>
        <v>0</v>
      </c>
      <c r="I627" s="5" t="str" cm="1">
        <f t="array" ref="I627">sentimentCategory(H627)</f>
        <v>Neutral</v>
      </c>
    </row>
    <row r="628" spans="1:9" x14ac:dyDescent="0.2">
      <c r="A628" s="3">
        <v>45593.921492997688</v>
      </c>
      <c r="B628" t="s">
        <v>813</v>
      </c>
      <c r="C628" t="s">
        <v>814</v>
      </c>
      <c r="D628" t="s">
        <v>815</v>
      </c>
      <c r="E628">
        <v>0</v>
      </c>
      <c r="F628">
        <v>0</v>
      </c>
      <c r="G628" t="s">
        <v>2</v>
      </c>
      <c r="H628" cm="1">
        <f t="array" ref="H628">sentimentCalc(B628)</f>
        <v>0</v>
      </c>
      <c r="I628" s="5" t="str" cm="1">
        <f t="array" ref="I628">sentimentCategory(H628)</f>
        <v>Neutral</v>
      </c>
    </row>
    <row r="629" spans="1:9" x14ac:dyDescent="0.2">
      <c r="A629" s="3">
        <v>45594.921492997688</v>
      </c>
      <c r="B629" t="s">
        <v>816</v>
      </c>
      <c r="C629" t="s">
        <v>128</v>
      </c>
      <c r="D629" t="s">
        <v>129</v>
      </c>
      <c r="E629">
        <v>0</v>
      </c>
      <c r="F629">
        <v>0</v>
      </c>
      <c r="G629" t="s">
        <v>2</v>
      </c>
      <c r="H629" cm="1">
        <f t="array" ref="H629">sentimentCalc(B629)</f>
        <v>-10</v>
      </c>
      <c r="I629" s="5" t="str" cm="1">
        <f t="array" ref="I629">sentimentCategory(H629)</f>
        <v>Negative</v>
      </c>
    </row>
    <row r="630" spans="1:9" x14ac:dyDescent="0.2">
      <c r="A630" s="3">
        <v>45595.921492997688</v>
      </c>
      <c r="B630" t="s">
        <v>817</v>
      </c>
      <c r="C630" t="s">
        <v>7</v>
      </c>
      <c r="E630">
        <v>0</v>
      </c>
      <c r="F630">
        <v>0</v>
      </c>
      <c r="G630" t="s">
        <v>2</v>
      </c>
      <c r="H630" cm="1">
        <f t="array" ref="H630">sentimentCalc(B630)</f>
        <v>0</v>
      </c>
      <c r="I630" s="5" t="str" cm="1">
        <f t="array" ref="I630">sentimentCategory(H630)</f>
        <v>Neutral</v>
      </c>
    </row>
    <row r="631" spans="1:9" x14ac:dyDescent="0.2">
      <c r="A631" s="3"/>
      <c r="H631" cm="1">
        <f t="array" ref="H631">sentimentCalc(B631)</f>
        <v>0</v>
      </c>
      <c r="I631" s="5" t="str" cm="1">
        <f t="array" ref="I631">sentimentCategory(H631)</f>
        <v>Neutral</v>
      </c>
    </row>
    <row r="632" spans="1:9" x14ac:dyDescent="0.2">
      <c r="A632" s="3">
        <v>45597.921492997688</v>
      </c>
      <c r="B632" t="s">
        <v>515</v>
      </c>
      <c r="C632" t="s">
        <v>143</v>
      </c>
      <c r="D632" t="s">
        <v>129</v>
      </c>
      <c r="E632">
        <v>0</v>
      </c>
      <c r="F632">
        <v>0</v>
      </c>
      <c r="G632" t="s">
        <v>2</v>
      </c>
      <c r="H632" cm="1">
        <f t="array" ref="H632">sentimentCalc(B632)</f>
        <v>20</v>
      </c>
      <c r="I632" s="5" t="str" cm="1">
        <f t="array" ref="I632">sentimentCategory(H632)</f>
        <v>Positive</v>
      </c>
    </row>
    <row r="633" spans="1:9" x14ac:dyDescent="0.2">
      <c r="A633" s="3">
        <v>45598.921492997688</v>
      </c>
      <c r="B633" t="s">
        <v>818</v>
      </c>
      <c r="C633" t="s">
        <v>819</v>
      </c>
      <c r="D633" t="s">
        <v>820</v>
      </c>
      <c r="E633">
        <v>0</v>
      </c>
      <c r="F633">
        <v>1</v>
      </c>
      <c r="G633" t="s">
        <v>2</v>
      </c>
      <c r="H633" cm="1">
        <f t="array" ref="H633">sentimentCalc(B633)</f>
        <v>0</v>
      </c>
      <c r="I633" s="5" t="str" cm="1">
        <f t="array" ref="I633">sentimentCategory(H633)</f>
        <v>Neutral</v>
      </c>
    </row>
    <row r="634" spans="1:9" x14ac:dyDescent="0.2">
      <c r="A634" s="3">
        <v>45599.921492997688</v>
      </c>
      <c r="B634" t="s">
        <v>821</v>
      </c>
      <c r="C634" t="s">
        <v>7</v>
      </c>
      <c r="E634">
        <v>0</v>
      </c>
      <c r="F634">
        <v>0</v>
      </c>
      <c r="G634" t="s">
        <v>2</v>
      </c>
      <c r="H634" cm="1">
        <f t="array" ref="H634">sentimentCalc(B634)</f>
        <v>0</v>
      </c>
      <c r="I634" s="5" t="str" cm="1">
        <f t="array" ref="I634">sentimentCategory(H634)</f>
        <v>Neutral</v>
      </c>
    </row>
    <row r="635" spans="1:9" x14ac:dyDescent="0.2">
      <c r="A635" s="3">
        <v>45600.921492997688</v>
      </c>
      <c r="B635" t="s">
        <v>822</v>
      </c>
      <c r="C635" t="s">
        <v>823</v>
      </c>
      <c r="E635">
        <v>0</v>
      </c>
      <c r="F635">
        <v>0</v>
      </c>
      <c r="G635" t="s">
        <v>2</v>
      </c>
      <c r="H635" cm="1">
        <f t="array" ref="H635">sentimentCalc(B635)</f>
        <v>0</v>
      </c>
      <c r="I635" s="5" t="str" cm="1">
        <f t="array" ref="I635">sentimentCategory(H635)</f>
        <v>Neutral</v>
      </c>
    </row>
    <row r="636" spans="1:9" x14ac:dyDescent="0.2">
      <c r="A636" s="3">
        <v>45601.921492997688</v>
      </c>
      <c r="B636" t="s">
        <v>824</v>
      </c>
      <c r="C636" t="s">
        <v>825</v>
      </c>
      <c r="E636">
        <v>0</v>
      </c>
      <c r="F636">
        <v>0</v>
      </c>
      <c r="G636" t="s">
        <v>2</v>
      </c>
      <c r="H636" cm="1">
        <f t="array" ref="H636">sentimentCalc(B636)</f>
        <v>0</v>
      </c>
      <c r="I636" s="5" t="str" cm="1">
        <f t="array" ref="I636">sentimentCategory(H636)</f>
        <v>Neutral</v>
      </c>
    </row>
    <row r="637" spans="1:9" x14ac:dyDescent="0.2">
      <c r="A637" s="3">
        <v>45602.921492997688</v>
      </c>
      <c r="B637" t="s">
        <v>826</v>
      </c>
      <c r="C637" t="s">
        <v>673</v>
      </c>
      <c r="E637">
        <v>0</v>
      </c>
      <c r="F637">
        <v>90</v>
      </c>
      <c r="G637" t="s">
        <v>2</v>
      </c>
      <c r="H637" cm="1">
        <f t="array" ref="H637">sentimentCalc(B637)</f>
        <v>0</v>
      </c>
      <c r="I637" s="5" t="str" cm="1">
        <f t="array" ref="I637">sentimentCategory(H637)</f>
        <v>Neutral</v>
      </c>
    </row>
    <row r="638" spans="1:9" x14ac:dyDescent="0.2">
      <c r="A638" s="3">
        <v>45603.921492997688</v>
      </c>
      <c r="B638" t="s">
        <v>827</v>
      </c>
      <c r="C638" t="s">
        <v>412</v>
      </c>
      <c r="D638" t="s">
        <v>828</v>
      </c>
      <c r="E638">
        <v>0</v>
      </c>
      <c r="F638">
        <v>0</v>
      </c>
      <c r="G638" t="s">
        <v>2</v>
      </c>
      <c r="H638" cm="1">
        <f t="array" ref="H638">sentimentCalc(B638)</f>
        <v>-10</v>
      </c>
      <c r="I638" s="5" t="str" cm="1">
        <f t="array" ref="I638">sentimentCategory(H638)</f>
        <v>Negative</v>
      </c>
    </row>
    <row r="639" spans="1:9" x14ac:dyDescent="0.2">
      <c r="A639" s="3">
        <v>45604.921492997688</v>
      </c>
      <c r="B639" t="s">
        <v>36</v>
      </c>
      <c r="C639" t="s">
        <v>33</v>
      </c>
      <c r="D639" t="s">
        <v>34</v>
      </c>
      <c r="E639">
        <v>0</v>
      </c>
      <c r="F639">
        <v>0</v>
      </c>
      <c r="G639" t="s">
        <v>2</v>
      </c>
      <c r="H639" cm="1">
        <f t="array" ref="H639">sentimentCalc(B639)</f>
        <v>10</v>
      </c>
      <c r="I639" s="5" t="str" cm="1">
        <f t="array" ref="I639">sentimentCategory(H639)</f>
        <v>Positive</v>
      </c>
    </row>
    <row r="640" spans="1:9" x14ac:dyDescent="0.2">
      <c r="A640" s="3">
        <v>45605.921492997688</v>
      </c>
      <c r="B640" t="s">
        <v>37</v>
      </c>
      <c r="C640" t="s">
        <v>33</v>
      </c>
      <c r="D640" t="s">
        <v>34</v>
      </c>
      <c r="E640">
        <v>0</v>
      </c>
      <c r="F640">
        <v>0</v>
      </c>
      <c r="G640" t="s">
        <v>2</v>
      </c>
      <c r="H640" cm="1">
        <f t="array" ref="H640">sentimentCalc(B640)</f>
        <v>0</v>
      </c>
      <c r="I640" s="5" t="str" cm="1">
        <f t="array" ref="I640">sentimentCategory(H640)</f>
        <v>Neutral</v>
      </c>
    </row>
    <row r="641" spans="1:9" x14ac:dyDescent="0.2">
      <c r="A641" s="3">
        <v>45606.921492997688</v>
      </c>
      <c r="B641" t="s">
        <v>829</v>
      </c>
      <c r="C641" t="s">
        <v>33</v>
      </c>
      <c r="D641" t="s">
        <v>34</v>
      </c>
      <c r="E641">
        <v>0</v>
      </c>
      <c r="F641">
        <v>0</v>
      </c>
      <c r="G641" t="s">
        <v>2</v>
      </c>
      <c r="H641" cm="1">
        <f t="array" ref="H641">sentimentCalc(B641)</f>
        <v>0</v>
      </c>
      <c r="I641" s="5" t="str" cm="1">
        <f t="array" ref="I641">sentimentCategory(H641)</f>
        <v>Neutral</v>
      </c>
    </row>
    <row r="642" spans="1:9" x14ac:dyDescent="0.2">
      <c r="A642" s="3">
        <v>45607.921492997688</v>
      </c>
      <c r="B642" t="s">
        <v>35</v>
      </c>
      <c r="C642" t="s">
        <v>33</v>
      </c>
      <c r="D642" t="s">
        <v>34</v>
      </c>
      <c r="E642">
        <v>0</v>
      </c>
      <c r="F642">
        <v>0</v>
      </c>
      <c r="G642" t="s">
        <v>2</v>
      </c>
      <c r="H642" cm="1">
        <f t="array" ref="H642">sentimentCalc(B642)</f>
        <v>0</v>
      </c>
      <c r="I642" s="5" t="str" cm="1">
        <f t="array" ref="I642">sentimentCategory(H642)</f>
        <v>Neutral</v>
      </c>
    </row>
    <row r="643" spans="1:9" x14ac:dyDescent="0.2">
      <c r="A643" s="3">
        <v>45608.921492997688</v>
      </c>
      <c r="B643" t="s">
        <v>287</v>
      </c>
      <c r="C643" t="s">
        <v>33</v>
      </c>
      <c r="D643" t="s">
        <v>34</v>
      </c>
      <c r="E643">
        <v>0</v>
      </c>
      <c r="F643">
        <v>0</v>
      </c>
      <c r="G643" t="s">
        <v>2</v>
      </c>
      <c r="H643" cm="1">
        <f t="array" ref="H643">sentimentCalc(B643)</f>
        <v>0</v>
      </c>
      <c r="I643" s="5" t="str" cm="1">
        <f t="array" ref="I643">sentimentCategory(H643)</f>
        <v>Neutral</v>
      </c>
    </row>
    <row r="644" spans="1:9" x14ac:dyDescent="0.2">
      <c r="A644" s="3">
        <v>45609.921492997688</v>
      </c>
      <c r="B644" t="s">
        <v>830</v>
      </c>
      <c r="C644" t="s">
        <v>699</v>
      </c>
      <c r="D644" t="s">
        <v>700</v>
      </c>
      <c r="E644">
        <v>0</v>
      </c>
      <c r="F644">
        <v>0</v>
      </c>
      <c r="G644" t="s">
        <v>2</v>
      </c>
      <c r="H644" cm="1">
        <f t="array" ref="H644">sentimentCalc(B644)</f>
        <v>10</v>
      </c>
      <c r="I644" s="5" t="str" cm="1">
        <f t="array" ref="I644">sentimentCategory(H644)</f>
        <v>Positive</v>
      </c>
    </row>
    <row r="645" spans="1:9" x14ac:dyDescent="0.2">
      <c r="A645" s="3">
        <v>45610.921492997688</v>
      </c>
      <c r="B645" t="s">
        <v>831</v>
      </c>
      <c r="C645" t="s">
        <v>832</v>
      </c>
      <c r="E645">
        <v>0</v>
      </c>
      <c r="F645">
        <v>0</v>
      </c>
      <c r="G645" t="s">
        <v>2</v>
      </c>
      <c r="H645" cm="1">
        <f t="array" ref="H645">sentimentCalc(B645)</f>
        <v>0</v>
      </c>
      <c r="I645" s="5" t="str" cm="1">
        <f t="array" ref="I645">sentimentCategory(H645)</f>
        <v>Neutral</v>
      </c>
    </row>
    <row r="646" spans="1:9" x14ac:dyDescent="0.2">
      <c r="A646" s="3">
        <v>45611.921492997688</v>
      </c>
      <c r="B646" t="s">
        <v>833</v>
      </c>
      <c r="C646" t="s">
        <v>12</v>
      </c>
      <c r="D646" t="s">
        <v>13</v>
      </c>
      <c r="E646">
        <v>0</v>
      </c>
      <c r="F646">
        <v>0</v>
      </c>
      <c r="G646" t="s">
        <v>2</v>
      </c>
      <c r="H646" cm="1">
        <f t="array" ref="H646">sentimentCalc(B646)</f>
        <v>0</v>
      </c>
      <c r="I646" s="5" t="str" cm="1">
        <f t="array" ref="I646">sentimentCategory(H646)</f>
        <v>Neutral</v>
      </c>
    </row>
    <row r="647" spans="1:9" x14ac:dyDescent="0.2">
      <c r="A647" s="3">
        <v>45612.921492997688</v>
      </c>
      <c r="B647" t="s">
        <v>834</v>
      </c>
      <c r="C647" t="s">
        <v>835</v>
      </c>
      <c r="E647">
        <v>0</v>
      </c>
      <c r="F647">
        <v>0</v>
      </c>
      <c r="G647" t="s">
        <v>2</v>
      </c>
      <c r="H647" cm="1">
        <f t="array" ref="H647">sentimentCalc(B647)</f>
        <v>0</v>
      </c>
      <c r="I647" s="5" t="str" cm="1">
        <f t="array" ref="I647">sentimentCategory(H647)</f>
        <v>Neutral</v>
      </c>
    </row>
    <row r="648" spans="1:9" x14ac:dyDescent="0.2">
      <c r="A648" s="3">
        <v>45613.921492997688</v>
      </c>
      <c r="B648" t="s">
        <v>836</v>
      </c>
      <c r="C648" t="s">
        <v>7</v>
      </c>
      <c r="E648">
        <v>0</v>
      </c>
      <c r="F648">
        <v>0</v>
      </c>
      <c r="G648" t="s">
        <v>2</v>
      </c>
      <c r="H648" cm="1">
        <f t="array" ref="H648">sentimentCalc(B648)</f>
        <v>0</v>
      </c>
      <c r="I648" s="5" t="str" cm="1">
        <f t="array" ref="I648">sentimentCategory(H648)</f>
        <v>Neutral</v>
      </c>
    </row>
    <row r="649" spans="1:9" x14ac:dyDescent="0.2">
      <c r="A649" s="3">
        <v>45614.921492997688</v>
      </c>
      <c r="B649" t="s">
        <v>837</v>
      </c>
      <c r="C649" t="s">
        <v>294</v>
      </c>
      <c r="E649">
        <v>0</v>
      </c>
      <c r="F649">
        <v>2</v>
      </c>
      <c r="G649" t="s">
        <v>2</v>
      </c>
      <c r="H649" cm="1">
        <f t="array" ref="H649">sentimentCalc(B649)</f>
        <v>0</v>
      </c>
      <c r="I649" s="5" t="str" cm="1">
        <f t="array" ref="I649">sentimentCategory(H649)</f>
        <v>Neutral</v>
      </c>
    </row>
    <row r="650" spans="1:9" x14ac:dyDescent="0.2">
      <c r="A650" s="3">
        <v>45615.921492997688</v>
      </c>
      <c r="B650" t="s">
        <v>838</v>
      </c>
      <c r="C650" t="s">
        <v>24</v>
      </c>
      <c r="D650" t="s">
        <v>25</v>
      </c>
      <c r="E650">
        <v>0</v>
      </c>
      <c r="F650">
        <v>0</v>
      </c>
      <c r="G650" t="s">
        <v>2</v>
      </c>
      <c r="H650" cm="1">
        <f t="array" ref="H650">sentimentCalc(B650)</f>
        <v>0</v>
      </c>
      <c r="I650" s="5" t="str" cm="1">
        <f t="array" ref="I650">sentimentCategory(H650)</f>
        <v>Neutral</v>
      </c>
    </row>
    <row r="651" spans="1:9" x14ac:dyDescent="0.2">
      <c r="A651" s="3">
        <v>45616.921492997688</v>
      </c>
      <c r="B651" t="s">
        <v>839</v>
      </c>
      <c r="C651" t="s">
        <v>840</v>
      </c>
      <c r="E651">
        <v>0</v>
      </c>
      <c r="F651">
        <v>0</v>
      </c>
      <c r="G651" t="s">
        <v>2</v>
      </c>
      <c r="H651" cm="1">
        <f t="array" ref="H651">sentimentCalc(B651)</f>
        <v>0</v>
      </c>
      <c r="I651" s="5" t="str" cm="1">
        <f t="array" ref="I651">sentimentCategory(H651)</f>
        <v>Neutral</v>
      </c>
    </row>
    <row r="652" spans="1:9" x14ac:dyDescent="0.2">
      <c r="A652" s="3">
        <v>45617.921492997688</v>
      </c>
      <c r="B652" t="s">
        <v>841</v>
      </c>
      <c r="C652" t="s">
        <v>842</v>
      </c>
      <c r="D652" t="s">
        <v>843</v>
      </c>
      <c r="E652">
        <v>0</v>
      </c>
      <c r="F652">
        <v>0</v>
      </c>
      <c r="G652" t="s">
        <v>2</v>
      </c>
      <c r="H652" cm="1">
        <f t="array" ref="H652">sentimentCalc(B652)</f>
        <v>0</v>
      </c>
      <c r="I652" s="5" t="str" cm="1">
        <f t="array" ref="I652">sentimentCategory(H652)</f>
        <v>Neutral</v>
      </c>
    </row>
    <row r="653" spans="1:9" x14ac:dyDescent="0.2">
      <c r="A653" s="3">
        <v>45618.921492997688</v>
      </c>
      <c r="B653" t="s">
        <v>844</v>
      </c>
      <c r="C653" t="s">
        <v>845</v>
      </c>
      <c r="D653" t="s">
        <v>846</v>
      </c>
      <c r="E653">
        <v>3</v>
      </c>
      <c r="F653">
        <v>6</v>
      </c>
      <c r="G653" t="s">
        <v>2</v>
      </c>
      <c r="H653" cm="1">
        <f t="array" ref="H653">sentimentCalc(B653)</f>
        <v>0</v>
      </c>
      <c r="I653" s="5" t="str" cm="1">
        <f t="array" ref="I653">sentimentCategory(H653)</f>
        <v>Neutral</v>
      </c>
    </row>
    <row r="654" spans="1:9" x14ac:dyDescent="0.2">
      <c r="A654" s="3">
        <v>45619.921492997688</v>
      </c>
      <c r="B654" t="s">
        <v>27</v>
      </c>
      <c r="C654" t="s">
        <v>12</v>
      </c>
      <c r="D654" t="s">
        <v>13</v>
      </c>
      <c r="E654">
        <v>0</v>
      </c>
      <c r="F654">
        <v>0</v>
      </c>
      <c r="G654" t="s">
        <v>2</v>
      </c>
      <c r="H654" cm="1">
        <f t="array" ref="H654">sentimentCalc(B654)</f>
        <v>10</v>
      </c>
      <c r="I654" s="5" t="str" cm="1">
        <f t="array" ref="I654">sentimentCategory(H654)</f>
        <v>Positive</v>
      </c>
    </row>
    <row r="655" spans="1:9" x14ac:dyDescent="0.2">
      <c r="A655" s="3"/>
      <c r="H655" cm="1">
        <f t="array" ref="H655">sentimentCalc(B655)</f>
        <v>0</v>
      </c>
      <c r="I655" s="5" t="str" cm="1">
        <f t="array" ref="I655">sentimentCategory(H655)</f>
        <v>Neutral</v>
      </c>
    </row>
    <row r="656" spans="1:9" x14ac:dyDescent="0.2">
      <c r="A656" s="3">
        <v>45621.921492997688</v>
      </c>
      <c r="B656" t="s">
        <v>848</v>
      </c>
      <c r="C656" t="s">
        <v>128</v>
      </c>
      <c r="D656" t="s">
        <v>129</v>
      </c>
      <c r="E656">
        <v>0</v>
      </c>
      <c r="F656">
        <v>0</v>
      </c>
      <c r="G656" t="s">
        <v>2</v>
      </c>
      <c r="H656" cm="1">
        <f t="array" ref="H656">sentimentCalc(B656)</f>
        <v>-10</v>
      </c>
      <c r="I656" s="5" t="str" cm="1">
        <f t="array" ref="I656">sentimentCategory(H656)</f>
        <v>Negative</v>
      </c>
    </row>
    <row r="657" spans="1:9" x14ac:dyDescent="0.2">
      <c r="A657" s="3">
        <v>45622.921492997688</v>
      </c>
      <c r="B657" t="s">
        <v>849</v>
      </c>
      <c r="C657" t="s">
        <v>850</v>
      </c>
      <c r="E657">
        <v>0</v>
      </c>
      <c r="F657">
        <v>1</v>
      </c>
      <c r="G657" t="s">
        <v>2</v>
      </c>
      <c r="H657" cm="1">
        <f t="array" ref="H657">sentimentCalc(B657)</f>
        <v>0</v>
      </c>
      <c r="I657" s="5" t="str" cm="1">
        <f t="array" ref="I657">sentimentCategory(H657)</f>
        <v>Neutral</v>
      </c>
    </row>
    <row r="658" spans="1:9" x14ac:dyDescent="0.2">
      <c r="A658" s="3">
        <v>45623.921492997688</v>
      </c>
      <c r="B658" t="s">
        <v>851</v>
      </c>
      <c r="C658" t="s">
        <v>852</v>
      </c>
      <c r="D658" t="s">
        <v>103</v>
      </c>
      <c r="E658">
        <v>0</v>
      </c>
      <c r="F658">
        <v>1</v>
      </c>
      <c r="G658" t="s">
        <v>2</v>
      </c>
      <c r="H658" cm="1">
        <f t="array" ref="H658">sentimentCalc(B658)</f>
        <v>0</v>
      </c>
      <c r="I658" s="5" t="str" cm="1">
        <f t="array" ref="I658">sentimentCategory(H658)</f>
        <v>Neutral</v>
      </c>
    </row>
    <row r="659" spans="1:9" x14ac:dyDescent="0.2">
      <c r="A659" s="3">
        <v>45624.921492997688</v>
      </c>
      <c r="B659" t="s">
        <v>853</v>
      </c>
      <c r="C659" t="s">
        <v>854</v>
      </c>
      <c r="D659" t="s">
        <v>855</v>
      </c>
      <c r="E659">
        <v>0</v>
      </c>
      <c r="F659">
        <v>0</v>
      </c>
      <c r="G659" t="s">
        <v>2</v>
      </c>
      <c r="H659" cm="1">
        <f t="array" ref="H659">sentimentCalc(B659)</f>
        <v>0</v>
      </c>
      <c r="I659" s="5" t="str" cm="1">
        <f t="array" ref="I659">sentimentCategory(H659)</f>
        <v>Neutral</v>
      </c>
    </row>
    <row r="660" spans="1:9" x14ac:dyDescent="0.2">
      <c r="A660" s="3">
        <v>45625.921492997688</v>
      </c>
      <c r="B660" t="s">
        <v>856</v>
      </c>
      <c r="C660" t="s">
        <v>24</v>
      </c>
      <c r="D660" t="s">
        <v>857</v>
      </c>
      <c r="E660">
        <v>0</v>
      </c>
      <c r="F660">
        <v>1</v>
      </c>
      <c r="G660" t="s">
        <v>2</v>
      </c>
      <c r="H660" cm="1">
        <f t="array" ref="H660">sentimentCalc(B660)</f>
        <v>0</v>
      </c>
      <c r="I660" s="5" t="str" cm="1">
        <f t="array" ref="I660">sentimentCategory(H660)</f>
        <v>Neutral</v>
      </c>
    </row>
    <row r="661" spans="1:9" x14ac:dyDescent="0.2">
      <c r="A661" s="3">
        <v>45626.921492997688</v>
      </c>
      <c r="B661" t="s">
        <v>858</v>
      </c>
      <c r="C661" t="s">
        <v>7</v>
      </c>
      <c r="E661">
        <v>0</v>
      </c>
      <c r="F661">
        <v>0</v>
      </c>
      <c r="G661" t="s">
        <v>2</v>
      </c>
      <c r="H661" cm="1">
        <f t="array" ref="H661">sentimentCalc(B661)</f>
        <v>0</v>
      </c>
      <c r="I661" s="5" t="str" cm="1">
        <f t="array" ref="I661">sentimentCategory(H661)</f>
        <v>Neutral</v>
      </c>
    </row>
    <row r="662" spans="1:9" x14ac:dyDescent="0.2">
      <c r="A662" s="3"/>
      <c r="H662" cm="1">
        <f t="array" ref="H662">sentimentCalc(B662)</f>
        <v>0</v>
      </c>
      <c r="I662" s="5" t="str" cm="1">
        <f t="array" ref="I662">sentimentCategory(H662)</f>
        <v>Neutral</v>
      </c>
    </row>
    <row r="663" spans="1:9" x14ac:dyDescent="0.2">
      <c r="A663" s="3">
        <v>45628.921492997688</v>
      </c>
      <c r="B663" t="s">
        <v>218</v>
      </c>
      <c r="C663" t="s">
        <v>22</v>
      </c>
      <c r="E663">
        <v>0</v>
      </c>
      <c r="F663">
        <v>0</v>
      </c>
      <c r="G663" t="s">
        <v>2</v>
      </c>
      <c r="H663" cm="1">
        <f t="array" ref="H663">sentimentCalc(B663)</f>
        <v>0</v>
      </c>
      <c r="I663" s="5" t="str" cm="1">
        <f t="array" ref="I663">sentimentCategory(H663)</f>
        <v>Neutral</v>
      </c>
    </row>
    <row r="664" spans="1:9" x14ac:dyDescent="0.2">
      <c r="A664" s="3">
        <v>45629.921492997688</v>
      </c>
      <c r="B664" t="s">
        <v>859</v>
      </c>
      <c r="C664" t="s">
        <v>860</v>
      </c>
      <c r="D664" t="s">
        <v>861</v>
      </c>
      <c r="E664">
        <v>0</v>
      </c>
      <c r="F664">
        <v>0</v>
      </c>
      <c r="G664" t="s">
        <v>2</v>
      </c>
      <c r="H664" cm="1">
        <f t="array" ref="H664">sentimentCalc(B664)</f>
        <v>0</v>
      </c>
      <c r="I664" s="5" t="str" cm="1">
        <f t="array" ref="I664">sentimentCategory(H664)</f>
        <v>Neutral</v>
      </c>
    </row>
    <row r="665" spans="1:9" x14ac:dyDescent="0.2">
      <c r="A665" s="3"/>
      <c r="H665" cm="1">
        <f t="array" ref="H665">sentimentCalc(B665)</f>
        <v>0</v>
      </c>
      <c r="I665" s="5" t="str" cm="1">
        <f t="array" ref="I665">sentimentCategory(H665)</f>
        <v>Neutral</v>
      </c>
    </row>
    <row r="666" spans="1:9" x14ac:dyDescent="0.2">
      <c r="A666" s="3">
        <v>45631.921492997688</v>
      </c>
      <c r="B666" t="s">
        <v>432</v>
      </c>
      <c r="C666" t="s">
        <v>143</v>
      </c>
      <c r="D666" t="s">
        <v>129</v>
      </c>
      <c r="E666">
        <v>0</v>
      </c>
      <c r="F666">
        <v>0</v>
      </c>
      <c r="G666" t="s">
        <v>2</v>
      </c>
      <c r="H666" cm="1">
        <f t="array" ref="H666">sentimentCalc(B666)</f>
        <v>-10</v>
      </c>
      <c r="I666" s="5" t="str" cm="1">
        <f t="array" ref="I666">sentimentCategory(H666)</f>
        <v>Negative</v>
      </c>
    </row>
    <row r="667" spans="1:9" x14ac:dyDescent="0.2">
      <c r="A667" s="3">
        <v>45632.921492997688</v>
      </c>
      <c r="B667" t="s">
        <v>862</v>
      </c>
      <c r="C667" t="s">
        <v>608</v>
      </c>
      <c r="E667">
        <v>0</v>
      </c>
      <c r="F667">
        <v>0</v>
      </c>
      <c r="G667" t="s">
        <v>2</v>
      </c>
      <c r="H667" cm="1">
        <f t="array" ref="H667">sentimentCalc(B667)</f>
        <v>0</v>
      </c>
      <c r="I667" s="5" t="str" cm="1">
        <f t="array" ref="I667">sentimentCategory(H667)</f>
        <v>Neutral</v>
      </c>
    </row>
    <row r="668" spans="1:9" x14ac:dyDescent="0.2">
      <c r="A668" s="3">
        <v>45633.921492997688</v>
      </c>
      <c r="B668" t="s">
        <v>863</v>
      </c>
      <c r="C668" t="s">
        <v>864</v>
      </c>
      <c r="E668">
        <v>0</v>
      </c>
      <c r="F668">
        <v>0</v>
      </c>
      <c r="G668" t="s">
        <v>2</v>
      </c>
      <c r="H668" cm="1">
        <f t="array" ref="H668">sentimentCalc(B668)</f>
        <v>10</v>
      </c>
      <c r="I668" s="5" t="str" cm="1">
        <f t="array" ref="I668">sentimentCategory(H668)</f>
        <v>Positive</v>
      </c>
    </row>
    <row r="669" spans="1:9" x14ac:dyDescent="0.2">
      <c r="A669" s="3">
        <v>45634.921492997688</v>
      </c>
      <c r="B669" t="s">
        <v>865</v>
      </c>
      <c r="C669" t="s">
        <v>7</v>
      </c>
      <c r="E669">
        <v>0</v>
      </c>
      <c r="F669">
        <v>0</v>
      </c>
      <c r="G669" t="s">
        <v>2</v>
      </c>
      <c r="H669" cm="1">
        <f t="array" ref="H669">sentimentCalc(B669)</f>
        <v>0</v>
      </c>
      <c r="I669" s="5" t="str" cm="1">
        <f t="array" ref="I669">sentimentCategory(H669)</f>
        <v>Neutral</v>
      </c>
    </row>
    <row r="670" spans="1:9" x14ac:dyDescent="0.2">
      <c r="A670" s="3">
        <v>45635.921492997688</v>
      </c>
      <c r="B670" t="s">
        <v>600</v>
      </c>
      <c r="C670" t="s">
        <v>12</v>
      </c>
      <c r="D670" t="s">
        <v>13</v>
      </c>
      <c r="E670">
        <v>0</v>
      </c>
      <c r="F670">
        <v>0</v>
      </c>
      <c r="G670" t="s">
        <v>2</v>
      </c>
      <c r="H670" cm="1">
        <f t="array" ref="H670">sentimentCalc(B670)</f>
        <v>0</v>
      </c>
      <c r="I670" s="5" t="str" cm="1">
        <f t="array" ref="I670">sentimentCategory(H670)</f>
        <v>Neutral</v>
      </c>
    </row>
    <row r="671" spans="1:9" x14ac:dyDescent="0.2">
      <c r="A671" s="3">
        <v>45636.921492997688</v>
      </c>
      <c r="B671" t="s">
        <v>866</v>
      </c>
      <c r="C671" t="s">
        <v>300</v>
      </c>
      <c r="D671" t="s">
        <v>301</v>
      </c>
      <c r="E671">
        <v>0</v>
      </c>
      <c r="F671">
        <v>0</v>
      </c>
      <c r="G671" t="s">
        <v>2</v>
      </c>
      <c r="H671" cm="1">
        <f t="array" ref="H671">sentimentCalc(B671)</f>
        <v>0</v>
      </c>
      <c r="I671" s="5" t="str" cm="1">
        <f t="array" ref="I671">sentimentCategory(H671)</f>
        <v>Neutral</v>
      </c>
    </row>
    <row r="672" spans="1:9" x14ac:dyDescent="0.2">
      <c r="A672" s="3">
        <v>45637.921492997688</v>
      </c>
      <c r="B672" t="s">
        <v>867</v>
      </c>
      <c r="C672" t="s">
        <v>24</v>
      </c>
      <c r="D672" t="s">
        <v>25</v>
      </c>
      <c r="E672">
        <v>0</v>
      </c>
      <c r="F672">
        <v>1</v>
      </c>
      <c r="G672" t="s">
        <v>2</v>
      </c>
      <c r="H672" cm="1">
        <f t="array" ref="H672">sentimentCalc(B672)</f>
        <v>0</v>
      </c>
      <c r="I672" s="5" t="str" cm="1">
        <f t="array" ref="I672">sentimentCategory(H672)</f>
        <v>Neutral</v>
      </c>
    </row>
    <row r="673" spans="1:9" x14ac:dyDescent="0.2">
      <c r="A673" s="3">
        <v>45638.921492997688</v>
      </c>
      <c r="B673" t="s">
        <v>868</v>
      </c>
      <c r="C673" t="s">
        <v>24</v>
      </c>
      <c r="D673" t="s">
        <v>25</v>
      </c>
      <c r="E673">
        <v>0</v>
      </c>
      <c r="F673">
        <v>0</v>
      </c>
      <c r="G673" t="s">
        <v>2</v>
      </c>
      <c r="H673" cm="1">
        <f t="array" ref="H673">sentimentCalc(B673)</f>
        <v>0</v>
      </c>
      <c r="I673" s="5" t="str" cm="1">
        <f t="array" ref="I673">sentimentCategory(H673)</f>
        <v>Neutral</v>
      </c>
    </row>
    <row r="674" spans="1:9" x14ac:dyDescent="0.2">
      <c r="A674" s="3">
        <v>45639.921492997688</v>
      </c>
      <c r="B674" t="s">
        <v>869</v>
      </c>
      <c r="C674" t="s">
        <v>24</v>
      </c>
      <c r="D674" t="s">
        <v>25</v>
      </c>
      <c r="E674">
        <v>0</v>
      </c>
      <c r="F674">
        <v>0</v>
      </c>
      <c r="G674" t="s">
        <v>2</v>
      </c>
      <c r="H674" cm="1">
        <f t="array" ref="H674">sentimentCalc(B674)</f>
        <v>0</v>
      </c>
      <c r="I674" s="5" t="str" cm="1">
        <f t="array" ref="I674">sentimentCategory(H674)</f>
        <v>Neutral</v>
      </c>
    </row>
    <row r="675" spans="1:9" x14ac:dyDescent="0.2">
      <c r="A675" s="3">
        <v>45640.921492997688</v>
      </c>
      <c r="B675" t="s">
        <v>537</v>
      </c>
      <c r="C675" t="s">
        <v>24</v>
      </c>
      <c r="D675" t="s">
        <v>25</v>
      </c>
      <c r="E675">
        <v>0</v>
      </c>
      <c r="F675">
        <v>0</v>
      </c>
      <c r="G675" t="s">
        <v>2</v>
      </c>
      <c r="H675" cm="1">
        <f t="array" ref="H675">sentimentCalc(B675)</f>
        <v>0</v>
      </c>
      <c r="I675" s="5" t="str" cm="1">
        <f t="array" ref="I675">sentimentCategory(H675)</f>
        <v>Neutral</v>
      </c>
    </row>
    <row r="676" spans="1:9" x14ac:dyDescent="0.2">
      <c r="A676" s="3">
        <v>45641.921492997688</v>
      </c>
      <c r="B676" t="s">
        <v>870</v>
      </c>
      <c r="C676" t="s">
        <v>871</v>
      </c>
      <c r="E676">
        <v>1</v>
      </c>
      <c r="F676">
        <v>2</v>
      </c>
      <c r="G676" t="s">
        <v>2</v>
      </c>
      <c r="H676" cm="1">
        <f t="array" ref="H676">sentimentCalc(B676)</f>
        <v>0</v>
      </c>
      <c r="I676" s="5" t="str" cm="1">
        <f t="array" ref="I676">sentimentCategory(H676)</f>
        <v>Neutral</v>
      </c>
    </row>
    <row r="677" spans="1:9" x14ac:dyDescent="0.2">
      <c r="A677" s="3">
        <v>45642.921492997688</v>
      </c>
      <c r="B677" t="s">
        <v>872</v>
      </c>
      <c r="C677" t="s">
        <v>873</v>
      </c>
      <c r="D677" t="s">
        <v>874</v>
      </c>
      <c r="E677">
        <v>0</v>
      </c>
      <c r="F677">
        <v>0</v>
      </c>
      <c r="G677" t="s">
        <v>2</v>
      </c>
      <c r="H677" cm="1">
        <f t="array" ref="H677">sentimentCalc(B677)</f>
        <v>0</v>
      </c>
      <c r="I677" s="5" t="str" cm="1">
        <f t="array" ref="I677">sentimentCategory(H677)</f>
        <v>Neutral</v>
      </c>
    </row>
    <row r="678" spans="1:9" x14ac:dyDescent="0.2">
      <c r="A678" s="3">
        <v>45643.921492997688</v>
      </c>
      <c r="B678" t="s">
        <v>875</v>
      </c>
      <c r="C678" t="s">
        <v>7</v>
      </c>
      <c r="E678">
        <v>0</v>
      </c>
      <c r="F678">
        <v>0</v>
      </c>
      <c r="G678" t="s">
        <v>2</v>
      </c>
      <c r="H678" cm="1">
        <f t="array" ref="H678">sentimentCalc(B678)</f>
        <v>0</v>
      </c>
      <c r="I678" s="5" t="str" cm="1">
        <f t="array" ref="I678">sentimentCategory(H678)</f>
        <v>Neutral</v>
      </c>
    </row>
    <row r="679" spans="1:9" x14ac:dyDescent="0.2">
      <c r="A679" s="3">
        <v>45644.921492997688</v>
      </c>
      <c r="B679" t="s">
        <v>876</v>
      </c>
      <c r="C679" t="s">
        <v>102</v>
      </c>
      <c r="D679" t="s">
        <v>103</v>
      </c>
      <c r="E679">
        <v>0</v>
      </c>
      <c r="F679">
        <v>0</v>
      </c>
      <c r="G679" t="s">
        <v>2</v>
      </c>
      <c r="H679" cm="1">
        <f t="array" ref="H679">sentimentCalc(B679)</f>
        <v>0</v>
      </c>
      <c r="I679" s="5" t="str" cm="1">
        <f t="array" ref="I679">sentimentCategory(H679)</f>
        <v>Neutral</v>
      </c>
    </row>
    <row r="680" spans="1:9" x14ac:dyDescent="0.2">
      <c r="A680" s="3">
        <v>45645.921492997688</v>
      </c>
      <c r="B680" t="s">
        <v>877</v>
      </c>
      <c r="C680" t="s">
        <v>510</v>
      </c>
      <c r="E680">
        <v>1</v>
      </c>
      <c r="F680">
        <v>2</v>
      </c>
      <c r="G680" t="s">
        <v>2</v>
      </c>
      <c r="H680" cm="1">
        <f t="array" ref="H680">sentimentCalc(B680)</f>
        <v>10</v>
      </c>
      <c r="I680" s="5" t="str" cm="1">
        <f t="array" ref="I680">sentimentCategory(H680)</f>
        <v>Positive</v>
      </c>
    </row>
    <row r="681" spans="1:9" x14ac:dyDescent="0.2">
      <c r="A681" s="3">
        <v>45646.921492997688</v>
      </c>
      <c r="B681" t="s">
        <v>878</v>
      </c>
      <c r="C681" t="s">
        <v>879</v>
      </c>
      <c r="D681" t="s">
        <v>880</v>
      </c>
      <c r="E681">
        <v>0</v>
      </c>
      <c r="F681">
        <v>1</v>
      </c>
      <c r="G681" t="s">
        <v>2</v>
      </c>
      <c r="H681" cm="1">
        <f t="array" ref="H681">sentimentCalc(B681)</f>
        <v>10</v>
      </c>
      <c r="I681" s="5" t="str" cm="1">
        <f t="array" ref="I681">sentimentCategory(H681)</f>
        <v>Positive</v>
      </c>
    </row>
    <row r="682" spans="1:9" x14ac:dyDescent="0.2">
      <c r="A682" s="3"/>
      <c r="H682" cm="1">
        <f t="array" ref="H682">sentimentCalc(B682)</f>
        <v>0</v>
      </c>
      <c r="I682" s="5" t="str" cm="1">
        <f t="array" ref="I682">sentimentCategory(H682)</f>
        <v>Neutral</v>
      </c>
    </row>
    <row r="683" spans="1:9" x14ac:dyDescent="0.2">
      <c r="A683" s="3">
        <v>45648.921492997688</v>
      </c>
      <c r="B683" t="s">
        <v>760</v>
      </c>
      <c r="C683" t="s">
        <v>24</v>
      </c>
      <c r="D683" t="s">
        <v>25</v>
      </c>
      <c r="E683">
        <v>0</v>
      </c>
      <c r="F683">
        <v>0</v>
      </c>
      <c r="G683" t="s">
        <v>2</v>
      </c>
      <c r="H683" cm="1">
        <f t="array" ref="H683">sentimentCalc(B683)</f>
        <v>0</v>
      </c>
      <c r="I683" s="5" t="str" cm="1">
        <f t="array" ref="I683">sentimentCategory(H683)</f>
        <v>Neutral</v>
      </c>
    </row>
    <row r="684" spans="1:9" x14ac:dyDescent="0.2">
      <c r="A684" s="3">
        <v>45649.921492997688</v>
      </c>
      <c r="B684" t="s">
        <v>863</v>
      </c>
      <c r="C684" t="s">
        <v>24</v>
      </c>
      <c r="D684" t="s">
        <v>25</v>
      </c>
      <c r="E684">
        <v>0</v>
      </c>
      <c r="F684">
        <v>0</v>
      </c>
      <c r="G684" t="s">
        <v>2</v>
      </c>
      <c r="H684" cm="1">
        <f t="array" ref="H684">sentimentCalc(B684)</f>
        <v>10</v>
      </c>
      <c r="I684" s="5" t="str" cm="1">
        <f t="array" ref="I684">sentimentCategory(H684)</f>
        <v>Positive</v>
      </c>
    </row>
    <row r="685" spans="1:9" x14ac:dyDescent="0.2">
      <c r="A685" s="3">
        <v>45650.921492997688</v>
      </c>
      <c r="B685" t="s">
        <v>3</v>
      </c>
      <c r="C685" t="s">
        <v>4</v>
      </c>
      <c r="D685" t="s">
        <v>5</v>
      </c>
      <c r="E685">
        <v>0</v>
      </c>
      <c r="F685">
        <v>0</v>
      </c>
      <c r="G685" t="s">
        <v>2</v>
      </c>
      <c r="H685" cm="1">
        <f t="array" ref="H685">sentimentCalc(B685)</f>
        <v>0</v>
      </c>
      <c r="I685" s="5" t="str" cm="1">
        <f t="array" ref="I685">sentimentCategory(H685)</f>
        <v>Neutral</v>
      </c>
    </row>
    <row r="686" spans="1:9" x14ac:dyDescent="0.2">
      <c r="A686" s="3">
        <v>45651.921492997688</v>
      </c>
      <c r="B686" t="s">
        <v>148</v>
      </c>
      <c r="C686" t="s">
        <v>24</v>
      </c>
      <c r="D686" t="s">
        <v>25</v>
      </c>
      <c r="E686">
        <v>0</v>
      </c>
      <c r="F686">
        <v>0</v>
      </c>
      <c r="G686" t="s">
        <v>2</v>
      </c>
      <c r="H686" cm="1">
        <f t="array" ref="H686">sentimentCalc(B686)</f>
        <v>0</v>
      </c>
      <c r="I686" s="5" t="str" cm="1">
        <f t="array" ref="I686">sentimentCategory(H686)</f>
        <v>Neutral</v>
      </c>
    </row>
    <row r="687" spans="1:9" x14ac:dyDescent="0.2">
      <c r="A687" s="3">
        <v>45652.921492997688</v>
      </c>
      <c r="B687" t="s">
        <v>883</v>
      </c>
      <c r="C687" t="s">
        <v>884</v>
      </c>
      <c r="D687" t="s">
        <v>34</v>
      </c>
      <c r="E687">
        <v>0</v>
      </c>
      <c r="F687">
        <v>2</v>
      </c>
      <c r="G687" t="s">
        <v>2</v>
      </c>
      <c r="H687" cm="1">
        <f t="array" ref="H687">sentimentCalc(B687)</f>
        <v>0</v>
      </c>
      <c r="I687" s="5" t="str" cm="1">
        <f t="array" ref="I687">sentimentCategory(H687)</f>
        <v>Neutral</v>
      </c>
    </row>
    <row r="688" spans="1:9" x14ac:dyDescent="0.2">
      <c r="A688" s="3">
        <v>45653.921492997688</v>
      </c>
      <c r="B688" t="s">
        <v>885</v>
      </c>
      <c r="C688" t="s">
        <v>24</v>
      </c>
      <c r="D688" t="s">
        <v>25</v>
      </c>
      <c r="E688">
        <v>0</v>
      </c>
      <c r="F688">
        <v>0</v>
      </c>
      <c r="G688" t="s">
        <v>2</v>
      </c>
      <c r="H688" cm="1">
        <f t="array" ref="H688">sentimentCalc(B688)</f>
        <v>0</v>
      </c>
      <c r="I688" s="5" t="str" cm="1">
        <f t="array" ref="I688">sentimentCategory(H688)</f>
        <v>Neutral</v>
      </c>
    </row>
    <row r="689" spans="1:9" x14ac:dyDescent="0.2">
      <c r="A689" s="3">
        <v>45654.921492997688</v>
      </c>
      <c r="B689" t="s">
        <v>886</v>
      </c>
      <c r="C689" t="s">
        <v>887</v>
      </c>
      <c r="E689">
        <v>0</v>
      </c>
      <c r="F689">
        <v>0</v>
      </c>
      <c r="G689" t="s">
        <v>2</v>
      </c>
      <c r="H689" cm="1">
        <f t="array" ref="H689">sentimentCalc(B689)</f>
        <v>0</v>
      </c>
      <c r="I689" s="5" t="str" cm="1">
        <f t="array" ref="I689">sentimentCategory(H689)</f>
        <v>Neutral</v>
      </c>
    </row>
    <row r="690" spans="1:9" x14ac:dyDescent="0.2">
      <c r="A690" s="3">
        <v>45655.921492997688</v>
      </c>
      <c r="B690" t="s">
        <v>888</v>
      </c>
      <c r="C690" t="s">
        <v>24</v>
      </c>
      <c r="D690" t="s">
        <v>25</v>
      </c>
      <c r="E690">
        <v>0</v>
      </c>
      <c r="F690">
        <v>0</v>
      </c>
      <c r="G690" t="s">
        <v>2</v>
      </c>
      <c r="H690" cm="1">
        <f t="array" ref="H690">sentimentCalc(B690)</f>
        <v>20</v>
      </c>
      <c r="I690" s="5" t="str" cm="1">
        <f t="array" ref="I690">sentimentCategory(H690)</f>
        <v>Positive</v>
      </c>
    </row>
    <row r="691" spans="1:9" x14ac:dyDescent="0.2">
      <c r="A691" s="3">
        <v>45656.921492997688</v>
      </c>
      <c r="B691" t="s">
        <v>29</v>
      </c>
      <c r="C691" t="s">
        <v>24</v>
      </c>
      <c r="D691" t="s">
        <v>25</v>
      </c>
      <c r="E691">
        <v>0</v>
      </c>
      <c r="F691">
        <v>0</v>
      </c>
      <c r="G691" t="s">
        <v>2</v>
      </c>
      <c r="H691" cm="1">
        <f t="array" ref="H691">sentimentCalc(B691)</f>
        <v>10</v>
      </c>
      <c r="I691" s="5" t="str" cm="1">
        <f t="array" ref="I691">sentimentCategory(H691)</f>
        <v>Positive</v>
      </c>
    </row>
    <row r="692" spans="1:9" x14ac:dyDescent="0.2">
      <c r="A692" s="3">
        <v>45657.921492997688</v>
      </c>
      <c r="B692" t="s">
        <v>889</v>
      </c>
      <c r="C692" t="s">
        <v>24</v>
      </c>
      <c r="D692" t="s">
        <v>25</v>
      </c>
      <c r="E692">
        <v>0</v>
      </c>
      <c r="F692">
        <v>1</v>
      </c>
      <c r="G692" t="s">
        <v>2</v>
      </c>
      <c r="H692" cm="1">
        <f t="array" ref="H692">sentimentCalc(B692)</f>
        <v>0</v>
      </c>
      <c r="I692" s="5" t="str" cm="1">
        <f t="array" ref="I692">sentimentCategory(H692)</f>
        <v>Neutral</v>
      </c>
    </row>
    <row r="693" spans="1:9" x14ac:dyDescent="0.2">
      <c r="A693" s="3">
        <v>45658.921492997688</v>
      </c>
      <c r="B693" t="s">
        <v>890</v>
      </c>
      <c r="C693" t="s">
        <v>891</v>
      </c>
      <c r="D693" t="s">
        <v>892</v>
      </c>
      <c r="E693">
        <v>0</v>
      </c>
      <c r="F693">
        <v>0</v>
      </c>
      <c r="G693" t="s">
        <v>2</v>
      </c>
      <c r="H693" cm="1">
        <f t="array" ref="H693">sentimentCalc(B693)</f>
        <v>0</v>
      </c>
      <c r="I693" s="5" t="str" cm="1">
        <f t="array" ref="I693">sentimentCategory(H693)</f>
        <v>Neutral</v>
      </c>
    </row>
    <row r="694" spans="1:9" x14ac:dyDescent="0.2">
      <c r="A694" s="3">
        <v>45659.921492997688</v>
      </c>
      <c r="B694" t="s">
        <v>99</v>
      </c>
      <c r="C694" t="s">
        <v>24</v>
      </c>
      <c r="D694" t="s">
        <v>25</v>
      </c>
      <c r="E694">
        <v>1</v>
      </c>
      <c r="F694">
        <v>0</v>
      </c>
      <c r="G694" t="s">
        <v>2</v>
      </c>
      <c r="H694" cm="1">
        <f t="array" ref="H694">sentimentCalc(B694)</f>
        <v>0</v>
      </c>
      <c r="I694" s="5" t="str" cm="1">
        <f t="array" ref="I694">sentimentCategory(H694)</f>
        <v>Neutral</v>
      </c>
    </row>
    <row r="695" spans="1:9" x14ac:dyDescent="0.2">
      <c r="A695" s="3"/>
      <c r="H695" cm="1">
        <f t="array" ref="H695">sentimentCalc(B695)</f>
        <v>0</v>
      </c>
      <c r="I695" s="5" t="str" cm="1">
        <f t="array" ref="I695">sentimentCategory(H695)</f>
        <v>Neutral</v>
      </c>
    </row>
    <row r="696" spans="1:9" x14ac:dyDescent="0.2">
      <c r="A696" s="3">
        <v>45661.921492997688</v>
      </c>
      <c r="B696" t="s">
        <v>337</v>
      </c>
      <c r="C696" t="s">
        <v>128</v>
      </c>
      <c r="D696" t="s">
        <v>129</v>
      </c>
      <c r="E696">
        <v>0</v>
      </c>
      <c r="F696">
        <v>0</v>
      </c>
      <c r="G696" t="s">
        <v>2</v>
      </c>
      <c r="H696" cm="1">
        <f t="array" ref="H696">sentimentCalc(B696)</f>
        <v>0</v>
      </c>
      <c r="I696" s="5" t="str" cm="1">
        <f t="array" ref="I696">sentimentCategory(H696)</f>
        <v>Neutral</v>
      </c>
    </row>
    <row r="697" spans="1:9" x14ac:dyDescent="0.2">
      <c r="A697" s="3">
        <v>45662.921492997688</v>
      </c>
      <c r="B697" t="s">
        <v>893</v>
      </c>
      <c r="C697" t="s">
        <v>7</v>
      </c>
      <c r="E697">
        <v>0</v>
      </c>
      <c r="F697">
        <v>0</v>
      </c>
      <c r="G697" t="s">
        <v>2</v>
      </c>
      <c r="H697" cm="1">
        <f t="array" ref="H697">sentimentCalc(B697)</f>
        <v>0</v>
      </c>
      <c r="I697" s="5" t="str" cm="1">
        <f t="array" ref="I697">sentimentCategory(H697)</f>
        <v>Neutral</v>
      </c>
    </row>
    <row r="698" spans="1:9" x14ac:dyDescent="0.2">
      <c r="A698" s="3">
        <v>45663.921492997688</v>
      </c>
      <c r="B698" t="s">
        <v>375</v>
      </c>
      <c r="C698" t="s">
        <v>128</v>
      </c>
      <c r="D698" t="s">
        <v>129</v>
      </c>
      <c r="E698">
        <v>0</v>
      </c>
      <c r="F698">
        <v>0</v>
      </c>
      <c r="G698" t="s">
        <v>2</v>
      </c>
      <c r="H698" cm="1">
        <f t="array" ref="H698">sentimentCalc(B698)</f>
        <v>-10</v>
      </c>
      <c r="I698" s="5" t="str" cm="1">
        <f t="array" ref="I698">sentimentCategory(H698)</f>
        <v>Negative</v>
      </c>
    </row>
    <row r="699" spans="1:9" x14ac:dyDescent="0.2">
      <c r="A699" s="3"/>
      <c r="H699" cm="1">
        <f t="array" ref="H699">sentimentCalc(B699)</f>
        <v>0</v>
      </c>
      <c r="I699" s="5" t="str" cm="1">
        <f t="array" ref="I699">sentimentCategory(H699)</f>
        <v>Neutral</v>
      </c>
    </row>
    <row r="700" spans="1:9" x14ac:dyDescent="0.2">
      <c r="A700" s="3">
        <v>45665.921492997688</v>
      </c>
      <c r="B700" t="s">
        <v>326</v>
      </c>
      <c r="C700" t="s">
        <v>143</v>
      </c>
      <c r="D700" t="s">
        <v>129</v>
      </c>
      <c r="E700">
        <v>0</v>
      </c>
      <c r="F700">
        <v>0</v>
      </c>
      <c r="G700" t="s">
        <v>2</v>
      </c>
      <c r="H700" cm="1">
        <f t="array" ref="H700">sentimentCalc(B700)</f>
        <v>-10</v>
      </c>
      <c r="I700" s="5" t="str" cm="1">
        <f t="array" ref="I700">sentimentCategory(H700)</f>
        <v>Negative</v>
      </c>
    </row>
    <row r="701" spans="1:9" x14ac:dyDescent="0.2">
      <c r="A701" s="3"/>
      <c r="H701" cm="1">
        <f t="array" ref="H701">sentimentCalc(B701)</f>
        <v>0</v>
      </c>
      <c r="I701" s="5" t="str" cm="1">
        <f t="array" ref="I701">sentimentCategory(H701)</f>
        <v>Neutral</v>
      </c>
    </row>
    <row r="702" spans="1:9" x14ac:dyDescent="0.2">
      <c r="A702" s="3">
        <v>45667.921492997688</v>
      </c>
      <c r="B702" t="s">
        <v>141</v>
      </c>
      <c r="C702" t="s">
        <v>128</v>
      </c>
      <c r="D702" t="s">
        <v>129</v>
      </c>
      <c r="E702">
        <v>0</v>
      </c>
      <c r="F702">
        <v>0</v>
      </c>
      <c r="G702" t="s">
        <v>2</v>
      </c>
      <c r="H702" cm="1">
        <f t="array" ref="H702">sentimentCalc(B702)</f>
        <v>0</v>
      </c>
      <c r="I702" s="5" t="str" cm="1">
        <f t="array" ref="I702">sentimentCategory(H702)</f>
        <v>Neutral</v>
      </c>
    </row>
    <row r="703" spans="1:9" x14ac:dyDescent="0.2">
      <c r="A703" s="3"/>
      <c r="H703" cm="1">
        <f t="array" ref="H703">sentimentCalc(B703)</f>
        <v>0</v>
      </c>
      <c r="I703" s="5" t="str" cm="1">
        <f t="array" ref="I703">sentimentCategory(H703)</f>
        <v>Neutral</v>
      </c>
    </row>
    <row r="704" spans="1:9" x14ac:dyDescent="0.2">
      <c r="A704" s="3">
        <v>45669.921492997688</v>
      </c>
      <c r="B704" t="s">
        <v>368</v>
      </c>
      <c r="C704" t="s">
        <v>143</v>
      </c>
      <c r="D704" t="s">
        <v>129</v>
      </c>
      <c r="E704">
        <v>0</v>
      </c>
      <c r="F704">
        <v>0</v>
      </c>
      <c r="G704" t="s">
        <v>2</v>
      </c>
      <c r="H704" cm="1">
        <f t="array" ref="H704">sentimentCalc(B704)</f>
        <v>-10</v>
      </c>
      <c r="I704" s="5" t="str" cm="1">
        <f t="array" ref="I704">sentimentCategory(H704)</f>
        <v>Negative</v>
      </c>
    </row>
    <row r="705" spans="1:9" x14ac:dyDescent="0.2">
      <c r="A705" s="3"/>
      <c r="H705" cm="1">
        <f t="array" ref="H705">sentimentCalc(B705)</f>
        <v>0</v>
      </c>
      <c r="I705" s="5" t="str" cm="1">
        <f t="array" ref="I705">sentimentCategory(H705)</f>
        <v>Neutral</v>
      </c>
    </row>
    <row r="706" spans="1:9" x14ac:dyDescent="0.2">
      <c r="A706" s="3">
        <v>45671.921492997688</v>
      </c>
      <c r="B706" t="s">
        <v>894</v>
      </c>
      <c r="C706" t="s">
        <v>33</v>
      </c>
      <c r="D706" t="s">
        <v>34</v>
      </c>
      <c r="E706">
        <v>0</v>
      </c>
      <c r="F706">
        <v>0</v>
      </c>
      <c r="G706" t="s">
        <v>2</v>
      </c>
      <c r="H706" cm="1">
        <f t="array" ref="H706">sentimentCalc(B706)</f>
        <v>0</v>
      </c>
      <c r="I706" s="5" t="str" cm="1">
        <f t="array" ref="I706">sentimentCategory(H706)</f>
        <v>Neutral</v>
      </c>
    </row>
    <row r="707" spans="1:9" x14ac:dyDescent="0.2">
      <c r="A707" s="3">
        <v>45672.921492997688</v>
      </c>
      <c r="B707" t="s">
        <v>37</v>
      </c>
      <c r="C707" t="s">
        <v>33</v>
      </c>
      <c r="D707" t="s">
        <v>34</v>
      </c>
      <c r="E707">
        <v>0</v>
      </c>
      <c r="F707">
        <v>0</v>
      </c>
      <c r="G707" t="s">
        <v>2</v>
      </c>
      <c r="H707" cm="1">
        <f t="array" ref="H707">sentimentCalc(B707)</f>
        <v>0</v>
      </c>
      <c r="I707" s="5" t="str" cm="1">
        <f t="array" ref="I707">sentimentCategory(H707)</f>
        <v>Neutral</v>
      </c>
    </row>
    <row r="708" spans="1:9" x14ac:dyDescent="0.2">
      <c r="A708" s="3">
        <v>45673.921492997688</v>
      </c>
      <c r="B708" t="s">
        <v>36</v>
      </c>
      <c r="C708" t="s">
        <v>33</v>
      </c>
      <c r="D708" t="s">
        <v>34</v>
      </c>
      <c r="E708">
        <v>0</v>
      </c>
      <c r="F708">
        <v>0</v>
      </c>
      <c r="G708" t="s">
        <v>2</v>
      </c>
      <c r="H708" cm="1">
        <f t="array" ref="H708">sentimentCalc(B708)</f>
        <v>10</v>
      </c>
      <c r="I708" s="5" t="str" cm="1">
        <f t="array" ref="I708">sentimentCategory(H708)</f>
        <v>Positive</v>
      </c>
    </row>
    <row r="709" spans="1:9" x14ac:dyDescent="0.2">
      <c r="A709" s="3">
        <v>45674.921492997688</v>
      </c>
      <c r="B709" t="s">
        <v>287</v>
      </c>
      <c r="C709" t="s">
        <v>33</v>
      </c>
      <c r="D709" t="s">
        <v>34</v>
      </c>
      <c r="E709">
        <v>0</v>
      </c>
      <c r="F709">
        <v>0</v>
      </c>
      <c r="G709" t="s">
        <v>2</v>
      </c>
      <c r="H709" cm="1">
        <f t="array" ref="H709">sentimentCalc(B709)</f>
        <v>0</v>
      </c>
      <c r="I709" s="5" t="str" cm="1">
        <f t="array" ref="I709">sentimentCategory(H709)</f>
        <v>Neutral</v>
      </c>
    </row>
    <row r="710" spans="1:9" x14ac:dyDescent="0.2">
      <c r="A710" s="3">
        <v>45675.921492997688</v>
      </c>
      <c r="B710" t="s">
        <v>895</v>
      </c>
      <c r="C710" t="s">
        <v>7</v>
      </c>
      <c r="E710">
        <v>0</v>
      </c>
      <c r="F710">
        <v>0</v>
      </c>
      <c r="G710" t="s">
        <v>2</v>
      </c>
      <c r="H710" cm="1">
        <f t="array" ref="H710">sentimentCalc(B710)</f>
        <v>0</v>
      </c>
      <c r="I710" s="5" t="str" cm="1">
        <f t="array" ref="I710">sentimentCategory(H710)</f>
        <v>Neutral</v>
      </c>
    </row>
    <row r="711" spans="1:9" x14ac:dyDescent="0.2">
      <c r="A711" s="3">
        <v>45676.921492997688</v>
      </c>
      <c r="B711" t="s">
        <v>896</v>
      </c>
      <c r="C711" t="s">
        <v>897</v>
      </c>
      <c r="E711">
        <v>0</v>
      </c>
      <c r="F711">
        <v>0</v>
      </c>
      <c r="G711" t="s">
        <v>2</v>
      </c>
      <c r="H711" cm="1">
        <f t="array" ref="H711">sentimentCalc(B711)</f>
        <v>0</v>
      </c>
      <c r="I711" s="5" t="str" cm="1">
        <f t="array" ref="I711">sentimentCategory(H711)</f>
        <v>Neutral</v>
      </c>
    </row>
    <row r="712" spans="1:9" x14ac:dyDescent="0.2">
      <c r="A712" s="3">
        <v>45677.921492997688</v>
      </c>
      <c r="B712" t="s">
        <v>898</v>
      </c>
      <c r="C712" t="s">
        <v>840</v>
      </c>
      <c r="D712" t="s">
        <v>899</v>
      </c>
      <c r="E712">
        <v>0</v>
      </c>
      <c r="F712">
        <v>0</v>
      </c>
      <c r="G712" t="s">
        <v>2</v>
      </c>
      <c r="H712" cm="1">
        <f t="array" ref="H712">sentimentCalc(B712)</f>
        <v>0</v>
      </c>
      <c r="I712" s="5" t="str" cm="1">
        <f t="array" ref="I712">sentimentCategory(H712)</f>
        <v>Neutral</v>
      </c>
    </row>
    <row r="713" spans="1:9" x14ac:dyDescent="0.2">
      <c r="A713" s="3"/>
      <c r="H713" cm="1">
        <f t="array" ref="H713">sentimentCalc(B713)</f>
        <v>0</v>
      </c>
      <c r="I713" s="5" t="str" cm="1">
        <f t="array" ref="I713">sentimentCategory(H713)</f>
        <v>Neutral</v>
      </c>
    </row>
    <row r="714" spans="1:9" x14ac:dyDescent="0.2">
      <c r="A714" s="3">
        <v>45679.921492997688</v>
      </c>
      <c r="B714" t="s">
        <v>339</v>
      </c>
      <c r="C714" t="s">
        <v>128</v>
      </c>
      <c r="D714" t="s">
        <v>129</v>
      </c>
      <c r="E714">
        <v>0</v>
      </c>
      <c r="F714">
        <v>0</v>
      </c>
      <c r="G714" t="s">
        <v>2</v>
      </c>
      <c r="H714" cm="1">
        <f t="array" ref="H714">sentimentCalc(B714)</f>
        <v>-10</v>
      </c>
      <c r="I714" s="5" t="str" cm="1">
        <f t="array" ref="I714">sentimentCategory(H714)</f>
        <v>Negative</v>
      </c>
    </row>
    <row r="715" spans="1:9" x14ac:dyDescent="0.2">
      <c r="A715" s="3">
        <v>45680.921492997688</v>
      </c>
      <c r="B715" t="s">
        <v>900</v>
      </c>
      <c r="C715" t="s">
        <v>577</v>
      </c>
      <c r="D715" t="s">
        <v>721</v>
      </c>
      <c r="E715">
        <v>0</v>
      </c>
      <c r="F715">
        <v>1</v>
      </c>
      <c r="G715" t="s">
        <v>2</v>
      </c>
      <c r="H715" cm="1">
        <f t="array" ref="H715">sentimentCalc(B715)</f>
        <v>0</v>
      </c>
      <c r="I715" s="5" t="str" cm="1">
        <f t="array" ref="I715">sentimentCategory(H715)</f>
        <v>Neutral</v>
      </c>
    </row>
    <row r="716" spans="1:9" x14ac:dyDescent="0.2">
      <c r="A716" s="3">
        <v>45681.921492997688</v>
      </c>
      <c r="B716" t="s">
        <v>901</v>
      </c>
      <c r="C716" t="s">
        <v>128</v>
      </c>
      <c r="D716" t="s">
        <v>129</v>
      </c>
      <c r="E716">
        <v>0</v>
      </c>
      <c r="F716">
        <v>0</v>
      </c>
      <c r="G716" t="s">
        <v>2</v>
      </c>
      <c r="H716" cm="1">
        <f t="array" ref="H716">sentimentCalc(B716)</f>
        <v>-10</v>
      </c>
      <c r="I716" s="5" t="str" cm="1">
        <f t="array" ref="I716">sentimentCategory(H716)</f>
        <v>Negative</v>
      </c>
    </row>
    <row r="717" spans="1:9" x14ac:dyDescent="0.2">
      <c r="A717" s="3"/>
      <c r="H717" cm="1">
        <f t="array" ref="H717">sentimentCalc(B717)</f>
        <v>0</v>
      </c>
      <c r="I717" s="5" t="str" cm="1">
        <f t="array" ref="I717">sentimentCategory(H717)</f>
        <v>Neutral</v>
      </c>
    </row>
    <row r="718" spans="1:9" x14ac:dyDescent="0.2">
      <c r="A718" s="3">
        <v>45683.921492997688</v>
      </c>
      <c r="B718" t="s">
        <v>192</v>
      </c>
      <c r="C718" t="s">
        <v>143</v>
      </c>
      <c r="D718" t="s">
        <v>129</v>
      </c>
      <c r="E718">
        <v>0</v>
      </c>
      <c r="F718">
        <v>0</v>
      </c>
      <c r="G718" t="s">
        <v>2</v>
      </c>
      <c r="H718" cm="1">
        <f t="array" ref="H718">sentimentCalc(B718)</f>
        <v>-10</v>
      </c>
      <c r="I718" s="5" t="str" cm="1">
        <f t="array" ref="I718">sentimentCategory(H718)</f>
        <v>Negative</v>
      </c>
    </row>
    <row r="719" spans="1:9" x14ac:dyDescent="0.2">
      <c r="A719" s="3"/>
      <c r="H719" cm="1">
        <f t="array" ref="H719">sentimentCalc(B719)</f>
        <v>0</v>
      </c>
      <c r="I719" s="5" t="str" cm="1">
        <f t="array" ref="I719">sentimentCategory(H719)</f>
        <v>Neutral</v>
      </c>
    </row>
    <row r="720" spans="1:9" x14ac:dyDescent="0.2">
      <c r="A720" s="3">
        <v>45685.921492997688</v>
      </c>
      <c r="B720" t="s">
        <v>902</v>
      </c>
      <c r="C720" t="s">
        <v>143</v>
      </c>
      <c r="D720" t="s">
        <v>129</v>
      </c>
      <c r="E720">
        <v>0</v>
      </c>
      <c r="F720">
        <v>0</v>
      </c>
      <c r="G720" t="s">
        <v>2</v>
      </c>
      <c r="H720" cm="1">
        <f t="array" ref="H720">sentimentCalc(B720)</f>
        <v>-10</v>
      </c>
      <c r="I720" s="5" t="str" cm="1">
        <f t="array" ref="I720">sentimentCategory(H720)</f>
        <v>Negative</v>
      </c>
    </row>
    <row r="721" spans="1:9" x14ac:dyDescent="0.2">
      <c r="A721" s="3">
        <v>45686.921492997688</v>
      </c>
      <c r="B721" t="s">
        <v>903</v>
      </c>
      <c r="C721" t="s">
        <v>7</v>
      </c>
      <c r="E721">
        <v>0</v>
      </c>
      <c r="F721">
        <v>0</v>
      </c>
      <c r="G721" t="s">
        <v>2</v>
      </c>
      <c r="H721" cm="1">
        <f t="array" ref="H721">sentimentCalc(B721)</f>
        <v>0</v>
      </c>
      <c r="I721" s="5" t="str" cm="1">
        <f t="array" ref="I721">sentimentCategory(H721)</f>
        <v>Neutral</v>
      </c>
    </row>
    <row r="722" spans="1:9" x14ac:dyDescent="0.2">
      <c r="A722" s="3">
        <v>45687.921492997688</v>
      </c>
      <c r="B722" t="s">
        <v>904</v>
      </c>
      <c r="C722" t="s">
        <v>905</v>
      </c>
      <c r="D722" t="s">
        <v>906</v>
      </c>
      <c r="E722">
        <v>0</v>
      </c>
      <c r="F722">
        <v>0</v>
      </c>
      <c r="G722" t="s">
        <v>2</v>
      </c>
      <c r="H722" cm="1">
        <f t="array" ref="H722">sentimentCalc(B722)</f>
        <v>0</v>
      </c>
      <c r="I722" s="5" t="str" cm="1">
        <f t="array" ref="I722">sentimentCategory(H722)</f>
        <v>Neutral</v>
      </c>
    </row>
    <row r="723" spans="1:9" x14ac:dyDescent="0.2">
      <c r="A723" s="3">
        <v>45688.921492997688</v>
      </c>
      <c r="B723" t="s">
        <v>907</v>
      </c>
      <c r="C723" t="s">
        <v>7</v>
      </c>
      <c r="E723">
        <v>0</v>
      </c>
      <c r="F723">
        <v>0</v>
      </c>
      <c r="G723" t="s">
        <v>2</v>
      </c>
      <c r="H723" cm="1">
        <f t="array" ref="H723">sentimentCalc(B723)</f>
        <v>0</v>
      </c>
      <c r="I723" s="5" t="str" cm="1">
        <f t="array" ref="I723">sentimentCategory(H723)</f>
        <v>Neutral</v>
      </c>
    </row>
    <row r="724" spans="1:9" x14ac:dyDescent="0.2">
      <c r="A724" s="3">
        <v>45689.921492997688</v>
      </c>
      <c r="B724" t="s">
        <v>38</v>
      </c>
      <c r="C724" t="s">
        <v>143</v>
      </c>
      <c r="E724">
        <v>0</v>
      </c>
      <c r="F724">
        <v>0</v>
      </c>
      <c r="G724" t="s">
        <v>2</v>
      </c>
      <c r="H724" cm="1">
        <f t="array" ref="H724">sentimentCalc(B724)</f>
        <v>0</v>
      </c>
      <c r="I724" s="5" t="str" cm="1">
        <f t="array" ref="I724">sentimentCategory(H724)</f>
        <v>Neutral</v>
      </c>
    </row>
    <row r="725" spans="1:9" x14ac:dyDescent="0.2">
      <c r="A725" s="3">
        <v>45690.921492997688</v>
      </c>
      <c r="B725" t="s">
        <v>908</v>
      </c>
      <c r="C725" t="s">
        <v>48</v>
      </c>
      <c r="E725">
        <v>0</v>
      </c>
      <c r="F725">
        <v>1</v>
      </c>
      <c r="G725" t="s">
        <v>2</v>
      </c>
      <c r="H725" cm="1">
        <f t="array" ref="H725">sentimentCalc(B725)</f>
        <v>0</v>
      </c>
      <c r="I725" s="5" t="str" cm="1">
        <f t="array" ref="I725">sentimentCategory(H725)</f>
        <v>Neutral</v>
      </c>
    </row>
    <row r="726" spans="1:9" x14ac:dyDescent="0.2">
      <c r="A726" s="3">
        <v>45691.921492997688</v>
      </c>
      <c r="B726" t="s">
        <v>909</v>
      </c>
      <c r="C726" t="s">
        <v>910</v>
      </c>
      <c r="D726" t="s">
        <v>911</v>
      </c>
      <c r="E726">
        <v>0</v>
      </c>
      <c r="F726">
        <v>0</v>
      </c>
      <c r="G726" t="s">
        <v>2</v>
      </c>
      <c r="H726" cm="1">
        <f t="array" ref="H726">sentimentCalc(B726)</f>
        <v>20</v>
      </c>
      <c r="I726" s="5" t="str" cm="1">
        <f t="array" ref="I726">sentimentCategory(H726)</f>
        <v>Positive</v>
      </c>
    </row>
    <row r="727" spans="1:9" x14ac:dyDescent="0.2">
      <c r="A727" s="3">
        <v>45692.921492997688</v>
      </c>
      <c r="B727" t="s">
        <v>867</v>
      </c>
      <c r="C727" t="s">
        <v>149</v>
      </c>
      <c r="D727" t="s">
        <v>150</v>
      </c>
      <c r="E727">
        <v>0</v>
      </c>
      <c r="F727">
        <v>0</v>
      </c>
      <c r="G727" t="s">
        <v>2</v>
      </c>
      <c r="H727" cm="1">
        <f t="array" ref="H727">sentimentCalc(B727)</f>
        <v>0</v>
      </c>
      <c r="I727" s="5" t="str" cm="1">
        <f t="array" ref="I727">sentimentCategory(H727)</f>
        <v>Neutral</v>
      </c>
    </row>
    <row r="728" spans="1:9" x14ac:dyDescent="0.2">
      <c r="A728" s="3">
        <v>45693.921492997688</v>
      </c>
      <c r="B728" t="s">
        <v>912</v>
      </c>
      <c r="C728" t="s">
        <v>7</v>
      </c>
      <c r="E728">
        <v>0</v>
      </c>
      <c r="F728">
        <v>0</v>
      </c>
      <c r="G728" t="s">
        <v>2</v>
      </c>
      <c r="H728" cm="1">
        <f t="array" ref="H728">sentimentCalc(B728)</f>
        <v>0</v>
      </c>
      <c r="I728" s="5" t="str" cm="1">
        <f t="array" ref="I728">sentimentCategory(H728)</f>
        <v>Neutral</v>
      </c>
    </row>
    <row r="729" spans="1:9" x14ac:dyDescent="0.2">
      <c r="A729" s="3">
        <v>45694.921492997688</v>
      </c>
      <c r="B729" t="s">
        <v>913</v>
      </c>
      <c r="C729" t="s">
        <v>692</v>
      </c>
      <c r="D729" t="s">
        <v>693</v>
      </c>
      <c r="E729">
        <v>0</v>
      </c>
      <c r="F729">
        <v>0</v>
      </c>
      <c r="G729" t="s">
        <v>2</v>
      </c>
      <c r="H729" cm="1">
        <f t="array" ref="H729">sentimentCalc(B729)</f>
        <v>0</v>
      </c>
      <c r="I729" s="5" t="str" cm="1">
        <f t="array" ref="I729">sentimentCategory(H729)</f>
        <v>Neutral</v>
      </c>
    </row>
    <row r="730" spans="1:9" x14ac:dyDescent="0.2">
      <c r="A730" s="3">
        <v>45695.921492997688</v>
      </c>
      <c r="B730" t="s">
        <v>914</v>
      </c>
      <c r="C730" t="s">
        <v>643</v>
      </c>
      <c r="E730">
        <v>0</v>
      </c>
      <c r="F730">
        <v>0</v>
      </c>
      <c r="G730" t="s">
        <v>2</v>
      </c>
      <c r="H730" cm="1">
        <f t="array" ref="H730">sentimentCalc(B730)</f>
        <v>10</v>
      </c>
      <c r="I730" s="5" t="str" cm="1">
        <f t="array" ref="I730">sentimentCategory(H730)</f>
        <v>Positive</v>
      </c>
    </row>
    <row r="731" spans="1:9" x14ac:dyDescent="0.2">
      <c r="A731" s="3">
        <v>45696.921492997688</v>
      </c>
      <c r="B731" t="s">
        <v>915</v>
      </c>
      <c r="C731" t="s">
        <v>7</v>
      </c>
      <c r="E731">
        <v>0</v>
      </c>
      <c r="F731">
        <v>0</v>
      </c>
      <c r="G731" t="s">
        <v>2</v>
      </c>
      <c r="H731" cm="1">
        <f t="array" ref="H731">sentimentCalc(B731)</f>
        <v>0</v>
      </c>
      <c r="I731" s="5" t="str" cm="1">
        <f t="array" ref="I731">sentimentCategory(H731)</f>
        <v>Neutral</v>
      </c>
    </row>
    <row r="732" spans="1:9" x14ac:dyDescent="0.2">
      <c r="A732" s="3">
        <v>45697.921492997688</v>
      </c>
      <c r="B732" t="s">
        <v>916</v>
      </c>
      <c r="C732" t="s">
        <v>98</v>
      </c>
      <c r="D732" t="s">
        <v>13</v>
      </c>
      <c r="E732">
        <v>0</v>
      </c>
      <c r="F732">
        <v>0</v>
      </c>
      <c r="G732" t="s">
        <v>2</v>
      </c>
      <c r="H732" cm="1">
        <f t="array" ref="H732">sentimentCalc(B732)</f>
        <v>0</v>
      </c>
      <c r="I732" s="5" t="str" cm="1">
        <f t="array" ref="I732">sentimentCategory(H732)</f>
        <v>Neutral</v>
      </c>
    </row>
    <row r="733" spans="1:9" x14ac:dyDescent="0.2">
      <c r="A733" s="3">
        <v>45698.921492997688</v>
      </c>
      <c r="B733" t="s">
        <v>917</v>
      </c>
      <c r="C733" t="s">
        <v>7</v>
      </c>
      <c r="E733">
        <v>0</v>
      </c>
      <c r="F733">
        <v>0</v>
      </c>
      <c r="G733" t="s">
        <v>2</v>
      </c>
      <c r="H733" cm="1">
        <f t="array" ref="H733">sentimentCalc(B733)</f>
        <v>0</v>
      </c>
      <c r="I733" s="5" t="str" cm="1">
        <f t="array" ref="I733">sentimentCategory(H733)</f>
        <v>Neutral</v>
      </c>
    </row>
    <row r="734" spans="1:9" x14ac:dyDescent="0.2">
      <c r="A734" s="3">
        <v>45699.921492997688</v>
      </c>
      <c r="B734" t="s">
        <v>918</v>
      </c>
      <c r="C734" t="s">
        <v>919</v>
      </c>
      <c r="D734" t="s">
        <v>210</v>
      </c>
      <c r="E734">
        <v>19</v>
      </c>
      <c r="F734">
        <v>62</v>
      </c>
      <c r="G734" t="s">
        <v>2</v>
      </c>
      <c r="H734" cm="1">
        <f t="array" ref="H734">sentimentCalc(B734)</f>
        <v>10</v>
      </c>
      <c r="I734" s="5" t="str" cm="1">
        <f t="array" ref="I734">sentimentCategory(H734)</f>
        <v>Positive</v>
      </c>
    </row>
    <row r="735" spans="1:9" x14ac:dyDescent="0.2">
      <c r="A735" s="3">
        <v>45700.921492997688</v>
      </c>
      <c r="B735" t="s">
        <v>333</v>
      </c>
      <c r="C735" t="s">
        <v>128</v>
      </c>
      <c r="D735" t="s">
        <v>129</v>
      </c>
      <c r="E735">
        <v>0</v>
      </c>
      <c r="F735">
        <v>0</v>
      </c>
      <c r="G735" t="s">
        <v>2</v>
      </c>
      <c r="H735" cm="1">
        <f t="array" ref="H735">sentimentCalc(B735)</f>
        <v>-10</v>
      </c>
      <c r="I735" s="5" t="str" cm="1">
        <f t="array" ref="I735">sentimentCategory(H735)</f>
        <v>Negative</v>
      </c>
    </row>
    <row r="736" spans="1:9" x14ac:dyDescent="0.2">
      <c r="A736" s="3"/>
      <c r="H736" cm="1">
        <f t="array" ref="H736">sentimentCalc(B736)</f>
        <v>0</v>
      </c>
      <c r="I736" s="5" t="str" cm="1">
        <f t="array" ref="I736">sentimentCategory(H736)</f>
        <v>Neutral</v>
      </c>
    </row>
    <row r="737" spans="1:9" x14ac:dyDescent="0.2">
      <c r="A737" s="3">
        <v>45702.921492997688</v>
      </c>
      <c r="B737" t="s">
        <v>169</v>
      </c>
      <c r="C737" t="s">
        <v>128</v>
      </c>
      <c r="D737" t="s">
        <v>129</v>
      </c>
      <c r="E737">
        <v>0</v>
      </c>
      <c r="F737">
        <v>0</v>
      </c>
      <c r="G737" t="s">
        <v>2</v>
      </c>
      <c r="H737" cm="1">
        <f t="array" ref="H737">sentimentCalc(B737)</f>
        <v>0</v>
      </c>
      <c r="I737" s="5" t="str" cm="1">
        <f t="array" ref="I737">sentimentCategory(H737)</f>
        <v>Neutral</v>
      </c>
    </row>
    <row r="738" spans="1:9" x14ac:dyDescent="0.2">
      <c r="A738" s="3">
        <v>45703.921492997688</v>
      </c>
      <c r="B738" t="s">
        <v>920</v>
      </c>
      <c r="C738" t="s">
        <v>7</v>
      </c>
      <c r="E738">
        <v>0</v>
      </c>
      <c r="F738">
        <v>0</v>
      </c>
      <c r="G738" t="s">
        <v>2</v>
      </c>
      <c r="H738" cm="1">
        <f t="array" ref="H738">sentimentCalc(B738)</f>
        <v>0</v>
      </c>
      <c r="I738" s="5" t="str" cm="1">
        <f t="array" ref="I738">sentimentCategory(H738)</f>
        <v>Neutral</v>
      </c>
    </row>
    <row r="739" spans="1:9" x14ac:dyDescent="0.2">
      <c r="A739" s="3">
        <v>45704.921492997688</v>
      </c>
      <c r="B739" t="s">
        <v>921</v>
      </c>
      <c r="C739" t="s">
        <v>7</v>
      </c>
      <c r="E739">
        <v>0</v>
      </c>
      <c r="F739">
        <v>0</v>
      </c>
      <c r="G739" t="s">
        <v>2</v>
      </c>
      <c r="H739" cm="1">
        <f t="array" ref="H739">sentimentCalc(B739)</f>
        <v>0</v>
      </c>
      <c r="I739" s="5" t="str" cm="1">
        <f t="array" ref="I739">sentimentCategory(H739)</f>
        <v>Neutral</v>
      </c>
    </row>
    <row r="740" spans="1:9" x14ac:dyDescent="0.2">
      <c r="A740" s="3">
        <v>45705.921492997688</v>
      </c>
      <c r="B740" t="s">
        <v>922</v>
      </c>
      <c r="C740" t="s">
        <v>7</v>
      </c>
      <c r="E740">
        <v>0</v>
      </c>
      <c r="F740">
        <v>0</v>
      </c>
      <c r="G740" t="s">
        <v>2</v>
      </c>
      <c r="H740" cm="1">
        <f t="array" ref="H740">sentimentCalc(B740)</f>
        <v>0</v>
      </c>
      <c r="I740" s="5" t="str" cm="1">
        <f t="array" ref="I740">sentimentCategory(H740)</f>
        <v>Neutral</v>
      </c>
    </row>
    <row r="741" spans="1:9" x14ac:dyDescent="0.2">
      <c r="A741" s="3">
        <v>45706.921492997688</v>
      </c>
      <c r="B741" t="s">
        <v>923</v>
      </c>
      <c r="C741" t="s">
        <v>924</v>
      </c>
      <c r="E741">
        <v>0</v>
      </c>
      <c r="F741">
        <v>4</v>
      </c>
      <c r="G741" t="s">
        <v>2</v>
      </c>
      <c r="H741" cm="1">
        <f t="array" ref="H741">sentimentCalc(B741)</f>
        <v>0</v>
      </c>
      <c r="I741" s="5" t="str" cm="1">
        <f t="array" ref="I741">sentimentCategory(H741)</f>
        <v>Neutral</v>
      </c>
    </row>
    <row r="742" spans="1:9" x14ac:dyDescent="0.2">
      <c r="A742" s="3">
        <v>45707.921492997688</v>
      </c>
      <c r="B742" t="s">
        <v>925</v>
      </c>
      <c r="C742" t="s">
        <v>7</v>
      </c>
      <c r="E742">
        <v>0</v>
      </c>
      <c r="F742">
        <v>0</v>
      </c>
      <c r="G742" t="s">
        <v>2</v>
      </c>
      <c r="H742" cm="1">
        <f t="array" ref="H742">sentimentCalc(B742)</f>
        <v>0</v>
      </c>
      <c r="I742" s="5" t="str" cm="1">
        <f t="array" ref="I742">sentimentCategory(H742)</f>
        <v>Neutral</v>
      </c>
    </row>
    <row r="743" spans="1:9" x14ac:dyDescent="0.2">
      <c r="A743" s="3">
        <v>45708.921492997688</v>
      </c>
      <c r="B743" t="s">
        <v>926</v>
      </c>
      <c r="C743" t="s">
        <v>7</v>
      </c>
      <c r="E743">
        <v>0</v>
      </c>
      <c r="F743">
        <v>0</v>
      </c>
      <c r="G743" t="s">
        <v>2</v>
      </c>
      <c r="H743" cm="1">
        <f t="array" ref="H743">sentimentCalc(B743)</f>
        <v>0</v>
      </c>
      <c r="I743" s="5" t="str" cm="1">
        <f t="array" ref="I743">sentimentCategory(H743)</f>
        <v>Neutral</v>
      </c>
    </row>
    <row r="744" spans="1:9" x14ac:dyDescent="0.2">
      <c r="A744" s="3">
        <v>45709.921492997688</v>
      </c>
      <c r="B744" t="s">
        <v>3</v>
      </c>
      <c r="C744" t="s">
        <v>4</v>
      </c>
      <c r="D744" t="s">
        <v>5</v>
      </c>
      <c r="E744">
        <v>0</v>
      </c>
      <c r="F744">
        <v>0</v>
      </c>
      <c r="G744" t="s">
        <v>2</v>
      </c>
      <c r="H744" cm="1">
        <f t="array" ref="H744">sentimentCalc(B744)</f>
        <v>0</v>
      </c>
      <c r="I744" s="5" t="str" cm="1">
        <f t="array" ref="I744">sentimentCategory(H744)</f>
        <v>Neutral</v>
      </c>
    </row>
    <row r="745" spans="1:9" x14ac:dyDescent="0.2">
      <c r="A745" s="3"/>
      <c r="H745" cm="1">
        <f t="array" ref="H745">sentimentCalc(B745)</f>
        <v>0</v>
      </c>
      <c r="I745" s="5" t="str" cm="1">
        <f t="array" ref="I745">sentimentCategory(H745)</f>
        <v>Neutral</v>
      </c>
    </row>
    <row r="746" spans="1:9" x14ac:dyDescent="0.2">
      <c r="A746" s="3">
        <v>45711.921492997688</v>
      </c>
      <c r="B746" t="s">
        <v>928</v>
      </c>
      <c r="C746" t="s">
        <v>7</v>
      </c>
      <c r="E746">
        <v>0</v>
      </c>
      <c r="F746">
        <v>0</v>
      </c>
      <c r="G746" t="s">
        <v>2</v>
      </c>
      <c r="H746" cm="1">
        <f t="array" ref="H746">sentimentCalc(B746)</f>
        <v>0</v>
      </c>
      <c r="I746" s="5" t="str" cm="1">
        <f t="array" ref="I746">sentimentCategory(H746)</f>
        <v>Neutral</v>
      </c>
    </row>
    <row r="747" spans="1:9" x14ac:dyDescent="0.2">
      <c r="A747" s="3">
        <v>45712.921492997688</v>
      </c>
      <c r="B747" t="s">
        <v>929</v>
      </c>
      <c r="C747" t="s">
        <v>510</v>
      </c>
      <c r="E747">
        <v>0</v>
      </c>
      <c r="F747">
        <v>0</v>
      </c>
      <c r="G747" t="s">
        <v>2</v>
      </c>
      <c r="H747" cm="1">
        <f t="array" ref="H747">sentimentCalc(B747)</f>
        <v>0</v>
      </c>
      <c r="I747" s="5" t="str" cm="1">
        <f t="array" ref="I747">sentimentCategory(H747)</f>
        <v>Neutral</v>
      </c>
    </row>
    <row r="748" spans="1:9" x14ac:dyDescent="0.2">
      <c r="A748" s="3">
        <v>45713.921492997688</v>
      </c>
      <c r="B748" t="s">
        <v>930</v>
      </c>
      <c r="C748" t="s">
        <v>7</v>
      </c>
      <c r="E748">
        <v>0</v>
      </c>
      <c r="F748">
        <v>0</v>
      </c>
      <c r="G748" t="s">
        <v>2</v>
      </c>
      <c r="H748" cm="1">
        <f t="array" ref="H748">sentimentCalc(B748)</f>
        <v>0</v>
      </c>
      <c r="I748" s="5" t="str" cm="1">
        <f t="array" ref="I748">sentimentCategory(H748)</f>
        <v>Neutral</v>
      </c>
    </row>
    <row r="749" spans="1:9" x14ac:dyDescent="0.2">
      <c r="A749" s="3"/>
      <c r="H749" cm="1">
        <f t="array" ref="H749">sentimentCalc(B749)</f>
        <v>0</v>
      </c>
      <c r="I749" s="5" t="str" cm="1">
        <f t="array" ref="I749">sentimentCategory(H749)</f>
        <v>Neutral</v>
      </c>
    </row>
    <row r="750" spans="1:9" x14ac:dyDescent="0.2">
      <c r="A750" s="3">
        <v>45715.921492997688</v>
      </c>
      <c r="B750" t="s">
        <v>21</v>
      </c>
      <c r="C750" t="s">
        <v>22</v>
      </c>
      <c r="E750">
        <v>0</v>
      </c>
      <c r="F750">
        <v>0</v>
      </c>
      <c r="G750" t="s">
        <v>2</v>
      </c>
      <c r="H750" cm="1">
        <f t="array" ref="H750">sentimentCalc(B750)</f>
        <v>0</v>
      </c>
      <c r="I750" s="5" t="str" cm="1">
        <f t="array" ref="I750">sentimentCategory(H750)</f>
        <v>Neutral</v>
      </c>
    </row>
    <row r="751" spans="1:9" x14ac:dyDescent="0.2">
      <c r="A751" s="3">
        <v>45716.921492997688</v>
      </c>
      <c r="B751" t="s">
        <v>931</v>
      </c>
      <c r="C751" t="s">
        <v>932</v>
      </c>
      <c r="D751" t="s">
        <v>933</v>
      </c>
      <c r="E751">
        <v>1</v>
      </c>
      <c r="F751">
        <v>6</v>
      </c>
      <c r="G751" t="s">
        <v>2</v>
      </c>
      <c r="H751" cm="1">
        <f t="array" ref="H751">sentimentCalc(B751)</f>
        <v>0</v>
      </c>
      <c r="I751" s="5" t="str" cm="1">
        <f t="array" ref="I751">sentimentCategory(H751)</f>
        <v>Neutral</v>
      </c>
    </row>
    <row r="752" spans="1:9" x14ac:dyDescent="0.2">
      <c r="A752" s="3"/>
      <c r="H752" cm="1">
        <f t="array" ref="H752">sentimentCalc(B752)</f>
        <v>0</v>
      </c>
      <c r="I752" s="5" t="str" cm="1">
        <f t="array" ref="I752">sentimentCategory(H752)</f>
        <v>Neutral</v>
      </c>
    </row>
    <row r="753" spans="1:9" x14ac:dyDescent="0.2">
      <c r="A753" s="3">
        <v>45718.921492997688</v>
      </c>
      <c r="B753" t="s">
        <v>934</v>
      </c>
      <c r="C753" t="s">
        <v>33</v>
      </c>
      <c r="D753" t="s">
        <v>34</v>
      </c>
      <c r="E753">
        <v>0</v>
      </c>
      <c r="F753">
        <v>0</v>
      </c>
      <c r="G753" t="s">
        <v>2</v>
      </c>
      <c r="H753" cm="1">
        <f t="array" ref="H753">sentimentCalc(B753)</f>
        <v>0</v>
      </c>
      <c r="I753" s="5" t="str" cm="1">
        <f t="array" ref="I753">sentimentCategory(H753)</f>
        <v>Neutral</v>
      </c>
    </row>
    <row r="754" spans="1:9" x14ac:dyDescent="0.2">
      <c r="A754" s="3">
        <v>45719.921492997688</v>
      </c>
      <c r="B754" t="s">
        <v>37</v>
      </c>
      <c r="C754" t="s">
        <v>33</v>
      </c>
      <c r="D754" t="s">
        <v>34</v>
      </c>
      <c r="E754">
        <v>0</v>
      </c>
      <c r="F754">
        <v>0</v>
      </c>
      <c r="G754" t="s">
        <v>2</v>
      </c>
      <c r="H754" cm="1">
        <f t="array" ref="H754">sentimentCalc(B754)</f>
        <v>0</v>
      </c>
      <c r="I754" s="5" t="str" cm="1">
        <f t="array" ref="I754">sentimentCategory(H754)</f>
        <v>Neutral</v>
      </c>
    </row>
    <row r="755" spans="1:9" x14ac:dyDescent="0.2">
      <c r="A755" s="3">
        <v>45720.921492997688</v>
      </c>
      <c r="B755" t="s">
        <v>36</v>
      </c>
      <c r="C755" t="s">
        <v>33</v>
      </c>
      <c r="D755" t="s">
        <v>34</v>
      </c>
      <c r="E755">
        <v>0</v>
      </c>
      <c r="F755">
        <v>0</v>
      </c>
      <c r="G755" t="s">
        <v>2</v>
      </c>
      <c r="H755" cm="1">
        <f t="array" ref="H755">sentimentCalc(B755)</f>
        <v>10</v>
      </c>
      <c r="I755" s="5" t="str" cm="1">
        <f t="array" ref="I755">sentimentCategory(H755)</f>
        <v>Positive</v>
      </c>
    </row>
    <row r="756" spans="1:9" x14ac:dyDescent="0.2">
      <c r="A756" s="3">
        <v>45721.921492997688</v>
      </c>
      <c r="B756" t="s">
        <v>287</v>
      </c>
      <c r="C756" t="s">
        <v>33</v>
      </c>
      <c r="D756" t="s">
        <v>34</v>
      </c>
      <c r="E756">
        <v>0</v>
      </c>
      <c r="F756">
        <v>0</v>
      </c>
      <c r="G756" t="s">
        <v>2</v>
      </c>
      <c r="H756" cm="1">
        <f t="array" ref="H756">sentimentCalc(B756)</f>
        <v>0</v>
      </c>
      <c r="I756" s="5" t="str" cm="1">
        <f t="array" ref="I756">sentimentCategory(H756)</f>
        <v>Neutral</v>
      </c>
    </row>
    <row r="757" spans="1:9" x14ac:dyDescent="0.2">
      <c r="A757" s="3">
        <v>45722.921492997688</v>
      </c>
      <c r="B757" t="s">
        <v>935</v>
      </c>
      <c r="C757" t="s">
        <v>936</v>
      </c>
      <c r="E757">
        <v>0</v>
      </c>
      <c r="F757">
        <v>0</v>
      </c>
      <c r="G757" t="s">
        <v>2</v>
      </c>
      <c r="H757" cm="1">
        <f t="array" ref="H757">sentimentCalc(B757)</f>
        <v>0</v>
      </c>
      <c r="I757" s="5" t="str" cm="1">
        <f t="array" ref="I757">sentimentCategory(H757)</f>
        <v>Neutral</v>
      </c>
    </row>
    <row r="758" spans="1:9" x14ac:dyDescent="0.2">
      <c r="A758" s="3">
        <v>45723.921492997688</v>
      </c>
      <c r="B758" t="s">
        <v>937</v>
      </c>
      <c r="C758" t="s">
        <v>938</v>
      </c>
      <c r="D758" t="s">
        <v>939</v>
      </c>
      <c r="E758">
        <v>0</v>
      </c>
      <c r="F758">
        <v>2</v>
      </c>
      <c r="G758" t="s">
        <v>2</v>
      </c>
      <c r="H758" cm="1">
        <f t="array" ref="H758">sentimentCalc(B758)</f>
        <v>0</v>
      </c>
      <c r="I758" s="5" t="str" cm="1">
        <f t="array" ref="I758">sentimentCategory(H758)</f>
        <v>Neutral</v>
      </c>
    </row>
    <row r="759" spans="1:9" x14ac:dyDescent="0.2">
      <c r="A759" s="3">
        <v>45724.921492997688</v>
      </c>
      <c r="B759" t="s">
        <v>940</v>
      </c>
      <c r="C759" t="s">
        <v>941</v>
      </c>
      <c r="D759" t="s">
        <v>942</v>
      </c>
      <c r="E759">
        <v>0</v>
      </c>
      <c r="F759">
        <v>1</v>
      </c>
      <c r="G759" t="s">
        <v>2</v>
      </c>
      <c r="H759" cm="1">
        <f t="array" ref="H759">sentimentCalc(B759)</f>
        <v>0</v>
      </c>
      <c r="I759" s="5" t="str" cm="1">
        <f t="array" ref="I759">sentimentCategory(H759)</f>
        <v>Neutral</v>
      </c>
    </row>
    <row r="760" spans="1:9" x14ac:dyDescent="0.2">
      <c r="A760" s="3">
        <v>45725.921492997688</v>
      </c>
      <c r="B760" t="s">
        <v>937</v>
      </c>
      <c r="C760" t="s">
        <v>938</v>
      </c>
      <c r="D760" t="s">
        <v>939</v>
      </c>
      <c r="E760">
        <v>0</v>
      </c>
      <c r="F760">
        <v>1</v>
      </c>
      <c r="G760" t="s">
        <v>2</v>
      </c>
      <c r="H760" cm="1">
        <f t="array" ref="H760">sentimentCalc(B760)</f>
        <v>0</v>
      </c>
      <c r="I760" s="5" t="str" cm="1">
        <f t="array" ref="I760">sentimentCategory(H760)</f>
        <v>Neutral</v>
      </c>
    </row>
    <row r="761" spans="1:9" x14ac:dyDescent="0.2">
      <c r="A761" s="3">
        <v>45726.921492997688</v>
      </c>
      <c r="B761" t="s">
        <v>943</v>
      </c>
      <c r="C761" t="s">
        <v>7</v>
      </c>
      <c r="E761">
        <v>0</v>
      </c>
      <c r="F761">
        <v>0</v>
      </c>
      <c r="G761" t="s">
        <v>2</v>
      </c>
      <c r="H761" cm="1">
        <f t="array" ref="H761">sentimentCalc(B761)</f>
        <v>0</v>
      </c>
      <c r="I761" s="5" t="str" cm="1">
        <f t="array" ref="I761">sentimentCategory(H761)</f>
        <v>Neutral</v>
      </c>
    </row>
    <row r="762" spans="1:9" x14ac:dyDescent="0.2">
      <c r="A762" s="3">
        <v>45727.921492997688</v>
      </c>
      <c r="B762" t="s">
        <v>944</v>
      </c>
      <c r="C762" t="s">
        <v>945</v>
      </c>
      <c r="D762" t="s">
        <v>946</v>
      </c>
      <c r="E762">
        <v>0</v>
      </c>
      <c r="F762">
        <v>0</v>
      </c>
      <c r="G762" t="s">
        <v>2</v>
      </c>
      <c r="H762" cm="1">
        <f t="array" ref="H762">sentimentCalc(B762)</f>
        <v>0</v>
      </c>
      <c r="I762" s="5" t="str" cm="1">
        <f t="array" ref="I762">sentimentCategory(H762)</f>
        <v>Neutral</v>
      </c>
    </row>
    <row r="763" spans="1:9" x14ac:dyDescent="0.2">
      <c r="A763" s="3">
        <v>45728.921492997688</v>
      </c>
      <c r="B763" t="s">
        <v>947</v>
      </c>
      <c r="C763" t="s">
        <v>7</v>
      </c>
      <c r="E763">
        <v>0</v>
      </c>
      <c r="F763">
        <v>0</v>
      </c>
      <c r="G763" t="s">
        <v>2</v>
      </c>
      <c r="H763" cm="1">
        <f t="array" ref="H763">sentimentCalc(B763)</f>
        <v>0</v>
      </c>
      <c r="I763" s="5" t="str" cm="1">
        <f t="array" ref="I763">sentimentCategory(H763)</f>
        <v>Neutral</v>
      </c>
    </row>
    <row r="764" spans="1:9" x14ac:dyDescent="0.2">
      <c r="A764" s="3">
        <v>45729.921492997688</v>
      </c>
      <c r="B764" t="s">
        <v>948</v>
      </c>
      <c r="C764" t="s">
        <v>7</v>
      </c>
      <c r="E764">
        <v>1</v>
      </c>
      <c r="F764">
        <v>0</v>
      </c>
      <c r="G764" t="s">
        <v>2</v>
      </c>
      <c r="H764" cm="1">
        <f t="array" ref="H764">sentimentCalc(B764)</f>
        <v>0</v>
      </c>
      <c r="I764" s="5" t="str" cm="1">
        <f t="array" ref="I764">sentimentCategory(H764)</f>
        <v>Neutral</v>
      </c>
    </row>
    <row r="765" spans="1:9" x14ac:dyDescent="0.2">
      <c r="A765" s="3">
        <v>45730.921492997688</v>
      </c>
      <c r="B765" t="s">
        <v>949</v>
      </c>
      <c r="C765" t="s">
        <v>7</v>
      </c>
      <c r="E765">
        <v>0</v>
      </c>
      <c r="F765">
        <v>0</v>
      </c>
      <c r="G765" t="s">
        <v>2</v>
      </c>
      <c r="H765" cm="1">
        <f t="array" ref="H765">sentimentCalc(B765)</f>
        <v>0</v>
      </c>
      <c r="I765" s="5" t="str" cm="1">
        <f t="array" ref="I765">sentimentCategory(H765)</f>
        <v>Neutral</v>
      </c>
    </row>
    <row r="766" spans="1:9" x14ac:dyDescent="0.2">
      <c r="A766" s="3">
        <v>45731.921492997688</v>
      </c>
      <c r="B766" t="s">
        <v>160</v>
      </c>
      <c r="C766" t="s">
        <v>128</v>
      </c>
      <c r="D766" t="s">
        <v>129</v>
      </c>
      <c r="E766">
        <v>0</v>
      </c>
      <c r="F766">
        <v>0</v>
      </c>
      <c r="G766" t="s">
        <v>2</v>
      </c>
      <c r="H766" cm="1">
        <f t="array" ref="H766">sentimentCalc(B766)</f>
        <v>-10</v>
      </c>
      <c r="I766" s="5" t="str" cm="1">
        <f t="array" ref="I766">sentimentCategory(H766)</f>
        <v>Negative</v>
      </c>
    </row>
    <row r="767" spans="1:9" x14ac:dyDescent="0.2">
      <c r="A767" s="3">
        <v>45732.921492997688</v>
      </c>
      <c r="B767" t="s">
        <v>950</v>
      </c>
      <c r="C767" t="s">
        <v>7</v>
      </c>
      <c r="E767">
        <v>0</v>
      </c>
      <c r="F767">
        <v>0</v>
      </c>
      <c r="G767" t="s">
        <v>2</v>
      </c>
      <c r="H767" cm="1">
        <f t="array" ref="H767">sentimentCalc(B767)</f>
        <v>0</v>
      </c>
      <c r="I767" s="5" t="str" cm="1">
        <f t="array" ref="I767">sentimentCategory(H767)</f>
        <v>Neutral</v>
      </c>
    </row>
    <row r="768" spans="1:9" x14ac:dyDescent="0.2">
      <c r="A768" s="3">
        <v>45733.921492997688</v>
      </c>
      <c r="B768" t="s">
        <v>951</v>
      </c>
      <c r="C768" t="s">
        <v>48</v>
      </c>
      <c r="E768">
        <v>0</v>
      </c>
      <c r="F768">
        <v>0</v>
      </c>
      <c r="G768" t="s">
        <v>2</v>
      </c>
      <c r="H768" cm="1">
        <f t="array" ref="H768">sentimentCalc(B768)</f>
        <v>0</v>
      </c>
      <c r="I768" s="5" t="str" cm="1">
        <f t="array" ref="I768">sentimentCategory(H768)</f>
        <v>Neutral</v>
      </c>
    </row>
    <row r="769" spans="1:9" x14ac:dyDescent="0.2">
      <c r="A769" s="3">
        <v>45734.921492997688</v>
      </c>
      <c r="B769" t="s">
        <v>3</v>
      </c>
      <c r="C769" t="s">
        <v>4</v>
      </c>
      <c r="D769" t="s">
        <v>5</v>
      </c>
      <c r="E769">
        <v>0</v>
      </c>
      <c r="F769">
        <v>0</v>
      </c>
      <c r="G769" t="s">
        <v>2</v>
      </c>
      <c r="H769" cm="1">
        <f t="array" ref="H769">sentimentCalc(B769)</f>
        <v>0</v>
      </c>
      <c r="I769" s="5" t="str" cm="1">
        <f t="array" ref="I769">sentimentCategory(H769)</f>
        <v>Neutral</v>
      </c>
    </row>
    <row r="770" spans="1:9" x14ac:dyDescent="0.2">
      <c r="A770" s="3">
        <v>45735.921492997688</v>
      </c>
      <c r="B770" t="s">
        <v>952</v>
      </c>
      <c r="C770" t="s">
        <v>221</v>
      </c>
      <c r="E770">
        <v>0</v>
      </c>
      <c r="F770">
        <v>3</v>
      </c>
      <c r="G770" t="s">
        <v>2</v>
      </c>
      <c r="H770" cm="1">
        <f t="array" ref="H770">sentimentCalc(B770)</f>
        <v>0</v>
      </c>
      <c r="I770" s="5" t="str" cm="1">
        <f t="array" ref="I770">sentimentCategory(H770)</f>
        <v>Neutral</v>
      </c>
    </row>
    <row r="771" spans="1:9" x14ac:dyDescent="0.2">
      <c r="A771" s="3">
        <v>45736.921492997688</v>
      </c>
      <c r="B771" t="s">
        <v>953</v>
      </c>
      <c r="C771" t="s">
        <v>669</v>
      </c>
      <c r="D771" t="s">
        <v>954</v>
      </c>
      <c r="E771">
        <v>0</v>
      </c>
      <c r="F771">
        <v>1</v>
      </c>
      <c r="G771" t="s">
        <v>2</v>
      </c>
      <c r="H771" cm="1">
        <f t="array" ref="H771">sentimentCalc(B771)</f>
        <v>10</v>
      </c>
      <c r="I771" s="5" t="str" cm="1">
        <f t="array" ref="I771">sentimentCategory(H771)</f>
        <v>Positive</v>
      </c>
    </row>
    <row r="772" spans="1:9" x14ac:dyDescent="0.2">
      <c r="A772" s="3">
        <v>45737.921492997688</v>
      </c>
      <c r="B772" t="s">
        <v>955</v>
      </c>
      <c r="C772" t="s">
        <v>956</v>
      </c>
      <c r="D772" t="s">
        <v>957</v>
      </c>
      <c r="E772">
        <v>0</v>
      </c>
      <c r="F772">
        <v>0</v>
      </c>
      <c r="G772" t="s">
        <v>2</v>
      </c>
      <c r="H772" cm="1">
        <f t="array" ref="H772">sentimentCalc(B772)</f>
        <v>0</v>
      </c>
      <c r="I772" s="5" t="str" cm="1">
        <f t="array" ref="I772">sentimentCategory(H772)</f>
        <v>Neutral</v>
      </c>
    </row>
    <row r="773" spans="1:9" x14ac:dyDescent="0.2">
      <c r="A773" s="3"/>
      <c r="H773" cm="1">
        <f t="array" ref="H773">sentimentCalc(B773)</f>
        <v>0</v>
      </c>
      <c r="I773" s="5" t="str" cm="1">
        <f t="array" ref="I773">sentimentCategory(H773)</f>
        <v>Neutral</v>
      </c>
    </row>
    <row r="774" spans="1:9" x14ac:dyDescent="0.2">
      <c r="A774" s="3">
        <v>45739.921492997688</v>
      </c>
      <c r="B774" t="s">
        <v>959</v>
      </c>
      <c r="C774" t="s">
        <v>7</v>
      </c>
      <c r="E774">
        <v>0</v>
      </c>
      <c r="F774">
        <v>0</v>
      </c>
      <c r="G774" t="s">
        <v>2</v>
      </c>
      <c r="H774" cm="1">
        <f t="array" ref="H774">sentimentCalc(B774)</f>
        <v>0</v>
      </c>
      <c r="I774" s="5" t="str" cm="1">
        <f t="array" ref="I774">sentimentCategory(H774)</f>
        <v>Neutral</v>
      </c>
    </row>
    <row r="775" spans="1:9" x14ac:dyDescent="0.2">
      <c r="A775" s="3">
        <v>45740.921492997688</v>
      </c>
      <c r="B775" t="s">
        <v>960</v>
      </c>
      <c r="C775" t="s">
        <v>961</v>
      </c>
      <c r="D775" t="s">
        <v>210</v>
      </c>
      <c r="E775">
        <v>0</v>
      </c>
      <c r="F775">
        <v>0</v>
      </c>
      <c r="G775" t="s">
        <v>2</v>
      </c>
      <c r="H775" cm="1">
        <f t="array" ref="H775">sentimentCalc(B775)</f>
        <v>0</v>
      </c>
      <c r="I775" s="5" t="str" cm="1">
        <f t="array" ref="I775">sentimentCategory(H775)</f>
        <v>Neutral</v>
      </c>
    </row>
    <row r="776" spans="1:9" x14ac:dyDescent="0.2">
      <c r="A776" s="3">
        <v>45741.921492997688</v>
      </c>
      <c r="B776" t="s">
        <v>962</v>
      </c>
      <c r="C776" t="s">
        <v>100</v>
      </c>
      <c r="D776" t="s">
        <v>34</v>
      </c>
      <c r="E776">
        <v>0</v>
      </c>
      <c r="F776">
        <v>0</v>
      </c>
      <c r="G776" t="s">
        <v>2</v>
      </c>
      <c r="H776" cm="1">
        <f t="array" ref="H776">sentimentCalc(B776)</f>
        <v>10</v>
      </c>
      <c r="I776" s="5" t="str" cm="1">
        <f t="array" ref="I776">sentimentCategory(H776)</f>
        <v>Positive</v>
      </c>
    </row>
    <row r="777" spans="1:9" x14ac:dyDescent="0.2">
      <c r="A777" s="3">
        <v>45742.921492997688</v>
      </c>
      <c r="B777" t="s">
        <v>963</v>
      </c>
      <c r="C777" t="s">
        <v>964</v>
      </c>
      <c r="E777">
        <v>0</v>
      </c>
      <c r="F777">
        <v>0</v>
      </c>
      <c r="G777" t="s">
        <v>2</v>
      </c>
      <c r="H777" cm="1">
        <f t="array" ref="H777">sentimentCalc(B777)</f>
        <v>0</v>
      </c>
      <c r="I777" s="5" t="str" cm="1">
        <f t="array" ref="I777">sentimentCategory(H777)</f>
        <v>Neutral</v>
      </c>
    </row>
    <row r="778" spans="1:9" x14ac:dyDescent="0.2">
      <c r="A778" s="3">
        <v>45743.921492997688</v>
      </c>
      <c r="B778" t="s">
        <v>965</v>
      </c>
      <c r="C778" t="s">
        <v>557</v>
      </c>
      <c r="D778" t="s">
        <v>558</v>
      </c>
      <c r="E778">
        <v>0</v>
      </c>
      <c r="F778">
        <v>1</v>
      </c>
      <c r="G778" t="s">
        <v>2</v>
      </c>
      <c r="H778" cm="1">
        <f t="array" ref="H778">sentimentCalc(B778)</f>
        <v>-10</v>
      </c>
      <c r="I778" s="5" t="str" cm="1">
        <f t="array" ref="I778">sentimentCategory(H778)</f>
        <v>Negative</v>
      </c>
    </row>
    <row r="779" spans="1:9" x14ac:dyDescent="0.2">
      <c r="A779" s="3">
        <v>45744.921492997688</v>
      </c>
      <c r="B779" t="s">
        <v>398</v>
      </c>
      <c r="C779" t="s">
        <v>143</v>
      </c>
      <c r="D779" t="s">
        <v>129</v>
      </c>
      <c r="E779">
        <v>0</v>
      </c>
      <c r="F779">
        <v>0</v>
      </c>
      <c r="G779" t="s">
        <v>2</v>
      </c>
      <c r="H779" cm="1">
        <f t="array" ref="H779">sentimentCalc(B779)</f>
        <v>0</v>
      </c>
      <c r="I779" s="5" t="str" cm="1">
        <f t="array" ref="I779">sentimentCategory(H779)</f>
        <v>Neutral</v>
      </c>
    </row>
    <row r="780" spans="1:9" x14ac:dyDescent="0.2">
      <c r="A780" s="3">
        <v>45745.921492997688</v>
      </c>
      <c r="B780" t="s">
        <v>966</v>
      </c>
      <c r="C780" t="s">
        <v>12</v>
      </c>
      <c r="D780" t="s">
        <v>13</v>
      </c>
      <c r="E780">
        <v>0</v>
      </c>
      <c r="F780">
        <v>0</v>
      </c>
      <c r="G780" t="s">
        <v>2</v>
      </c>
      <c r="H780" cm="1">
        <f t="array" ref="H780">sentimentCalc(B780)</f>
        <v>10</v>
      </c>
      <c r="I780" s="5" t="str" cm="1">
        <f t="array" ref="I780">sentimentCategory(H780)</f>
        <v>Positive</v>
      </c>
    </row>
    <row r="781" spans="1:9" x14ac:dyDescent="0.2">
      <c r="A781" s="3">
        <v>45746.921492997688</v>
      </c>
      <c r="B781" t="s">
        <v>967</v>
      </c>
      <c r="C781" t="s">
        <v>968</v>
      </c>
      <c r="D781" t="s">
        <v>34</v>
      </c>
      <c r="E781">
        <v>0</v>
      </c>
      <c r="F781">
        <v>0</v>
      </c>
      <c r="G781" t="s">
        <v>2</v>
      </c>
      <c r="H781" cm="1">
        <f t="array" ref="H781">sentimentCalc(B781)</f>
        <v>0</v>
      </c>
      <c r="I781" s="5" t="str" cm="1">
        <f t="array" ref="I781">sentimentCategory(H781)</f>
        <v>Neutral</v>
      </c>
    </row>
    <row r="782" spans="1:9" x14ac:dyDescent="0.2">
      <c r="A782" s="3">
        <v>45747.921492997688</v>
      </c>
      <c r="B782" t="s">
        <v>969</v>
      </c>
      <c r="C782" t="s">
        <v>7</v>
      </c>
      <c r="E782">
        <v>0</v>
      </c>
      <c r="F782">
        <v>0</v>
      </c>
      <c r="G782" t="s">
        <v>2</v>
      </c>
      <c r="H782" cm="1">
        <f t="array" ref="H782">sentimentCalc(B782)</f>
        <v>0</v>
      </c>
      <c r="I782" s="5" t="str" cm="1">
        <f t="array" ref="I782">sentimentCategory(H782)</f>
        <v>Neutral</v>
      </c>
    </row>
    <row r="783" spans="1:9" x14ac:dyDescent="0.2">
      <c r="A783" s="3">
        <v>45748.921492997688</v>
      </c>
      <c r="B783" t="s">
        <v>325</v>
      </c>
      <c r="C783" t="s">
        <v>143</v>
      </c>
      <c r="D783" t="s">
        <v>129</v>
      </c>
      <c r="E783">
        <v>0</v>
      </c>
      <c r="F783">
        <v>0</v>
      </c>
      <c r="G783" t="s">
        <v>2</v>
      </c>
      <c r="H783" cm="1">
        <f t="array" ref="H783">sentimentCalc(B783)</f>
        <v>-10</v>
      </c>
      <c r="I783" s="5" t="str" cm="1">
        <f t="array" ref="I783">sentimentCategory(H783)</f>
        <v>Negative</v>
      </c>
    </row>
    <row r="784" spans="1:9" x14ac:dyDescent="0.2">
      <c r="A784" s="3">
        <v>45749.921492997688</v>
      </c>
      <c r="B784" t="s">
        <v>387</v>
      </c>
      <c r="C784" t="s">
        <v>143</v>
      </c>
      <c r="D784" t="s">
        <v>129</v>
      </c>
      <c r="E784">
        <v>0</v>
      </c>
      <c r="F784">
        <v>0</v>
      </c>
      <c r="G784" t="s">
        <v>2</v>
      </c>
      <c r="H784" cm="1">
        <f t="array" ref="H784">sentimentCalc(B784)</f>
        <v>-10</v>
      </c>
      <c r="I784" s="5" t="str" cm="1">
        <f t="array" ref="I784">sentimentCategory(H784)</f>
        <v>Negative</v>
      </c>
    </row>
    <row r="785" spans="1:9" x14ac:dyDescent="0.2">
      <c r="A785" s="3">
        <v>45750.921492997688</v>
      </c>
      <c r="B785" t="s">
        <v>970</v>
      </c>
      <c r="C785" t="s">
        <v>7</v>
      </c>
      <c r="E785">
        <v>0</v>
      </c>
      <c r="F785">
        <v>0</v>
      </c>
      <c r="G785" t="s">
        <v>2</v>
      </c>
      <c r="H785" cm="1">
        <f t="array" ref="H785">sentimentCalc(B785)</f>
        <v>0</v>
      </c>
      <c r="I785" s="5" t="str" cm="1">
        <f t="array" ref="I785">sentimentCategory(H785)</f>
        <v>Neutral</v>
      </c>
    </row>
    <row r="786" spans="1:9" x14ac:dyDescent="0.2">
      <c r="A786" s="3">
        <v>45751.921492997688</v>
      </c>
      <c r="B786" t="s">
        <v>971</v>
      </c>
      <c r="C786" t="s">
        <v>972</v>
      </c>
      <c r="E786">
        <v>1</v>
      </c>
      <c r="F786">
        <v>6</v>
      </c>
      <c r="G786" t="s">
        <v>2</v>
      </c>
      <c r="H786" cm="1">
        <f t="array" ref="H786">sentimentCalc(B786)</f>
        <v>0</v>
      </c>
      <c r="I786" s="5" t="str" cm="1">
        <f t="array" ref="I786">sentimentCategory(H786)</f>
        <v>Neutral</v>
      </c>
    </row>
    <row r="787" spans="1:9" x14ac:dyDescent="0.2">
      <c r="A787" s="3">
        <v>45752.921492997688</v>
      </c>
      <c r="B787" t="s">
        <v>973</v>
      </c>
      <c r="C787" t="s">
        <v>143</v>
      </c>
      <c r="D787" t="s">
        <v>129</v>
      </c>
      <c r="E787">
        <v>0</v>
      </c>
      <c r="F787">
        <v>0</v>
      </c>
      <c r="G787" t="s">
        <v>2</v>
      </c>
      <c r="H787" cm="1">
        <f t="array" ref="H787">sentimentCalc(B787)</f>
        <v>-10</v>
      </c>
      <c r="I787" s="5" t="str" cm="1">
        <f t="array" ref="I787">sentimentCategory(H787)</f>
        <v>Negative</v>
      </c>
    </row>
    <row r="788" spans="1:9" x14ac:dyDescent="0.2">
      <c r="A788" s="3">
        <v>45753.921492997688</v>
      </c>
      <c r="B788" t="s">
        <v>541</v>
      </c>
      <c r="C788" t="s">
        <v>461</v>
      </c>
      <c r="D788" t="s">
        <v>462</v>
      </c>
      <c r="E788">
        <v>0</v>
      </c>
      <c r="F788">
        <v>0</v>
      </c>
      <c r="G788" t="s">
        <v>2</v>
      </c>
      <c r="H788" cm="1">
        <f t="array" ref="H788">sentimentCalc(B788)</f>
        <v>0</v>
      </c>
      <c r="I788" s="5" t="str" cm="1">
        <f t="array" ref="I788">sentimentCategory(H788)</f>
        <v>Neutral</v>
      </c>
    </row>
    <row r="789" spans="1:9" x14ac:dyDescent="0.2">
      <c r="A789" s="3">
        <v>45754.921492997688</v>
      </c>
      <c r="B789" t="s">
        <v>36</v>
      </c>
      <c r="C789" t="s">
        <v>33</v>
      </c>
      <c r="D789" t="s">
        <v>34</v>
      </c>
      <c r="E789">
        <v>0</v>
      </c>
      <c r="F789">
        <v>0</v>
      </c>
      <c r="G789" t="s">
        <v>2</v>
      </c>
      <c r="H789" cm="1">
        <f t="array" ref="H789">sentimentCalc(B789)</f>
        <v>10</v>
      </c>
      <c r="I789" s="5" t="str" cm="1">
        <f t="array" ref="I789">sentimentCategory(H789)</f>
        <v>Positive</v>
      </c>
    </row>
    <row r="790" spans="1:9" x14ac:dyDescent="0.2">
      <c r="A790" s="3"/>
      <c r="H790" cm="1">
        <f t="array" ref="H790">sentimentCalc(B790)</f>
        <v>0</v>
      </c>
      <c r="I790" s="5" t="str" cm="1">
        <f t="array" ref="I790">sentimentCategory(H790)</f>
        <v>Neutral</v>
      </c>
    </row>
    <row r="791" spans="1:9" x14ac:dyDescent="0.2">
      <c r="A791" s="3">
        <v>45756.921492997688</v>
      </c>
      <c r="B791" t="s">
        <v>974</v>
      </c>
      <c r="C791" t="s">
        <v>33</v>
      </c>
      <c r="D791" t="s">
        <v>34</v>
      </c>
      <c r="E791">
        <v>0</v>
      </c>
      <c r="F791">
        <v>0</v>
      </c>
      <c r="G791" t="s">
        <v>2</v>
      </c>
      <c r="H791" cm="1">
        <f t="array" ref="H791">sentimentCalc(B791)</f>
        <v>0</v>
      </c>
      <c r="I791" s="5" t="str" cm="1">
        <f t="array" ref="I791">sentimentCategory(H791)</f>
        <v>Neutral</v>
      </c>
    </row>
    <row r="792" spans="1:9" x14ac:dyDescent="0.2">
      <c r="A792" s="3">
        <v>45757.921492997688</v>
      </c>
      <c r="B792" t="s">
        <v>37</v>
      </c>
      <c r="C792" t="s">
        <v>33</v>
      </c>
      <c r="D792" t="s">
        <v>34</v>
      </c>
      <c r="E792">
        <v>0</v>
      </c>
      <c r="F792">
        <v>0</v>
      </c>
      <c r="G792" t="s">
        <v>2</v>
      </c>
      <c r="H792" cm="1">
        <f t="array" ref="H792">sentimentCalc(B792)</f>
        <v>0</v>
      </c>
      <c r="I792" s="5" t="str" cm="1">
        <f t="array" ref="I792">sentimentCategory(H792)</f>
        <v>Neutral</v>
      </c>
    </row>
    <row r="793" spans="1:9" x14ac:dyDescent="0.2">
      <c r="A793" s="3">
        <v>45758.921492997688</v>
      </c>
      <c r="B793" t="s">
        <v>287</v>
      </c>
      <c r="C793" t="s">
        <v>33</v>
      </c>
      <c r="D793" t="s">
        <v>34</v>
      </c>
      <c r="E793">
        <v>0</v>
      </c>
      <c r="F793">
        <v>0</v>
      </c>
      <c r="G793" t="s">
        <v>2</v>
      </c>
      <c r="H793" cm="1">
        <f t="array" ref="H793">sentimentCalc(B793)</f>
        <v>0</v>
      </c>
      <c r="I793" s="5" t="str" cm="1">
        <f t="array" ref="I793">sentimentCategory(H793)</f>
        <v>Neutral</v>
      </c>
    </row>
    <row r="794" spans="1:9" x14ac:dyDescent="0.2">
      <c r="A794" s="3">
        <v>45759.921492997688</v>
      </c>
      <c r="B794" t="s">
        <v>370</v>
      </c>
      <c r="C794" t="s">
        <v>143</v>
      </c>
      <c r="D794" t="s">
        <v>129</v>
      </c>
      <c r="E794">
        <v>0</v>
      </c>
      <c r="F794">
        <v>0</v>
      </c>
      <c r="G794" t="s">
        <v>2</v>
      </c>
      <c r="H794" cm="1">
        <f t="array" ref="H794">sentimentCalc(B794)</f>
        <v>-10</v>
      </c>
      <c r="I794" s="5" t="str" cm="1">
        <f t="array" ref="I794">sentimentCategory(H794)</f>
        <v>Negative</v>
      </c>
    </row>
    <row r="795" spans="1:9" x14ac:dyDescent="0.2">
      <c r="A795" s="3">
        <v>45760.921492997688</v>
      </c>
      <c r="B795" t="s">
        <v>975</v>
      </c>
      <c r="C795" t="s">
        <v>7</v>
      </c>
      <c r="E795">
        <v>0</v>
      </c>
      <c r="F795">
        <v>0</v>
      </c>
      <c r="G795" t="s">
        <v>2</v>
      </c>
      <c r="H795" cm="1">
        <f t="array" ref="H795">sentimentCalc(B795)</f>
        <v>0</v>
      </c>
      <c r="I795" s="5" t="str" cm="1">
        <f t="array" ref="I795">sentimentCategory(H795)</f>
        <v>Neutral</v>
      </c>
    </row>
    <row r="796" spans="1:9" x14ac:dyDescent="0.2">
      <c r="A796" s="3">
        <v>45761.921492997688</v>
      </c>
      <c r="B796" t="s">
        <v>976</v>
      </c>
      <c r="C796" t="s">
        <v>977</v>
      </c>
      <c r="D796" t="s">
        <v>978</v>
      </c>
      <c r="E796">
        <v>1</v>
      </c>
      <c r="F796">
        <v>1</v>
      </c>
      <c r="G796" t="s">
        <v>2</v>
      </c>
      <c r="H796" cm="1">
        <f t="array" ref="H796">sentimentCalc(B796)</f>
        <v>0</v>
      </c>
      <c r="I796" s="5" t="str" cm="1">
        <f t="array" ref="I796">sentimentCategory(H796)</f>
        <v>Neutral</v>
      </c>
    </row>
    <row r="797" spans="1:9" x14ac:dyDescent="0.2">
      <c r="A797" s="3">
        <v>45762.921492997688</v>
      </c>
      <c r="B797" t="s">
        <v>979</v>
      </c>
      <c r="C797" t="s">
        <v>7</v>
      </c>
      <c r="E797">
        <v>0</v>
      </c>
      <c r="F797">
        <v>0</v>
      </c>
      <c r="G797" t="s">
        <v>2</v>
      </c>
      <c r="H797" cm="1">
        <f t="array" ref="H797">sentimentCalc(B797)</f>
        <v>0</v>
      </c>
      <c r="I797" s="5" t="str" cm="1">
        <f t="array" ref="I797">sentimentCategory(H797)</f>
        <v>Neutral</v>
      </c>
    </row>
    <row r="798" spans="1:9" x14ac:dyDescent="0.2">
      <c r="A798" s="3">
        <v>45763.921492997688</v>
      </c>
      <c r="B798" t="s">
        <v>450</v>
      </c>
      <c r="C798" t="s">
        <v>143</v>
      </c>
      <c r="D798" t="s">
        <v>129</v>
      </c>
      <c r="E798">
        <v>0</v>
      </c>
      <c r="F798">
        <v>0</v>
      </c>
      <c r="G798" t="s">
        <v>2</v>
      </c>
      <c r="H798" cm="1">
        <f t="array" ref="H798">sentimentCalc(B798)</f>
        <v>-10</v>
      </c>
      <c r="I798" s="5" t="str" cm="1">
        <f t="array" ref="I798">sentimentCategory(H798)</f>
        <v>Negative</v>
      </c>
    </row>
    <row r="799" spans="1:9" x14ac:dyDescent="0.2">
      <c r="A799" s="3">
        <v>45764.921492997688</v>
      </c>
      <c r="B799" t="s">
        <v>980</v>
      </c>
      <c r="C799" t="s">
        <v>981</v>
      </c>
      <c r="E799">
        <v>0</v>
      </c>
      <c r="F799">
        <v>0</v>
      </c>
      <c r="G799" t="s">
        <v>2</v>
      </c>
      <c r="H799" cm="1">
        <f t="array" ref="H799">sentimentCalc(B799)</f>
        <v>0</v>
      </c>
      <c r="I799" s="5" t="str" cm="1">
        <f t="array" ref="I799">sentimentCategory(H799)</f>
        <v>Neutral</v>
      </c>
    </row>
    <row r="800" spans="1:9" x14ac:dyDescent="0.2">
      <c r="A800" s="3">
        <v>45765.921492997688</v>
      </c>
      <c r="B800" t="s">
        <v>982</v>
      </c>
      <c r="C800" t="s">
        <v>7</v>
      </c>
      <c r="E800">
        <v>1</v>
      </c>
      <c r="F800">
        <v>0</v>
      </c>
      <c r="G800" t="s">
        <v>2</v>
      </c>
      <c r="H800" cm="1">
        <f t="array" ref="H800">sentimentCalc(B800)</f>
        <v>0</v>
      </c>
      <c r="I800" s="5" t="str" cm="1">
        <f t="array" ref="I800">sentimentCategory(H800)</f>
        <v>Neutral</v>
      </c>
    </row>
    <row r="801" spans="1:9" x14ac:dyDescent="0.2">
      <c r="A801" s="3">
        <v>45766.921492997688</v>
      </c>
      <c r="B801" t="s">
        <v>983</v>
      </c>
      <c r="C801" t="s">
        <v>984</v>
      </c>
      <c r="E801">
        <v>0</v>
      </c>
      <c r="F801">
        <v>2</v>
      </c>
      <c r="G801" t="s">
        <v>2</v>
      </c>
      <c r="H801" cm="1">
        <f t="array" ref="H801">sentimentCalc(B801)</f>
        <v>0</v>
      </c>
      <c r="I801" s="5" t="str" cm="1">
        <f t="array" ref="I801">sentimentCategory(H801)</f>
        <v>Neutral</v>
      </c>
    </row>
    <row r="802" spans="1:9" x14ac:dyDescent="0.2">
      <c r="A802" s="3">
        <v>45767.921492997688</v>
      </c>
      <c r="B802" t="s">
        <v>985</v>
      </c>
      <c r="C802" t="s">
        <v>986</v>
      </c>
      <c r="D802" t="s">
        <v>55</v>
      </c>
      <c r="E802">
        <v>0</v>
      </c>
      <c r="F802">
        <v>0</v>
      </c>
      <c r="G802" t="s">
        <v>2</v>
      </c>
      <c r="H802" cm="1">
        <f t="array" ref="H802">sentimentCalc(B802)</f>
        <v>-20</v>
      </c>
      <c r="I802" s="5" t="str" cm="1">
        <f t="array" ref="I802">sentimentCategory(H802)</f>
        <v>Negative</v>
      </c>
    </row>
    <row r="803" spans="1:9" x14ac:dyDescent="0.2">
      <c r="A803" s="3">
        <v>45768.921492997688</v>
      </c>
      <c r="B803" t="s">
        <v>987</v>
      </c>
      <c r="C803" t="s">
        <v>7</v>
      </c>
      <c r="E803">
        <v>0</v>
      </c>
      <c r="F803">
        <v>0</v>
      </c>
      <c r="G803" t="s">
        <v>2</v>
      </c>
      <c r="H803" cm="1">
        <f t="array" ref="H803">sentimentCalc(B803)</f>
        <v>0</v>
      </c>
      <c r="I803" s="5" t="str" cm="1">
        <f t="array" ref="I803">sentimentCategory(H803)</f>
        <v>Neutral</v>
      </c>
    </row>
    <row r="804" spans="1:9" x14ac:dyDescent="0.2">
      <c r="A804" s="3">
        <v>45769.921492997688</v>
      </c>
      <c r="B804" t="s">
        <v>869</v>
      </c>
      <c r="C804" t="s">
        <v>262</v>
      </c>
      <c r="D804" t="s">
        <v>263</v>
      </c>
      <c r="E804">
        <v>0</v>
      </c>
      <c r="F804">
        <v>0</v>
      </c>
      <c r="G804" t="s">
        <v>2</v>
      </c>
      <c r="H804" cm="1">
        <f t="array" ref="H804">sentimentCalc(B804)</f>
        <v>0</v>
      </c>
      <c r="I804" s="5" t="str" cm="1">
        <f t="array" ref="I804">sentimentCategory(H804)</f>
        <v>Neutral</v>
      </c>
    </row>
    <row r="805" spans="1:9" x14ac:dyDescent="0.2">
      <c r="A805" s="3">
        <v>45770.921492997688</v>
      </c>
      <c r="B805" t="s">
        <v>988</v>
      </c>
      <c r="C805" t="s">
        <v>989</v>
      </c>
      <c r="D805" t="s">
        <v>990</v>
      </c>
      <c r="E805">
        <v>0</v>
      </c>
      <c r="F805">
        <v>0</v>
      </c>
      <c r="G805" t="s">
        <v>2</v>
      </c>
      <c r="H805" cm="1">
        <f t="array" ref="H805">sentimentCalc(B805)</f>
        <v>0</v>
      </c>
      <c r="I805" s="5" t="str" cm="1">
        <f t="array" ref="I805">sentimentCategory(H805)</f>
        <v>Neutral</v>
      </c>
    </row>
    <row r="806" spans="1:9" x14ac:dyDescent="0.2">
      <c r="A806" s="3">
        <v>45771.921492997688</v>
      </c>
      <c r="B806" t="s">
        <v>460</v>
      </c>
      <c r="C806" t="s">
        <v>262</v>
      </c>
      <c r="D806" t="s">
        <v>263</v>
      </c>
      <c r="E806">
        <v>0</v>
      </c>
      <c r="F806">
        <v>0</v>
      </c>
      <c r="G806" t="s">
        <v>2</v>
      </c>
      <c r="H806" cm="1">
        <f t="array" ref="H806">sentimentCalc(B806)</f>
        <v>0</v>
      </c>
      <c r="I806" s="5" t="str" cm="1">
        <f t="array" ref="I806">sentimentCategory(H806)</f>
        <v>Neutral</v>
      </c>
    </row>
    <row r="807" spans="1:9" x14ac:dyDescent="0.2">
      <c r="A807" s="3">
        <v>45772.921492997688</v>
      </c>
      <c r="B807" t="s">
        <v>541</v>
      </c>
      <c r="C807" t="s">
        <v>262</v>
      </c>
      <c r="D807" t="s">
        <v>263</v>
      </c>
      <c r="E807">
        <v>0</v>
      </c>
      <c r="F807">
        <v>0</v>
      </c>
      <c r="G807" t="s">
        <v>2</v>
      </c>
      <c r="H807" cm="1">
        <f t="array" ref="H807">sentimentCalc(B807)</f>
        <v>0</v>
      </c>
      <c r="I807" s="5" t="str" cm="1">
        <f t="array" ref="I807">sentimentCategory(H807)</f>
        <v>Neutral</v>
      </c>
    </row>
    <row r="808" spans="1:9" x14ac:dyDescent="0.2">
      <c r="A808" s="3">
        <v>45773.921492997688</v>
      </c>
      <c r="B808" t="s">
        <v>991</v>
      </c>
      <c r="C808" t="s">
        <v>262</v>
      </c>
      <c r="D808" t="s">
        <v>263</v>
      </c>
      <c r="E808">
        <v>0</v>
      </c>
      <c r="F808">
        <v>1</v>
      </c>
      <c r="G808" t="s">
        <v>2</v>
      </c>
      <c r="H808" cm="1">
        <f t="array" ref="H808">sentimentCalc(B808)</f>
        <v>10</v>
      </c>
      <c r="I808" s="5" t="str" cm="1">
        <f t="array" ref="I808">sentimentCategory(H808)</f>
        <v>Positive</v>
      </c>
    </row>
    <row r="809" spans="1:9" x14ac:dyDescent="0.2">
      <c r="A809" s="3">
        <v>45774.921492997688</v>
      </c>
      <c r="B809" t="s">
        <v>992</v>
      </c>
      <c r="C809" t="s">
        <v>262</v>
      </c>
      <c r="D809" t="s">
        <v>263</v>
      </c>
      <c r="E809">
        <v>0</v>
      </c>
      <c r="F809">
        <v>0</v>
      </c>
      <c r="G809" t="s">
        <v>2</v>
      </c>
      <c r="H809" cm="1">
        <f t="array" ref="H809">sentimentCalc(B809)</f>
        <v>0</v>
      </c>
      <c r="I809" s="5" t="str" cm="1">
        <f t="array" ref="I809">sentimentCategory(H809)</f>
        <v>Neutral</v>
      </c>
    </row>
    <row r="810" spans="1:9" x14ac:dyDescent="0.2">
      <c r="A810" s="3">
        <v>45775.921492997688</v>
      </c>
      <c r="B810" t="s">
        <v>993</v>
      </c>
      <c r="C810" t="s">
        <v>262</v>
      </c>
      <c r="D810" t="s">
        <v>263</v>
      </c>
      <c r="E810">
        <v>0</v>
      </c>
      <c r="F810">
        <v>0</v>
      </c>
      <c r="G810" t="s">
        <v>2</v>
      </c>
      <c r="H810" cm="1">
        <f t="array" ref="H810">sentimentCalc(B810)</f>
        <v>0</v>
      </c>
      <c r="I810" s="5" t="str" cm="1">
        <f t="array" ref="I810">sentimentCategory(H810)</f>
        <v>Neutral</v>
      </c>
    </row>
    <row r="811" spans="1:9" x14ac:dyDescent="0.2">
      <c r="A811" s="3">
        <v>45776.921492997688</v>
      </c>
      <c r="B811" t="s">
        <v>994</v>
      </c>
      <c r="C811" t="s">
        <v>995</v>
      </c>
      <c r="E811">
        <v>0</v>
      </c>
      <c r="F811">
        <v>0</v>
      </c>
      <c r="G811" t="s">
        <v>2</v>
      </c>
      <c r="H811" cm="1">
        <f t="array" ref="H811">sentimentCalc(B811)</f>
        <v>0</v>
      </c>
      <c r="I811" s="5" t="str" cm="1">
        <f t="array" ref="I811">sentimentCategory(H811)</f>
        <v>Neutral</v>
      </c>
    </row>
    <row r="812" spans="1:9" x14ac:dyDescent="0.2">
      <c r="A812" s="3">
        <v>45777.921492997688</v>
      </c>
      <c r="B812" t="s">
        <v>40</v>
      </c>
      <c r="C812" t="s">
        <v>262</v>
      </c>
      <c r="D812" t="s">
        <v>263</v>
      </c>
      <c r="E812">
        <v>0</v>
      </c>
      <c r="F812">
        <v>0</v>
      </c>
      <c r="G812" t="s">
        <v>2</v>
      </c>
      <c r="H812" cm="1">
        <f t="array" ref="H812">sentimentCalc(B812)</f>
        <v>0</v>
      </c>
      <c r="I812" s="5" t="str" cm="1">
        <f t="array" ref="I812">sentimentCategory(H812)</f>
        <v>Neutral</v>
      </c>
    </row>
    <row r="813" spans="1:9" x14ac:dyDescent="0.2">
      <c r="A813" s="3">
        <v>45778.921492997688</v>
      </c>
      <c r="B813" t="s">
        <v>876</v>
      </c>
      <c r="C813" t="s">
        <v>262</v>
      </c>
      <c r="D813" t="s">
        <v>263</v>
      </c>
      <c r="E813">
        <v>0</v>
      </c>
      <c r="F813">
        <v>0</v>
      </c>
      <c r="G813" t="s">
        <v>2</v>
      </c>
      <c r="H813" cm="1">
        <f t="array" ref="H813">sentimentCalc(B813)</f>
        <v>0</v>
      </c>
      <c r="I813" s="5" t="str" cm="1">
        <f t="array" ref="I813">sentimentCategory(H813)</f>
        <v>Neutral</v>
      </c>
    </row>
    <row r="814" spans="1:9" x14ac:dyDescent="0.2">
      <c r="A814" s="3">
        <v>45779.921492997688</v>
      </c>
      <c r="B814" t="s">
        <v>996</v>
      </c>
      <c r="C814" t="s">
        <v>262</v>
      </c>
      <c r="D814" t="s">
        <v>263</v>
      </c>
      <c r="E814">
        <v>0</v>
      </c>
      <c r="F814">
        <v>0</v>
      </c>
      <c r="G814" t="s">
        <v>2</v>
      </c>
      <c r="H814" cm="1">
        <f t="array" ref="H814">sentimentCalc(B814)</f>
        <v>0</v>
      </c>
      <c r="I814" s="5" t="str" cm="1">
        <f t="array" ref="I814">sentimentCategory(H814)</f>
        <v>Neutral</v>
      </c>
    </row>
    <row r="815" spans="1:9" x14ac:dyDescent="0.2">
      <c r="A815" s="3">
        <v>45780.921492997688</v>
      </c>
      <c r="B815" t="s">
        <v>997</v>
      </c>
      <c r="C815" t="s">
        <v>262</v>
      </c>
      <c r="D815" t="s">
        <v>263</v>
      </c>
      <c r="E815">
        <v>0</v>
      </c>
      <c r="F815">
        <v>0</v>
      </c>
      <c r="G815" t="s">
        <v>2</v>
      </c>
      <c r="H815" cm="1">
        <f t="array" ref="H815">sentimentCalc(B815)</f>
        <v>10</v>
      </c>
      <c r="I815" s="5" t="str" cm="1">
        <f t="array" ref="I815">sentimentCategory(H815)</f>
        <v>Positive</v>
      </c>
    </row>
    <row r="816" spans="1:9" x14ac:dyDescent="0.2">
      <c r="A816" s="3">
        <v>45781.921492997688</v>
      </c>
      <c r="B816" t="s">
        <v>544</v>
      </c>
      <c r="C816" t="s">
        <v>262</v>
      </c>
      <c r="D816" t="s">
        <v>263</v>
      </c>
      <c r="E816">
        <v>2</v>
      </c>
      <c r="F816">
        <v>5</v>
      </c>
      <c r="G816" t="s">
        <v>2</v>
      </c>
      <c r="H816" cm="1">
        <f t="array" ref="H816">sentimentCalc(B816)</f>
        <v>0</v>
      </c>
      <c r="I816" s="5" t="str" cm="1">
        <f t="array" ref="I816">sentimentCategory(H816)</f>
        <v>Neutral</v>
      </c>
    </row>
    <row r="817" spans="1:9" x14ac:dyDescent="0.2">
      <c r="A817" s="3">
        <v>45782.921492997688</v>
      </c>
      <c r="B817" t="s">
        <v>998</v>
      </c>
      <c r="C817" t="s">
        <v>262</v>
      </c>
      <c r="D817" t="s">
        <v>263</v>
      </c>
      <c r="E817">
        <v>0</v>
      </c>
      <c r="F817">
        <v>0</v>
      </c>
      <c r="G817" t="s">
        <v>2</v>
      </c>
      <c r="H817" cm="1">
        <f t="array" ref="H817">sentimentCalc(B817)</f>
        <v>0</v>
      </c>
      <c r="I817" s="5" t="str" cm="1">
        <f t="array" ref="I817">sentimentCategory(H817)</f>
        <v>Neutral</v>
      </c>
    </row>
    <row r="818" spans="1:9" x14ac:dyDescent="0.2">
      <c r="A818" s="3">
        <v>45783.921492997688</v>
      </c>
      <c r="B818" t="s">
        <v>999</v>
      </c>
      <c r="C818" t="s">
        <v>262</v>
      </c>
      <c r="D818" t="s">
        <v>263</v>
      </c>
      <c r="E818">
        <v>0</v>
      </c>
      <c r="F818">
        <v>0</v>
      </c>
      <c r="G818" t="s">
        <v>2</v>
      </c>
      <c r="H818" cm="1">
        <f t="array" ref="H818">sentimentCalc(B818)</f>
        <v>0</v>
      </c>
      <c r="I818" s="5" t="str" cm="1">
        <f t="array" ref="I818">sentimentCategory(H818)</f>
        <v>Neutral</v>
      </c>
    </row>
    <row r="819" spans="1:9" x14ac:dyDescent="0.2">
      <c r="A819" s="3">
        <v>45784.921492997688</v>
      </c>
      <c r="B819" t="s">
        <v>99</v>
      </c>
      <c r="C819" t="s">
        <v>262</v>
      </c>
      <c r="D819" t="s">
        <v>263</v>
      </c>
      <c r="E819">
        <v>0</v>
      </c>
      <c r="F819">
        <v>0</v>
      </c>
      <c r="G819" t="s">
        <v>2</v>
      </c>
      <c r="H819" cm="1">
        <f t="array" ref="H819">sentimentCalc(B819)</f>
        <v>0</v>
      </c>
      <c r="I819" s="5" t="str" cm="1">
        <f t="array" ref="I819">sentimentCategory(H819)</f>
        <v>Neutral</v>
      </c>
    </row>
    <row r="820" spans="1:9" x14ac:dyDescent="0.2">
      <c r="A820" s="3">
        <v>45785.921492997688</v>
      </c>
      <c r="B820" t="s">
        <v>1000</v>
      </c>
      <c r="C820" t="s">
        <v>100</v>
      </c>
      <c r="E820">
        <v>0</v>
      </c>
      <c r="F820">
        <v>0</v>
      </c>
      <c r="G820" t="s">
        <v>2</v>
      </c>
      <c r="H820" cm="1">
        <f t="array" ref="H820">sentimentCalc(B820)</f>
        <v>0</v>
      </c>
      <c r="I820" s="5" t="str" cm="1">
        <f t="array" ref="I820">sentimentCategory(H820)</f>
        <v>Neutral</v>
      </c>
    </row>
    <row r="821" spans="1:9" x14ac:dyDescent="0.2">
      <c r="A821" s="3">
        <v>45786.921492997688</v>
      </c>
      <c r="B821" t="s">
        <v>1001</v>
      </c>
      <c r="C821" t="s">
        <v>884</v>
      </c>
      <c r="D821" t="s">
        <v>1002</v>
      </c>
      <c r="E821">
        <v>10</v>
      </c>
      <c r="F821">
        <v>9</v>
      </c>
      <c r="G821" t="s">
        <v>2</v>
      </c>
      <c r="H821" cm="1">
        <f t="array" ref="H821">sentimentCalc(B821)</f>
        <v>0</v>
      </c>
      <c r="I821" s="5" t="str" cm="1">
        <f t="array" ref="I821">sentimentCategory(H821)</f>
        <v>Neutral</v>
      </c>
    </row>
    <row r="822" spans="1:9" x14ac:dyDescent="0.2">
      <c r="A822" s="3">
        <v>45787.921492997688</v>
      </c>
      <c r="B822" t="s">
        <v>1003</v>
      </c>
      <c r="C822" t="s">
        <v>98</v>
      </c>
      <c r="D822" t="s">
        <v>13</v>
      </c>
      <c r="E822">
        <v>0</v>
      </c>
      <c r="F822">
        <v>0</v>
      </c>
      <c r="G822" t="s">
        <v>2</v>
      </c>
      <c r="H822" cm="1">
        <f t="array" ref="H822">sentimentCalc(B822)</f>
        <v>0</v>
      </c>
      <c r="I822" s="5" t="str" cm="1">
        <f t="array" ref="I822">sentimentCategory(H822)</f>
        <v>Neutral</v>
      </c>
    </row>
    <row r="823" spans="1:9" x14ac:dyDescent="0.2">
      <c r="A823" s="3">
        <v>45788.921492997688</v>
      </c>
      <c r="B823" t="s">
        <v>1004</v>
      </c>
      <c r="C823" t="s">
        <v>98</v>
      </c>
      <c r="D823" t="s">
        <v>13</v>
      </c>
      <c r="E823">
        <v>0</v>
      </c>
      <c r="F823">
        <v>0</v>
      </c>
      <c r="G823" t="s">
        <v>2</v>
      </c>
      <c r="H823" cm="1">
        <f t="array" ref="H823">sentimentCalc(B823)</f>
        <v>0</v>
      </c>
      <c r="I823" s="5" t="str" cm="1">
        <f t="array" ref="I823">sentimentCategory(H823)</f>
        <v>Neutral</v>
      </c>
    </row>
    <row r="824" spans="1:9" x14ac:dyDescent="0.2">
      <c r="A824" s="3">
        <v>45789.921492997688</v>
      </c>
      <c r="B824" t="s">
        <v>1005</v>
      </c>
      <c r="C824" t="s">
        <v>7</v>
      </c>
      <c r="E824">
        <v>1</v>
      </c>
      <c r="F824">
        <v>0</v>
      </c>
      <c r="G824" t="s">
        <v>2</v>
      </c>
      <c r="H824" cm="1">
        <f t="array" ref="H824">sentimentCalc(B824)</f>
        <v>0</v>
      </c>
      <c r="I824" s="5" t="str" cm="1">
        <f t="array" ref="I824">sentimentCategory(H824)</f>
        <v>Neutral</v>
      </c>
    </row>
    <row r="825" spans="1:9" x14ac:dyDescent="0.2">
      <c r="A825" s="3">
        <v>45790.921492997688</v>
      </c>
      <c r="B825" t="s">
        <v>1006</v>
      </c>
      <c r="C825" t="s">
        <v>143</v>
      </c>
      <c r="D825" t="s">
        <v>129</v>
      </c>
      <c r="E825">
        <v>0</v>
      </c>
      <c r="F825">
        <v>0</v>
      </c>
      <c r="G825" t="s">
        <v>2</v>
      </c>
      <c r="H825" cm="1">
        <f t="array" ref="H825">sentimentCalc(B825)</f>
        <v>0</v>
      </c>
      <c r="I825" s="5" t="str" cm="1">
        <f t="array" ref="I825">sentimentCategory(H825)</f>
        <v>Neutral</v>
      </c>
    </row>
    <row r="826" spans="1:9" x14ac:dyDescent="0.2">
      <c r="A826" s="3">
        <v>45791.921492997688</v>
      </c>
      <c r="B826" t="s">
        <v>1007</v>
      </c>
      <c r="C826" t="s">
        <v>1008</v>
      </c>
      <c r="E826">
        <v>0</v>
      </c>
      <c r="F826">
        <v>0</v>
      </c>
      <c r="G826" t="s">
        <v>2</v>
      </c>
      <c r="H826" cm="1">
        <f t="array" ref="H826">sentimentCalc(B826)</f>
        <v>0</v>
      </c>
      <c r="I826" s="5" t="str" cm="1">
        <f t="array" ref="I826">sentimentCategory(H826)</f>
        <v>Neutral</v>
      </c>
    </row>
    <row r="827" spans="1:9" x14ac:dyDescent="0.2">
      <c r="A827" s="3">
        <v>45792.921492997688</v>
      </c>
      <c r="B827" t="s">
        <v>1009</v>
      </c>
      <c r="C827" t="s">
        <v>487</v>
      </c>
      <c r="D827" t="s">
        <v>488</v>
      </c>
      <c r="E827">
        <v>0</v>
      </c>
      <c r="F827">
        <v>0</v>
      </c>
      <c r="G827" t="s">
        <v>2</v>
      </c>
      <c r="H827" cm="1">
        <f t="array" ref="H827">sentimentCalc(B827)</f>
        <v>10</v>
      </c>
      <c r="I827" s="5" t="str" cm="1">
        <f t="array" ref="I827">sentimentCategory(H827)</f>
        <v>Positive</v>
      </c>
    </row>
    <row r="828" spans="1:9" x14ac:dyDescent="0.2">
      <c r="A828" s="3">
        <v>45793.921492997688</v>
      </c>
      <c r="B828" t="s">
        <v>1010</v>
      </c>
      <c r="C828" t="s">
        <v>7</v>
      </c>
      <c r="E828">
        <v>0</v>
      </c>
      <c r="F828">
        <v>0</v>
      </c>
      <c r="G828" t="s">
        <v>2</v>
      </c>
      <c r="H828" cm="1">
        <f t="array" ref="H828">sentimentCalc(B828)</f>
        <v>0</v>
      </c>
      <c r="I828" s="5" t="str" cm="1">
        <f t="array" ref="I828">sentimentCategory(H828)</f>
        <v>Neutral</v>
      </c>
    </row>
    <row r="829" spans="1:9" x14ac:dyDescent="0.2">
      <c r="A829" s="3">
        <v>45794.921492997688</v>
      </c>
      <c r="B829" t="s">
        <v>1011</v>
      </c>
      <c r="C829" t="s">
        <v>7</v>
      </c>
      <c r="E829">
        <v>0</v>
      </c>
      <c r="F829">
        <v>0</v>
      </c>
      <c r="G829" t="s">
        <v>2</v>
      </c>
      <c r="H829" cm="1">
        <f t="array" ref="H829">sentimentCalc(B829)</f>
        <v>0</v>
      </c>
      <c r="I829" s="5" t="str" cm="1">
        <f t="array" ref="I829">sentimentCategory(H829)</f>
        <v>Neutral</v>
      </c>
    </row>
    <row r="830" spans="1:9" x14ac:dyDescent="0.2">
      <c r="A830" s="3">
        <v>45795.921492997688</v>
      </c>
      <c r="B830" t="s">
        <v>1012</v>
      </c>
      <c r="C830" t="s">
        <v>1013</v>
      </c>
      <c r="D830" t="s">
        <v>132</v>
      </c>
      <c r="E830">
        <v>0</v>
      </c>
      <c r="F830">
        <v>1</v>
      </c>
      <c r="G830" t="s">
        <v>2</v>
      </c>
      <c r="H830" cm="1">
        <f t="array" ref="H830">sentimentCalc(B830)</f>
        <v>0</v>
      </c>
      <c r="I830" s="5" t="str" cm="1">
        <f t="array" ref="I830">sentimentCategory(H830)</f>
        <v>Neutral</v>
      </c>
    </row>
    <row r="831" spans="1:9" x14ac:dyDescent="0.2">
      <c r="A831" s="3"/>
      <c r="H831" cm="1">
        <f t="array" ref="H831">sentimentCalc(B831)</f>
        <v>0</v>
      </c>
      <c r="I831" s="5" t="str" cm="1">
        <f t="array" ref="I831">sentimentCategory(H831)</f>
        <v>Neutral</v>
      </c>
    </row>
    <row r="832" spans="1:9" x14ac:dyDescent="0.2">
      <c r="A832" s="3">
        <v>45797.921492997688</v>
      </c>
      <c r="B832" t="s">
        <v>1014</v>
      </c>
      <c r="C832" t="s">
        <v>481</v>
      </c>
      <c r="D832" t="s">
        <v>482</v>
      </c>
      <c r="E832">
        <v>0</v>
      </c>
      <c r="F832">
        <v>0</v>
      </c>
      <c r="G832" t="s">
        <v>2</v>
      </c>
      <c r="H832" cm="1">
        <f t="array" ref="H832">sentimentCalc(B832)</f>
        <v>10</v>
      </c>
      <c r="I832" s="5" t="str" cm="1">
        <f t="array" ref="I832">sentimentCategory(H832)</f>
        <v>Positive</v>
      </c>
    </row>
    <row r="833" spans="1:9" x14ac:dyDescent="0.2">
      <c r="A833" s="3">
        <v>45798.921492997688</v>
      </c>
      <c r="B833" t="s">
        <v>1015</v>
      </c>
      <c r="C833" t="s">
        <v>7</v>
      </c>
      <c r="E833">
        <v>0</v>
      </c>
      <c r="F833">
        <v>0</v>
      </c>
      <c r="G833" t="s">
        <v>2</v>
      </c>
      <c r="H833" cm="1">
        <f t="array" ref="H833">sentimentCalc(B833)</f>
        <v>0</v>
      </c>
      <c r="I833" s="5" t="str" cm="1">
        <f t="array" ref="I833">sentimentCategory(H833)</f>
        <v>Neutral</v>
      </c>
    </row>
    <row r="834" spans="1:9" x14ac:dyDescent="0.2">
      <c r="A834" s="3">
        <v>45799.921492997688</v>
      </c>
      <c r="B834" t="s">
        <v>1016</v>
      </c>
      <c r="C834" t="s">
        <v>1017</v>
      </c>
      <c r="D834" t="s">
        <v>55</v>
      </c>
      <c r="E834">
        <v>0</v>
      </c>
      <c r="F834">
        <v>0</v>
      </c>
      <c r="G834" t="s">
        <v>2</v>
      </c>
      <c r="H834" cm="1">
        <f t="array" ref="H834">sentimentCalc(B834)</f>
        <v>0</v>
      </c>
      <c r="I834" s="5" t="str" cm="1">
        <f t="array" ref="I834">sentimentCategory(H834)</f>
        <v>Neutral</v>
      </c>
    </row>
    <row r="835" spans="1:9" x14ac:dyDescent="0.2">
      <c r="A835" s="3">
        <v>45800.921492997688</v>
      </c>
      <c r="B835" t="s">
        <v>1018</v>
      </c>
      <c r="C835" t="s">
        <v>134</v>
      </c>
      <c r="D835" t="s">
        <v>55</v>
      </c>
      <c r="E835">
        <v>4</v>
      </c>
      <c r="F835">
        <v>2</v>
      </c>
      <c r="G835" t="s">
        <v>2</v>
      </c>
      <c r="H835" cm="1">
        <f t="array" ref="H835">sentimentCalc(B835)</f>
        <v>10</v>
      </c>
      <c r="I835" s="5" t="str" cm="1">
        <f t="array" ref="I835">sentimentCategory(H835)</f>
        <v>Positive</v>
      </c>
    </row>
    <row r="836" spans="1:9" x14ac:dyDescent="0.2">
      <c r="A836" s="3">
        <v>45801.921492997688</v>
      </c>
      <c r="B836" t="s">
        <v>3</v>
      </c>
      <c r="C836" t="s">
        <v>4</v>
      </c>
      <c r="D836" t="s">
        <v>5</v>
      </c>
      <c r="E836">
        <v>0</v>
      </c>
      <c r="F836">
        <v>0</v>
      </c>
      <c r="G836" t="s">
        <v>2</v>
      </c>
      <c r="H836" cm="1">
        <f t="array" ref="H836">sentimentCalc(B836)</f>
        <v>0</v>
      </c>
      <c r="I836" s="5" t="str" cm="1">
        <f t="array" ref="I836">sentimentCategory(H836)</f>
        <v>Neutral</v>
      </c>
    </row>
    <row r="837" spans="1:9" x14ac:dyDescent="0.2">
      <c r="A837" s="3">
        <v>45802.921492997688</v>
      </c>
      <c r="B837" t="s">
        <v>1019</v>
      </c>
      <c r="C837" t="s">
        <v>1020</v>
      </c>
      <c r="E837">
        <v>0</v>
      </c>
      <c r="F837">
        <v>0</v>
      </c>
      <c r="G837" t="s">
        <v>2</v>
      </c>
      <c r="H837" cm="1">
        <f t="array" ref="H837">sentimentCalc(B837)</f>
        <v>0</v>
      </c>
      <c r="I837" s="5" t="str" cm="1">
        <f t="array" ref="I837">sentimentCategory(H837)</f>
        <v>Neutral</v>
      </c>
    </row>
    <row r="838" spans="1:9" x14ac:dyDescent="0.2">
      <c r="A838" s="3">
        <v>45803.921492997688</v>
      </c>
      <c r="B838" t="s">
        <v>1021</v>
      </c>
      <c r="C838" t="s">
        <v>1022</v>
      </c>
      <c r="D838" t="s">
        <v>1023</v>
      </c>
      <c r="E838">
        <v>0</v>
      </c>
      <c r="F838">
        <v>0</v>
      </c>
      <c r="G838" t="s">
        <v>2</v>
      </c>
      <c r="H838" cm="1">
        <f t="array" ref="H838">sentimentCalc(B838)</f>
        <v>0</v>
      </c>
      <c r="I838" s="5" t="str" cm="1">
        <f t="array" ref="I838">sentimentCategory(H838)</f>
        <v>Neutral</v>
      </c>
    </row>
    <row r="839" spans="1:9" x14ac:dyDescent="0.2">
      <c r="A839" s="3">
        <v>45804.921492997688</v>
      </c>
      <c r="B839" t="s">
        <v>1024</v>
      </c>
      <c r="C839" t="s">
        <v>7</v>
      </c>
      <c r="E839">
        <v>0</v>
      </c>
      <c r="F839">
        <v>0</v>
      </c>
      <c r="G839" t="s">
        <v>2</v>
      </c>
      <c r="H839" cm="1">
        <f t="array" ref="H839">sentimentCalc(B839)</f>
        <v>0</v>
      </c>
      <c r="I839" s="5" t="str" cm="1">
        <f t="array" ref="I839">sentimentCategory(H839)</f>
        <v>Neutral</v>
      </c>
    </row>
    <row r="840" spans="1:9" x14ac:dyDescent="0.2">
      <c r="A840" s="3">
        <v>45805.921492997688</v>
      </c>
      <c r="B840" t="s">
        <v>141</v>
      </c>
      <c r="C840" t="s">
        <v>143</v>
      </c>
      <c r="D840" t="s">
        <v>129</v>
      </c>
      <c r="E840">
        <v>0</v>
      </c>
      <c r="F840">
        <v>0</v>
      </c>
      <c r="G840" t="s">
        <v>2</v>
      </c>
      <c r="H840" cm="1">
        <f t="array" ref="H840">sentimentCalc(B840)</f>
        <v>0</v>
      </c>
      <c r="I840" s="5" t="str" cm="1">
        <f t="array" ref="I840">sentimentCategory(H840)</f>
        <v>Neutral</v>
      </c>
    </row>
    <row r="841" spans="1:9" x14ac:dyDescent="0.2">
      <c r="A841" s="3">
        <v>45806.921492997688</v>
      </c>
      <c r="B841" t="s">
        <v>1025</v>
      </c>
      <c r="C841" t="s">
        <v>1026</v>
      </c>
      <c r="E841">
        <v>0</v>
      </c>
      <c r="F841">
        <v>0</v>
      </c>
      <c r="G841" t="s">
        <v>2</v>
      </c>
      <c r="H841" cm="1">
        <f t="array" ref="H841">sentimentCalc(B841)</f>
        <v>0</v>
      </c>
      <c r="I841" s="5" t="str" cm="1">
        <f t="array" ref="I841">sentimentCategory(H841)</f>
        <v>Neutral</v>
      </c>
    </row>
    <row r="842" spans="1:9" x14ac:dyDescent="0.2">
      <c r="A842" s="3">
        <v>45807.921492997688</v>
      </c>
      <c r="B842" t="s">
        <v>1027</v>
      </c>
      <c r="C842" t="s">
        <v>7</v>
      </c>
      <c r="E842">
        <v>0</v>
      </c>
      <c r="F842">
        <v>0</v>
      </c>
      <c r="G842" t="s">
        <v>2</v>
      </c>
      <c r="H842" cm="1">
        <f t="array" ref="H842">sentimentCalc(B842)</f>
        <v>0</v>
      </c>
      <c r="I842" s="5" t="str" cm="1">
        <f t="array" ref="I842">sentimentCategory(H842)</f>
        <v>Neutral</v>
      </c>
    </row>
    <row r="843" spans="1:9" x14ac:dyDescent="0.2">
      <c r="A843" s="3">
        <v>45808.921492997688</v>
      </c>
      <c r="B843" t="s">
        <v>94</v>
      </c>
      <c r="C843" t="s">
        <v>22</v>
      </c>
      <c r="E843">
        <v>0</v>
      </c>
      <c r="F843">
        <v>0</v>
      </c>
      <c r="G843" t="s">
        <v>2</v>
      </c>
      <c r="H843" cm="1">
        <f t="array" ref="H843">sentimentCalc(B843)</f>
        <v>0</v>
      </c>
      <c r="I843" s="5" t="str" cm="1">
        <f t="array" ref="I843">sentimentCategory(H843)</f>
        <v>Neutral</v>
      </c>
    </row>
    <row r="844" spans="1:9" x14ac:dyDescent="0.2">
      <c r="A844" s="3">
        <v>45809.921492997688</v>
      </c>
      <c r="B844" t="s">
        <v>1028</v>
      </c>
      <c r="C844" t="s">
        <v>7</v>
      </c>
      <c r="E844">
        <v>0</v>
      </c>
      <c r="F844">
        <v>0</v>
      </c>
      <c r="G844" t="s">
        <v>2</v>
      </c>
      <c r="H844" cm="1">
        <f t="array" ref="H844">sentimentCalc(B844)</f>
        <v>0</v>
      </c>
      <c r="I844" s="5" t="str" cm="1">
        <f t="array" ref="I844">sentimentCategory(H844)</f>
        <v>Neutral</v>
      </c>
    </row>
    <row r="845" spans="1:9" x14ac:dyDescent="0.2">
      <c r="A845" s="3">
        <v>45810.921492997688</v>
      </c>
      <c r="B845" t="s">
        <v>1029</v>
      </c>
      <c r="C845" t="s">
        <v>319</v>
      </c>
      <c r="D845" t="s">
        <v>1030</v>
      </c>
      <c r="E845">
        <v>0</v>
      </c>
      <c r="F845">
        <v>0</v>
      </c>
      <c r="G845" t="s">
        <v>2</v>
      </c>
      <c r="H845" cm="1">
        <f t="array" ref="H845">sentimentCalc(B845)</f>
        <v>0</v>
      </c>
      <c r="I845" s="5" t="str" cm="1">
        <f t="array" ref="I845">sentimentCategory(H845)</f>
        <v>Neutral</v>
      </c>
    </row>
    <row r="846" spans="1:9" x14ac:dyDescent="0.2">
      <c r="A846" s="3">
        <v>45811.921492997688</v>
      </c>
      <c r="B846" t="s">
        <v>1031</v>
      </c>
      <c r="C846" t="s">
        <v>1032</v>
      </c>
      <c r="E846">
        <v>0</v>
      </c>
      <c r="F846">
        <v>0</v>
      </c>
      <c r="G846" t="s">
        <v>2</v>
      </c>
      <c r="H846" cm="1">
        <f t="array" ref="H846">sentimentCalc(B846)</f>
        <v>0</v>
      </c>
      <c r="I846" s="5" t="str" cm="1">
        <f t="array" ref="I846">sentimentCategory(H846)</f>
        <v>Neutral</v>
      </c>
    </row>
    <row r="847" spans="1:9" x14ac:dyDescent="0.2">
      <c r="A847" s="3">
        <v>45812.921492997688</v>
      </c>
      <c r="B847" t="s">
        <v>1033</v>
      </c>
      <c r="C847" t="s">
        <v>57</v>
      </c>
      <c r="D847" t="s">
        <v>69</v>
      </c>
      <c r="E847">
        <v>0</v>
      </c>
      <c r="F847">
        <v>0</v>
      </c>
      <c r="G847" t="s">
        <v>2</v>
      </c>
      <c r="H847" cm="1">
        <f t="array" ref="H847">sentimentCalc(B847)</f>
        <v>0</v>
      </c>
      <c r="I847" s="5" t="str" cm="1">
        <f t="array" ref="I847">sentimentCategory(H847)</f>
        <v>Neutral</v>
      </c>
    </row>
    <row r="848" spans="1:9" x14ac:dyDescent="0.2">
      <c r="A848" s="3">
        <v>45813.921492997688</v>
      </c>
      <c r="B848" t="s">
        <v>1034</v>
      </c>
      <c r="C848" t="s">
        <v>1035</v>
      </c>
      <c r="D848" t="s">
        <v>103</v>
      </c>
      <c r="E848">
        <v>1</v>
      </c>
      <c r="F848">
        <v>4</v>
      </c>
      <c r="G848" t="s">
        <v>2</v>
      </c>
      <c r="H848" cm="1">
        <f t="array" ref="H848">sentimentCalc(B848)</f>
        <v>0</v>
      </c>
      <c r="I848" s="5" t="str" cm="1">
        <f t="array" ref="I848">sentimentCategory(H848)</f>
        <v>Neutral</v>
      </c>
    </row>
    <row r="849" spans="1:9" x14ac:dyDescent="0.2">
      <c r="A849" s="3">
        <v>45814.921492997688</v>
      </c>
      <c r="B849" t="s">
        <v>1036</v>
      </c>
      <c r="C849" t="s">
        <v>178</v>
      </c>
      <c r="D849" t="s">
        <v>1037</v>
      </c>
      <c r="E849">
        <v>0</v>
      </c>
      <c r="F849">
        <v>1</v>
      </c>
      <c r="G849" t="s">
        <v>2</v>
      </c>
      <c r="H849" cm="1">
        <f t="array" ref="H849">sentimentCalc(B849)</f>
        <v>0</v>
      </c>
      <c r="I849" s="5" t="str" cm="1">
        <f t="array" ref="I849">sentimentCategory(H849)</f>
        <v>Neutral</v>
      </c>
    </row>
    <row r="850" spans="1:9" x14ac:dyDescent="0.2">
      <c r="A850" s="3">
        <v>45815.921492997688</v>
      </c>
      <c r="B850" t="s">
        <v>1038</v>
      </c>
      <c r="C850" t="s">
        <v>1039</v>
      </c>
      <c r="D850" t="s">
        <v>1040</v>
      </c>
      <c r="E850">
        <v>0</v>
      </c>
      <c r="F850">
        <v>4</v>
      </c>
      <c r="G850" t="s">
        <v>2</v>
      </c>
      <c r="H850" cm="1">
        <f t="array" ref="H850">sentimentCalc(B850)</f>
        <v>20</v>
      </c>
      <c r="I850" s="5" t="str" cm="1">
        <f t="array" ref="I850">sentimentCategory(H850)</f>
        <v>Positive</v>
      </c>
    </row>
    <row r="851" spans="1:9" x14ac:dyDescent="0.2">
      <c r="A851" s="3">
        <v>45816.921492997688</v>
      </c>
      <c r="B851" t="s">
        <v>1041</v>
      </c>
      <c r="C851" t="s">
        <v>33</v>
      </c>
      <c r="D851" t="s">
        <v>34</v>
      </c>
      <c r="E851">
        <v>0</v>
      </c>
      <c r="F851">
        <v>0</v>
      </c>
      <c r="G851" t="s">
        <v>2</v>
      </c>
      <c r="H851" cm="1">
        <f t="array" ref="H851">sentimentCalc(B851)</f>
        <v>0</v>
      </c>
      <c r="I851" s="5" t="str" cm="1">
        <f t="array" ref="I851">sentimentCategory(H851)</f>
        <v>Neutral</v>
      </c>
    </row>
    <row r="852" spans="1:9" x14ac:dyDescent="0.2">
      <c r="A852" s="3">
        <v>45817.921492997688</v>
      </c>
      <c r="B852" t="s">
        <v>36</v>
      </c>
      <c r="C852" t="s">
        <v>33</v>
      </c>
      <c r="D852" t="s">
        <v>34</v>
      </c>
      <c r="E852">
        <v>0</v>
      </c>
      <c r="F852">
        <v>0</v>
      </c>
      <c r="G852" t="s">
        <v>2</v>
      </c>
      <c r="H852" cm="1">
        <f t="array" ref="H852">sentimentCalc(B852)</f>
        <v>10</v>
      </c>
      <c r="I852" s="5" t="str" cm="1">
        <f t="array" ref="I852">sentimentCategory(H852)</f>
        <v>Positive</v>
      </c>
    </row>
    <row r="853" spans="1:9" x14ac:dyDescent="0.2">
      <c r="A853" s="3"/>
      <c r="H853" cm="1">
        <f t="array" ref="H853">sentimentCalc(B853)</f>
        <v>0</v>
      </c>
      <c r="I853" s="5" t="str" cm="1">
        <f t="array" ref="I853">sentimentCategory(H853)</f>
        <v>Neutral</v>
      </c>
    </row>
    <row r="854" spans="1:9" x14ac:dyDescent="0.2">
      <c r="A854" s="3">
        <v>45819.921492997688</v>
      </c>
      <c r="B854" t="s">
        <v>35</v>
      </c>
      <c r="C854" t="s">
        <v>33</v>
      </c>
      <c r="D854" t="s">
        <v>34</v>
      </c>
      <c r="E854">
        <v>0</v>
      </c>
      <c r="F854">
        <v>0</v>
      </c>
      <c r="G854" t="s">
        <v>2</v>
      </c>
      <c r="H854" cm="1">
        <f t="array" ref="H854">sentimentCalc(B854)</f>
        <v>0</v>
      </c>
      <c r="I854" s="5" t="str" cm="1">
        <f t="array" ref="I854">sentimentCategory(H854)</f>
        <v>Neutral</v>
      </c>
    </row>
    <row r="855" spans="1:9" x14ac:dyDescent="0.2">
      <c r="A855" s="3">
        <v>45820.921492997688</v>
      </c>
      <c r="B855" t="s">
        <v>287</v>
      </c>
      <c r="C855" t="s">
        <v>33</v>
      </c>
      <c r="D855" t="s">
        <v>34</v>
      </c>
      <c r="E855">
        <v>0</v>
      </c>
      <c r="F855">
        <v>0</v>
      </c>
      <c r="G855" t="s">
        <v>2</v>
      </c>
      <c r="H855" cm="1">
        <f t="array" ref="H855">sentimentCalc(B855)</f>
        <v>0</v>
      </c>
      <c r="I855" s="5" t="str" cm="1">
        <f t="array" ref="I855">sentimentCategory(H855)</f>
        <v>Neutral</v>
      </c>
    </row>
    <row r="856" spans="1:9" x14ac:dyDescent="0.2">
      <c r="A856" s="3">
        <v>45821.921492997688</v>
      </c>
      <c r="B856" t="s">
        <v>1042</v>
      </c>
      <c r="C856" t="s">
        <v>1043</v>
      </c>
      <c r="E856">
        <v>0</v>
      </c>
      <c r="F856">
        <v>0</v>
      </c>
      <c r="G856" t="s">
        <v>2</v>
      </c>
      <c r="H856" cm="1">
        <f t="array" ref="H856">sentimentCalc(B856)</f>
        <v>10</v>
      </c>
      <c r="I856" s="5" t="str" cm="1">
        <f t="array" ref="I856">sentimentCategory(H856)</f>
        <v>Positive</v>
      </c>
    </row>
    <row r="857" spans="1:9" x14ac:dyDescent="0.2">
      <c r="A857" s="3">
        <v>45822.921492997688</v>
      </c>
      <c r="B857" t="s">
        <v>1044</v>
      </c>
      <c r="C857" t="s">
        <v>439</v>
      </c>
      <c r="D857" t="s">
        <v>440</v>
      </c>
      <c r="E857">
        <v>0</v>
      </c>
      <c r="F857">
        <v>0</v>
      </c>
      <c r="G857" t="s">
        <v>2</v>
      </c>
      <c r="H857" cm="1">
        <f t="array" ref="H857">sentimentCalc(B857)</f>
        <v>10</v>
      </c>
      <c r="I857" s="5" t="str" cm="1">
        <f t="array" ref="I857">sentimentCategory(H857)</f>
        <v>Positive</v>
      </c>
    </row>
    <row r="858" spans="1:9" x14ac:dyDescent="0.2">
      <c r="A858" s="3">
        <v>45823.921492997688</v>
      </c>
      <c r="B858" t="s">
        <v>1045</v>
      </c>
      <c r="C858" t="s">
        <v>7</v>
      </c>
      <c r="E858">
        <v>0</v>
      </c>
      <c r="F858">
        <v>0</v>
      </c>
      <c r="G858" t="s">
        <v>2</v>
      </c>
      <c r="H858" cm="1">
        <f t="array" ref="H858">sentimentCalc(B858)</f>
        <v>0</v>
      </c>
      <c r="I858" s="5" t="str" cm="1">
        <f t="array" ref="I858">sentimentCategory(H858)</f>
        <v>Neutral</v>
      </c>
    </row>
    <row r="859" spans="1:9" x14ac:dyDescent="0.2">
      <c r="A859" s="3">
        <v>45824.921492997688</v>
      </c>
      <c r="B859" t="s">
        <v>1046</v>
      </c>
      <c r="C859" t="s">
        <v>643</v>
      </c>
      <c r="E859">
        <v>0</v>
      </c>
      <c r="F859">
        <v>0</v>
      </c>
      <c r="G859" t="s">
        <v>2</v>
      </c>
      <c r="H859" cm="1">
        <f t="array" ref="H859">sentimentCalc(B859)</f>
        <v>0</v>
      </c>
      <c r="I859" s="5" t="str" cm="1">
        <f t="array" ref="I859">sentimentCategory(H859)</f>
        <v>Neutral</v>
      </c>
    </row>
    <row r="860" spans="1:9" x14ac:dyDescent="0.2">
      <c r="A860" s="3">
        <v>45825.921492997688</v>
      </c>
      <c r="B860" t="s">
        <v>1047</v>
      </c>
      <c r="C860" t="s">
        <v>1048</v>
      </c>
      <c r="E860">
        <v>0</v>
      </c>
      <c r="F860">
        <v>0</v>
      </c>
      <c r="G860" t="s">
        <v>2</v>
      </c>
      <c r="H860" cm="1">
        <f t="array" ref="H860">sentimentCalc(B860)</f>
        <v>0</v>
      </c>
      <c r="I860" s="5" t="str" cm="1">
        <f t="array" ref="I860">sentimentCategory(H860)</f>
        <v>Neutral</v>
      </c>
    </row>
    <row r="861" spans="1:9" x14ac:dyDescent="0.2">
      <c r="A861" s="3">
        <v>45826.921492997688</v>
      </c>
      <c r="B861" t="s">
        <v>1049</v>
      </c>
      <c r="C861" t="s">
        <v>1050</v>
      </c>
      <c r="E861">
        <v>0</v>
      </c>
      <c r="F861">
        <v>0</v>
      </c>
      <c r="G861" t="s">
        <v>2</v>
      </c>
      <c r="H861" cm="1">
        <f t="array" ref="H861">sentimentCalc(B861)</f>
        <v>0</v>
      </c>
      <c r="I861" s="5" t="str" cm="1">
        <f t="array" ref="I861">sentimentCategory(H861)</f>
        <v>Neutral</v>
      </c>
    </row>
    <row r="862" spans="1:9" x14ac:dyDescent="0.2">
      <c r="A862" s="3">
        <v>45827.921492997688</v>
      </c>
      <c r="B862" t="s">
        <v>1051</v>
      </c>
      <c r="C862" t="s">
        <v>611</v>
      </c>
      <c r="D862" t="s">
        <v>491</v>
      </c>
      <c r="E862">
        <v>0</v>
      </c>
      <c r="F862">
        <v>6</v>
      </c>
      <c r="G862" t="s">
        <v>2</v>
      </c>
      <c r="H862" cm="1">
        <f t="array" ref="H862">sentimentCalc(B862)</f>
        <v>0</v>
      </c>
      <c r="I862" s="5" t="str" cm="1">
        <f t="array" ref="I862">sentimentCategory(H862)</f>
        <v>Neutral</v>
      </c>
    </row>
    <row r="863" spans="1:9" x14ac:dyDescent="0.2">
      <c r="A863" s="3">
        <v>45828.921492997688</v>
      </c>
      <c r="B863" t="s">
        <v>1052</v>
      </c>
      <c r="C863" t="s">
        <v>7</v>
      </c>
      <c r="E863">
        <v>0</v>
      </c>
      <c r="F863">
        <v>0</v>
      </c>
      <c r="G863" t="s">
        <v>2</v>
      </c>
      <c r="H863" cm="1">
        <f t="array" ref="H863">sentimentCalc(B863)</f>
        <v>0</v>
      </c>
      <c r="I863" s="5" t="str" cm="1">
        <f t="array" ref="I863">sentimentCategory(H863)</f>
        <v>Neutral</v>
      </c>
    </row>
    <row r="864" spans="1:9" x14ac:dyDescent="0.2">
      <c r="A864" s="3">
        <v>45829.921492997688</v>
      </c>
      <c r="B864" t="s">
        <v>1053</v>
      </c>
      <c r="C864" t="s">
        <v>7</v>
      </c>
      <c r="E864">
        <v>0</v>
      </c>
      <c r="F864">
        <v>0</v>
      </c>
      <c r="G864" t="s">
        <v>2</v>
      </c>
      <c r="H864" cm="1">
        <f t="array" ref="H864">sentimentCalc(B864)</f>
        <v>0</v>
      </c>
      <c r="I864" s="5" t="str" cm="1">
        <f t="array" ref="I864">sentimentCategory(H864)</f>
        <v>Neutral</v>
      </c>
    </row>
    <row r="865" spans="1:9" x14ac:dyDescent="0.2">
      <c r="A865" s="3">
        <v>45830.921492997688</v>
      </c>
      <c r="B865" t="s">
        <v>576</v>
      </c>
      <c r="C865" t="s">
        <v>490</v>
      </c>
      <c r="D865" t="s">
        <v>491</v>
      </c>
      <c r="E865">
        <v>0</v>
      </c>
      <c r="F865">
        <v>1</v>
      </c>
      <c r="G865" t="s">
        <v>2</v>
      </c>
      <c r="H865" cm="1">
        <f t="array" ref="H865">sentimentCalc(B865)</f>
        <v>10</v>
      </c>
      <c r="I865" s="5" t="str" cm="1">
        <f t="array" ref="I865">sentimentCategory(H865)</f>
        <v>Positive</v>
      </c>
    </row>
    <row r="866" spans="1:9" x14ac:dyDescent="0.2">
      <c r="A866" s="3">
        <v>45831.921492997688</v>
      </c>
      <c r="B866" t="s">
        <v>1054</v>
      </c>
      <c r="C866" t="s">
        <v>557</v>
      </c>
      <c r="D866" t="s">
        <v>558</v>
      </c>
      <c r="E866">
        <v>0</v>
      </c>
      <c r="F866">
        <v>0</v>
      </c>
      <c r="G866" t="s">
        <v>2</v>
      </c>
      <c r="H866" cm="1">
        <f t="array" ref="H866">sentimentCalc(B866)</f>
        <v>10</v>
      </c>
      <c r="I866" s="5" t="str" cm="1">
        <f t="array" ref="I866">sentimentCategory(H866)</f>
        <v>Positive</v>
      </c>
    </row>
    <row r="867" spans="1:9" x14ac:dyDescent="0.2">
      <c r="A867" s="3"/>
      <c r="H867" cm="1">
        <f t="array" ref="H867">sentimentCalc(B867)</f>
        <v>0</v>
      </c>
      <c r="I867" s="5" t="str" cm="1">
        <f t="array" ref="I867">sentimentCategory(H867)</f>
        <v>Neutral</v>
      </c>
    </row>
    <row r="868" spans="1:9" x14ac:dyDescent="0.2">
      <c r="A868" s="3">
        <v>45833.921492997688</v>
      </c>
      <c r="B868" t="s">
        <v>1056</v>
      </c>
      <c r="C868" t="s">
        <v>7</v>
      </c>
      <c r="E868">
        <v>0</v>
      </c>
      <c r="F868">
        <v>0</v>
      </c>
      <c r="G868" t="s">
        <v>2</v>
      </c>
      <c r="H868" cm="1">
        <f t="array" ref="H868">sentimentCalc(B868)</f>
        <v>0</v>
      </c>
      <c r="I868" s="5" t="str" cm="1">
        <f t="array" ref="I868">sentimentCategory(H868)</f>
        <v>Neutral</v>
      </c>
    </row>
    <row r="869" spans="1:9" x14ac:dyDescent="0.2">
      <c r="A869" s="3">
        <v>45834.921492997688</v>
      </c>
      <c r="B869" t="s">
        <v>1057</v>
      </c>
      <c r="C869" t="s">
        <v>879</v>
      </c>
      <c r="D869" t="s">
        <v>1058</v>
      </c>
      <c r="E869">
        <v>0</v>
      </c>
      <c r="F869">
        <v>0</v>
      </c>
      <c r="G869" t="s">
        <v>2</v>
      </c>
      <c r="H869" cm="1">
        <f t="array" ref="H869">sentimentCalc(B869)</f>
        <v>0</v>
      </c>
      <c r="I869" s="5" t="str" cm="1">
        <f t="array" ref="I869">sentimentCategory(H869)</f>
        <v>Neutral</v>
      </c>
    </row>
    <row r="870" spans="1:9" x14ac:dyDescent="0.2">
      <c r="A870" s="3">
        <v>45835.921492997688</v>
      </c>
      <c r="B870" t="s">
        <v>229</v>
      </c>
      <c r="C870" t="s">
        <v>33</v>
      </c>
      <c r="D870" t="s">
        <v>34</v>
      </c>
      <c r="E870">
        <v>0</v>
      </c>
      <c r="F870">
        <v>0</v>
      </c>
      <c r="G870" t="s">
        <v>2</v>
      </c>
      <c r="H870" cm="1">
        <f t="array" ref="H870">sentimentCalc(B870)</f>
        <v>0</v>
      </c>
      <c r="I870" s="5" t="str" cm="1">
        <f t="array" ref="I870">sentimentCategory(H870)</f>
        <v>Neutral</v>
      </c>
    </row>
    <row r="871" spans="1:9" x14ac:dyDescent="0.2">
      <c r="A871" s="3">
        <v>45836.921492997688</v>
      </c>
      <c r="B871" t="s">
        <v>231</v>
      </c>
      <c r="C871" t="s">
        <v>33</v>
      </c>
      <c r="D871" t="s">
        <v>34</v>
      </c>
      <c r="E871">
        <v>0</v>
      </c>
      <c r="F871">
        <v>0</v>
      </c>
      <c r="G871" t="s">
        <v>2</v>
      </c>
      <c r="H871" cm="1">
        <f t="array" ref="H871">sentimentCalc(B871)</f>
        <v>0</v>
      </c>
      <c r="I871" s="5" t="str" cm="1">
        <f t="array" ref="I871">sentimentCategory(H871)</f>
        <v>Neutral</v>
      </c>
    </row>
    <row r="872" spans="1:9" x14ac:dyDescent="0.2">
      <c r="A872" s="3">
        <v>45837.921492997688</v>
      </c>
      <c r="B872" t="s">
        <v>224</v>
      </c>
      <c r="C872" t="s">
        <v>33</v>
      </c>
      <c r="D872" t="s">
        <v>34</v>
      </c>
      <c r="E872">
        <v>0</v>
      </c>
      <c r="F872">
        <v>0</v>
      </c>
      <c r="G872" t="s">
        <v>2</v>
      </c>
      <c r="H872" cm="1">
        <f t="array" ref="H872">sentimentCalc(B872)</f>
        <v>10</v>
      </c>
      <c r="I872" s="5" t="str" cm="1">
        <f t="array" ref="I872">sentimentCategory(H872)</f>
        <v>Positive</v>
      </c>
    </row>
    <row r="873" spans="1:9" x14ac:dyDescent="0.2">
      <c r="A873" s="3">
        <v>45838.921492997688</v>
      </c>
      <c r="B873" t="s">
        <v>225</v>
      </c>
      <c r="C873" t="s">
        <v>33</v>
      </c>
      <c r="D873" t="s">
        <v>34</v>
      </c>
      <c r="E873">
        <v>0</v>
      </c>
      <c r="F873">
        <v>0</v>
      </c>
      <c r="G873" t="s">
        <v>2</v>
      </c>
      <c r="H873" cm="1">
        <f t="array" ref="H873">sentimentCalc(B873)</f>
        <v>0</v>
      </c>
      <c r="I873" s="5" t="str" cm="1">
        <f t="array" ref="I873">sentimentCategory(H873)</f>
        <v>Neutral</v>
      </c>
    </row>
    <row r="874" spans="1:9" x14ac:dyDescent="0.2">
      <c r="A874" s="3">
        <v>45839.921492997688</v>
      </c>
      <c r="B874" t="s">
        <v>228</v>
      </c>
      <c r="C874" t="s">
        <v>33</v>
      </c>
      <c r="D874" t="s">
        <v>34</v>
      </c>
      <c r="E874">
        <v>0</v>
      </c>
      <c r="F874">
        <v>0</v>
      </c>
      <c r="G874" t="s">
        <v>2</v>
      </c>
      <c r="H874" cm="1">
        <f t="array" ref="H874">sentimentCalc(B874)</f>
        <v>0</v>
      </c>
      <c r="I874" s="5" t="str" cm="1">
        <f t="array" ref="I874">sentimentCategory(H874)</f>
        <v>Neutral</v>
      </c>
    </row>
    <row r="875" spans="1:9" x14ac:dyDescent="0.2">
      <c r="A875" s="3">
        <v>45840.921492997688</v>
      </c>
      <c r="B875" t="s">
        <v>227</v>
      </c>
      <c r="C875" t="s">
        <v>33</v>
      </c>
      <c r="D875" t="s">
        <v>34</v>
      </c>
      <c r="E875">
        <v>0</v>
      </c>
      <c r="F875">
        <v>0</v>
      </c>
      <c r="G875" t="s">
        <v>2</v>
      </c>
      <c r="H875" cm="1">
        <f t="array" ref="H875">sentimentCalc(B875)</f>
        <v>0</v>
      </c>
      <c r="I875" s="5" t="str" cm="1">
        <f t="array" ref="I875">sentimentCategory(H875)</f>
        <v>Neutral</v>
      </c>
    </row>
    <row r="876" spans="1:9" x14ac:dyDescent="0.2">
      <c r="A876" s="3">
        <v>45841.921492997688</v>
      </c>
      <c r="B876" t="s">
        <v>226</v>
      </c>
      <c r="C876" t="s">
        <v>33</v>
      </c>
      <c r="D876" t="s">
        <v>34</v>
      </c>
      <c r="E876">
        <v>0</v>
      </c>
      <c r="F876">
        <v>0</v>
      </c>
      <c r="G876" t="s">
        <v>2</v>
      </c>
      <c r="H876" cm="1">
        <f t="array" ref="H876">sentimentCalc(B876)</f>
        <v>0</v>
      </c>
      <c r="I876" s="5" t="str" cm="1">
        <f t="array" ref="I876">sentimentCategory(H876)</f>
        <v>Neutral</v>
      </c>
    </row>
    <row r="877" spans="1:9" x14ac:dyDescent="0.2">
      <c r="A877" s="3">
        <v>45842.921492997688</v>
      </c>
      <c r="B877" t="s">
        <v>230</v>
      </c>
      <c r="C877" t="s">
        <v>33</v>
      </c>
      <c r="D877" t="s">
        <v>34</v>
      </c>
      <c r="E877">
        <v>0</v>
      </c>
      <c r="F877">
        <v>0</v>
      </c>
      <c r="G877" t="s">
        <v>2</v>
      </c>
      <c r="H877" cm="1">
        <f t="array" ref="H877">sentimentCalc(B877)</f>
        <v>0</v>
      </c>
      <c r="I877" s="5" t="str" cm="1">
        <f t="array" ref="I877">sentimentCategory(H877)</f>
        <v>Neutral</v>
      </c>
    </row>
    <row r="878" spans="1:9" x14ac:dyDescent="0.2">
      <c r="A878" s="3"/>
      <c r="H878" cm="1">
        <f t="array" ref="H878">sentimentCalc(B878)</f>
        <v>0</v>
      </c>
      <c r="I878" s="5" t="str" cm="1">
        <f t="array" ref="I878">sentimentCategory(H878)</f>
        <v>Neutral</v>
      </c>
    </row>
    <row r="879" spans="1:9" x14ac:dyDescent="0.2">
      <c r="A879" s="3">
        <v>45844.921492997688</v>
      </c>
      <c r="B879" t="s">
        <v>1059</v>
      </c>
      <c r="C879" t="s">
        <v>1060</v>
      </c>
      <c r="E879">
        <v>0</v>
      </c>
      <c r="F879">
        <v>0</v>
      </c>
      <c r="G879" t="s">
        <v>2</v>
      </c>
      <c r="H879" cm="1">
        <f t="array" ref="H879">sentimentCalc(B879)</f>
        <v>0</v>
      </c>
      <c r="I879" s="5" t="str" cm="1">
        <f t="array" ref="I879">sentimentCategory(H879)</f>
        <v>Neutral</v>
      </c>
    </row>
    <row r="880" spans="1:9" x14ac:dyDescent="0.2">
      <c r="A880" s="3">
        <v>45845.921492997688</v>
      </c>
      <c r="B880" t="s">
        <v>1061</v>
      </c>
      <c r="C880" t="s">
        <v>7</v>
      </c>
      <c r="E880">
        <v>0</v>
      </c>
      <c r="F880">
        <v>0</v>
      </c>
      <c r="G880" t="s">
        <v>2</v>
      </c>
      <c r="H880" cm="1">
        <f t="array" ref="H880">sentimentCalc(B880)</f>
        <v>0</v>
      </c>
      <c r="I880" s="5" t="str" cm="1">
        <f t="array" ref="I880">sentimentCategory(H880)</f>
        <v>Neutral</v>
      </c>
    </row>
    <row r="881" spans="1:9" x14ac:dyDescent="0.2">
      <c r="A881" s="3"/>
      <c r="H881" cm="1">
        <f t="array" ref="H881">sentimentCalc(B881)</f>
        <v>0</v>
      </c>
      <c r="I881" s="5" t="str" cm="1">
        <f t="array" ref="I881">sentimentCategory(H881)</f>
        <v>Neutral</v>
      </c>
    </row>
    <row r="882" spans="1:9" x14ac:dyDescent="0.2">
      <c r="A882" s="3">
        <v>45847.921492997688</v>
      </c>
      <c r="B882" t="s">
        <v>1062</v>
      </c>
      <c r="C882" t="s">
        <v>1063</v>
      </c>
      <c r="D882" t="s">
        <v>210</v>
      </c>
      <c r="E882">
        <v>0</v>
      </c>
      <c r="F882">
        <v>1</v>
      </c>
      <c r="G882" t="s">
        <v>2</v>
      </c>
      <c r="H882" cm="1">
        <f t="array" ref="H882">sentimentCalc(B882)</f>
        <v>0</v>
      </c>
      <c r="I882" s="5" t="str" cm="1">
        <f t="array" ref="I882">sentimentCategory(H882)</f>
        <v>Neutral</v>
      </c>
    </row>
    <row r="883" spans="1:9" x14ac:dyDescent="0.2">
      <c r="A883" s="3">
        <v>45848.921492997688</v>
      </c>
      <c r="B883" t="s">
        <v>1064</v>
      </c>
      <c r="C883" t="s">
        <v>221</v>
      </c>
      <c r="D883" t="s">
        <v>55</v>
      </c>
      <c r="E883">
        <v>0</v>
      </c>
      <c r="F883">
        <v>1</v>
      </c>
      <c r="G883" t="s">
        <v>2</v>
      </c>
      <c r="H883" cm="1">
        <f t="array" ref="H883">sentimentCalc(B883)</f>
        <v>10</v>
      </c>
      <c r="I883" s="5" t="str" cm="1">
        <f t="array" ref="I883">sentimentCategory(H883)</f>
        <v>Positive</v>
      </c>
    </row>
    <row r="884" spans="1:9" x14ac:dyDescent="0.2">
      <c r="A884" s="3">
        <v>45849.921492997688</v>
      </c>
      <c r="B884" t="s">
        <v>1065</v>
      </c>
      <c r="C884" t="s">
        <v>7</v>
      </c>
      <c r="E884">
        <v>0</v>
      </c>
      <c r="F884">
        <v>0</v>
      </c>
      <c r="G884" t="s">
        <v>2</v>
      </c>
      <c r="H884" cm="1">
        <f t="array" ref="H884">sentimentCalc(B884)</f>
        <v>0</v>
      </c>
      <c r="I884" s="5" t="str" cm="1">
        <f t="array" ref="I884">sentimentCategory(H884)</f>
        <v>Neutral</v>
      </c>
    </row>
    <row r="885" spans="1:9" x14ac:dyDescent="0.2">
      <c r="A885" s="3">
        <v>45850.921492997688</v>
      </c>
      <c r="B885" t="s">
        <v>138</v>
      </c>
      <c r="C885" t="s">
        <v>22</v>
      </c>
      <c r="E885">
        <v>0</v>
      </c>
      <c r="F885">
        <v>0</v>
      </c>
      <c r="G885" t="s">
        <v>2</v>
      </c>
      <c r="H885" cm="1">
        <f t="array" ref="H885">sentimentCalc(B885)</f>
        <v>0</v>
      </c>
      <c r="I885" s="5" t="str" cm="1">
        <f t="array" ref="I885">sentimentCategory(H885)</f>
        <v>Neutral</v>
      </c>
    </row>
    <row r="886" spans="1:9" x14ac:dyDescent="0.2">
      <c r="A886" s="3">
        <v>45851.921492997688</v>
      </c>
      <c r="B886" t="s">
        <v>144</v>
      </c>
      <c r="C886" t="s">
        <v>22</v>
      </c>
      <c r="E886">
        <v>0</v>
      </c>
      <c r="F886">
        <v>0</v>
      </c>
      <c r="G886" t="s">
        <v>2</v>
      </c>
      <c r="H886" cm="1">
        <f t="array" ref="H886">sentimentCalc(B886)</f>
        <v>0</v>
      </c>
      <c r="I886" s="5" t="str" cm="1">
        <f t="array" ref="I886">sentimentCategory(H886)</f>
        <v>Neutral</v>
      </c>
    </row>
    <row r="887" spans="1:9" x14ac:dyDescent="0.2">
      <c r="A887" s="3">
        <v>45852.921492997688</v>
      </c>
      <c r="B887" t="s">
        <v>3</v>
      </c>
      <c r="C887" t="s">
        <v>4</v>
      </c>
      <c r="D887" t="s">
        <v>5</v>
      </c>
      <c r="E887">
        <v>0</v>
      </c>
      <c r="F887">
        <v>0</v>
      </c>
      <c r="G887" t="s">
        <v>2</v>
      </c>
      <c r="H887" cm="1">
        <f t="array" ref="H887">sentimentCalc(B887)</f>
        <v>0</v>
      </c>
      <c r="I887" s="5" t="str" cm="1">
        <f t="array" ref="I887">sentimentCategory(H887)</f>
        <v>Neutral</v>
      </c>
    </row>
    <row r="888" spans="1:9" x14ac:dyDescent="0.2">
      <c r="A888" s="3">
        <v>45853.921492997688</v>
      </c>
      <c r="B888" t="s">
        <v>152</v>
      </c>
      <c r="C888" t="s">
        <v>22</v>
      </c>
      <c r="E888">
        <v>0</v>
      </c>
      <c r="F888">
        <v>0</v>
      </c>
      <c r="G888" t="s">
        <v>2</v>
      </c>
      <c r="H888" cm="1">
        <f t="array" ref="H888">sentimentCalc(B888)</f>
        <v>0</v>
      </c>
      <c r="I888" s="5" t="str" cm="1">
        <f t="array" ref="I888">sentimentCategory(H888)</f>
        <v>Neutral</v>
      </c>
    </row>
    <row r="889" spans="1:9" x14ac:dyDescent="0.2">
      <c r="A889" s="3">
        <v>45854.921492997688</v>
      </c>
      <c r="B889" t="s">
        <v>151</v>
      </c>
      <c r="C889" t="s">
        <v>22</v>
      </c>
      <c r="E889">
        <v>0</v>
      </c>
      <c r="F889">
        <v>0</v>
      </c>
      <c r="G889" t="s">
        <v>2</v>
      </c>
      <c r="H889" cm="1">
        <f t="array" ref="H889">sentimentCalc(B889)</f>
        <v>0</v>
      </c>
      <c r="I889" s="5" t="str" cm="1">
        <f t="array" ref="I889">sentimentCategory(H889)</f>
        <v>Neutral</v>
      </c>
    </row>
    <row r="890" spans="1:9" x14ac:dyDescent="0.2">
      <c r="A890" s="3">
        <v>45855.921492997688</v>
      </c>
      <c r="B890" t="s">
        <v>576</v>
      </c>
      <c r="C890" t="s">
        <v>507</v>
      </c>
      <c r="D890" t="s">
        <v>508</v>
      </c>
      <c r="E890">
        <v>0</v>
      </c>
      <c r="F890">
        <v>0</v>
      </c>
      <c r="G890" t="s">
        <v>2</v>
      </c>
      <c r="H890" cm="1">
        <f t="array" ref="H890">sentimentCalc(B890)</f>
        <v>10</v>
      </c>
      <c r="I890" s="5" t="str" cm="1">
        <f t="array" ref="I890">sentimentCategory(H890)</f>
        <v>Positive</v>
      </c>
    </row>
    <row r="891" spans="1:9" x14ac:dyDescent="0.2">
      <c r="A891" s="3"/>
      <c r="H891" cm="1">
        <f t="array" ref="H891">sentimentCalc(B891)</f>
        <v>0</v>
      </c>
      <c r="I891" s="5" t="str" cm="1">
        <f t="array" ref="I891">sentimentCategory(H891)</f>
        <v>Neutral</v>
      </c>
    </row>
    <row r="892" spans="1:9" x14ac:dyDescent="0.2">
      <c r="A892" s="3">
        <v>45857.921492997688</v>
      </c>
      <c r="B892" t="s">
        <v>154</v>
      </c>
      <c r="C892" t="s">
        <v>22</v>
      </c>
      <c r="E892">
        <v>0</v>
      </c>
      <c r="F892">
        <v>0</v>
      </c>
      <c r="G892" t="s">
        <v>2</v>
      </c>
      <c r="H892" cm="1">
        <f t="array" ref="H892">sentimentCalc(B892)</f>
        <v>0</v>
      </c>
      <c r="I892" s="5" t="str" cm="1">
        <f t="array" ref="I892">sentimentCategory(H892)</f>
        <v>Neutral</v>
      </c>
    </row>
    <row r="893" spans="1:9" x14ac:dyDescent="0.2">
      <c r="A893" s="3">
        <v>45858.921492997688</v>
      </c>
      <c r="B893" t="s">
        <v>46</v>
      </c>
      <c r="C893" t="s">
        <v>22</v>
      </c>
      <c r="E893">
        <v>0</v>
      </c>
      <c r="F893">
        <v>0</v>
      </c>
      <c r="G893" t="s">
        <v>2</v>
      </c>
      <c r="H893" cm="1">
        <f t="array" ref="H893">sentimentCalc(B893)</f>
        <v>0</v>
      </c>
      <c r="I893" s="5" t="str" cm="1">
        <f t="array" ref="I893">sentimentCategory(H893)</f>
        <v>Neutral</v>
      </c>
    </row>
    <row r="894" spans="1:9" x14ac:dyDescent="0.2">
      <c r="A894" s="3">
        <v>45859.921492997688</v>
      </c>
      <c r="B894" t="s">
        <v>1066</v>
      </c>
      <c r="C894" t="s">
        <v>171</v>
      </c>
      <c r="E894">
        <v>0</v>
      </c>
      <c r="F894">
        <v>0</v>
      </c>
      <c r="G894" t="s">
        <v>2</v>
      </c>
      <c r="H894" cm="1">
        <f t="array" ref="H894">sentimentCalc(B894)</f>
        <v>10</v>
      </c>
      <c r="I894" s="5" t="str" cm="1">
        <f t="array" ref="I894">sentimentCategory(H894)</f>
        <v>Positive</v>
      </c>
    </row>
    <row r="895" spans="1:9" x14ac:dyDescent="0.2">
      <c r="A895" s="3">
        <v>45860.921492997688</v>
      </c>
      <c r="B895" t="s">
        <v>1067</v>
      </c>
      <c r="C895" t="s">
        <v>143</v>
      </c>
      <c r="D895" t="s">
        <v>129</v>
      </c>
      <c r="E895">
        <v>0</v>
      </c>
      <c r="F895">
        <v>0</v>
      </c>
      <c r="G895" t="s">
        <v>2</v>
      </c>
      <c r="H895" cm="1">
        <f t="array" ref="H895">sentimentCalc(B895)</f>
        <v>0</v>
      </c>
      <c r="I895" s="5" t="str" cm="1">
        <f t="array" ref="I895">sentimentCategory(H895)</f>
        <v>Neutral</v>
      </c>
    </row>
    <row r="896" spans="1:9" x14ac:dyDescent="0.2">
      <c r="A896" s="3">
        <v>45861.921492997688</v>
      </c>
      <c r="B896" t="s">
        <v>1068</v>
      </c>
      <c r="C896" t="s">
        <v>1069</v>
      </c>
      <c r="D896" t="s">
        <v>1070</v>
      </c>
      <c r="E896">
        <v>1</v>
      </c>
      <c r="F896">
        <v>0</v>
      </c>
      <c r="G896" t="s">
        <v>2</v>
      </c>
      <c r="H896" cm="1">
        <f t="array" ref="H896">sentimentCalc(B896)</f>
        <v>0</v>
      </c>
      <c r="I896" s="5" t="str" cm="1">
        <f t="array" ref="I896">sentimentCategory(H896)</f>
        <v>Neutral</v>
      </c>
    </row>
    <row r="897" spans="1:9" x14ac:dyDescent="0.2">
      <c r="A897" s="3">
        <v>45862.921492997688</v>
      </c>
      <c r="B897" t="s">
        <v>159</v>
      </c>
      <c r="C897" t="s">
        <v>22</v>
      </c>
      <c r="E897">
        <v>0</v>
      </c>
      <c r="F897">
        <v>0</v>
      </c>
      <c r="G897" t="s">
        <v>2</v>
      </c>
      <c r="H897" cm="1">
        <f t="array" ref="H897">sentimentCalc(B897)</f>
        <v>0</v>
      </c>
      <c r="I897" s="5" t="str" cm="1">
        <f t="array" ref="I897">sentimentCategory(H897)</f>
        <v>Neutral</v>
      </c>
    </row>
    <row r="898" spans="1:9" x14ac:dyDescent="0.2">
      <c r="A898" s="3">
        <v>45863.921492997688</v>
      </c>
      <c r="B898" t="s">
        <v>1071</v>
      </c>
      <c r="C898" t="s">
        <v>1072</v>
      </c>
      <c r="E898">
        <v>0</v>
      </c>
      <c r="F898">
        <v>0</v>
      </c>
      <c r="G898" t="s">
        <v>2</v>
      </c>
      <c r="H898" cm="1">
        <f t="array" ref="H898">sentimentCalc(B898)</f>
        <v>0</v>
      </c>
      <c r="I898" s="5" t="str" cm="1">
        <f t="array" ref="I898">sentimentCategory(H898)</f>
        <v>Neutral</v>
      </c>
    </row>
    <row r="899" spans="1:9" x14ac:dyDescent="0.2">
      <c r="A899" s="3">
        <v>45864.921492997688</v>
      </c>
      <c r="B899" t="s">
        <v>1073</v>
      </c>
      <c r="C899" t="s">
        <v>1074</v>
      </c>
      <c r="E899">
        <v>0</v>
      </c>
      <c r="F899">
        <v>1</v>
      </c>
      <c r="G899" t="s">
        <v>2</v>
      </c>
      <c r="H899" cm="1">
        <f t="array" ref="H899">sentimentCalc(B899)</f>
        <v>0</v>
      </c>
      <c r="I899" s="5" t="str" cm="1">
        <f t="array" ref="I899">sentimentCategory(H899)</f>
        <v>Neutral</v>
      </c>
    </row>
    <row r="900" spans="1:9" x14ac:dyDescent="0.2">
      <c r="A900" s="3">
        <v>45865.921492997688</v>
      </c>
      <c r="B900" t="s">
        <v>165</v>
      </c>
      <c r="C900" t="s">
        <v>22</v>
      </c>
      <c r="E900">
        <v>0</v>
      </c>
      <c r="F900">
        <v>0</v>
      </c>
      <c r="G900" t="s">
        <v>2</v>
      </c>
      <c r="H900" cm="1">
        <f t="array" ref="H900">sentimentCalc(B900)</f>
        <v>0</v>
      </c>
      <c r="I900" s="5" t="str" cm="1">
        <f t="array" ref="I900">sentimentCategory(H900)</f>
        <v>Neutral</v>
      </c>
    </row>
    <row r="901" spans="1:9" x14ac:dyDescent="0.2">
      <c r="A901" s="3">
        <v>45866.921492997688</v>
      </c>
      <c r="B901" t="s">
        <v>1075</v>
      </c>
      <c r="C901" t="s">
        <v>1076</v>
      </c>
      <c r="E901">
        <v>0</v>
      </c>
      <c r="F901">
        <v>1</v>
      </c>
      <c r="G901" t="s">
        <v>2</v>
      </c>
      <c r="H901" cm="1">
        <f t="array" ref="H901">sentimentCalc(B901)</f>
        <v>0</v>
      </c>
      <c r="I901" s="5" t="str" cm="1">
        <f t="array" ref="I901">sentimentCategory(H901)</f>
        <v>Neutral</v>
      </c>
    </row>
    <row r="902" spans="1:9" x14ac:dyDescent="0.2">
      <c r="A902" s="3">
        <v>45867.921492997688</v>
      </c>
      <c r="B902" t="s">
        <v>1077</v>
      </c>
      <c r="C902" t="s">
        <v>1078</v>
      </c>
      <c r="D902" t="s">
        <v>1079</v>
      </c>
      <c r="E902">
        <v>0</v>
      </c>
      <c r="F902">
        <v>0</v>
      </c>
      <c r="G902" t="s">
        <v>2</v>
      </c>
      <c r="H902" cm="1">
        <f t="array" ref="H902">sentimentCalc(B902)</f>
        <v>0</v>
      </c>
      <c r="I902" s="5" t="str" cm="1">
        <f t="array" ref="I902">sentimentCategory(H902)</f>
        <v>Neutral</v>
      </c>
    </row>
    <row r="903" spans="1:9" x14ac:dyDescent="0.2">
      <c r="A903" s="3">
        <v>45868.921492997688</v>
      </c>
      <c r="B903" t="s">
        <v>1080</v>
      </c>
      <c r="C903" t="s">
        <v>7</v>
      </c>
      <c r="E903">
        <v>0</v>
      </c>
      <c r="F903">
        <v>0</v>
      </c>
      <c r="G903" t="s">
        <v>2</v>
      </c>
      <c r="H903" cm="1">
        <f t="array" ref="H903">sentimentCalc(B903)</f>
        <v>0</v>
      </c>
      <c r="I903" s="5" t="str" cm="1">
        <f t="array" ref="I903">sentimentCategory(H903)</f>
        <v>Neutral</v>
      </c>
    </row>
    <row r="904" spans="1:9" x14ac:dyDescent="0.2">
      <c r="A904" s="3">
        <v>45869.921492997688</v>
      </c>
      <c r="B904" t="s">
        <v>1081</v>
      </c>
      <c r="C904" t="s">
        <v>134</v>
      </c>
      <c r="E904">
        <v>0</v>
      </c>
      <c r="F904">
        <v>0</v>
      </c>
      <c r="G904" t="s">
        <v>2</v>
      </c>
      <c r="H904" cm="1">
        <f t="array" ref="H904">sentimentCalc(B904)</f>
        <v>0</v>
      </c>
      <c r="I904" s="5" t="str" cm="1">
        <f t="array" ref="I904">sentimentCategory(H904)</f>
        <v>Neutral</v>
      </c>
    </row>
    <row r="905" spans="1:9" x14ac:dyDescent="0.2">
      <c r="A905" s="3">
        <v>45870.921492997688</v>
      </c>
      <c r="B905" t="s">
        <v>1082</v>
      </c>
      <c r="C905" t="s">
        <v>956</v>
      </c>
      <c r="D905" t="s">
        <v>1083</v>
      </c>
      <c r="E905">
        <v>0</v>
      </c>
      <c r="F905">
        <v>4</v>
      </c>
      <c r="G905" t="s">
        <v>2</v>
      </c>
      <c r="H905" cm="1">
        <f t="array" ref="H905">sentimentCalc(B905)</f>
        <v>0</v>
      </c>
      <c r="I905" s="5" t="str" cm="1">
        <f t="array" ref="I905">sentimentCategory(H905)</f>
        <v>Neutral</v>
      </c>
    </row>
    <row r="906" spans="1:9" x14ac:dyDescent="0.2">
      <c r="A906" s="3">
        <v>45871.921492997688</v>
      </c>
      <c r="B906" t="s">
        <v>1084</v>
      </c>
      <c r="C906" t="s">
        <v>1085</v>
      </c>
      <c r="D906" t="s">
        <v>1086</v>
      </c>
      <c r="E906">
        <v>0</v>
      </c>
      <c r="F906">
        <v>1</v>
      </c>
      <c r="G906" t="s">
        <v>2</v>
      </c>
      <c r="H906" cm="1">
        <f t="array" ref="H906">sentimentCalc(B906)</f>
        <v>0</v>
      </c>
      <c r="I906" s="5" t="str" cm="1">
        <f t="array" ref="I906">sentimentCategory(H906)</f>
        <v>Neutral</v>
      </c>
    </row>
    <row r="907" spans="1:9" x14ac:dyDescent="0.2">
      <c r="A907" s="3">
        <v>45872.921492997688</v>
      </c>
      <c r="B907" t="s">
        <v>1087</v>
      </c>
      <c r="C907" t="s">
        <v>7</v>
      </c>
      <c r="E907">
        <v>0</v>
      </c>
      <c r="F907">
        <v>0</v>
      </c>
      <c r="G907" t="s">
        <v>2</v>
      </c>
      <c r="H907" cm="1">
        <f t="array" ref="H907">sentimentCalc(B907)</f>
        <v>0</v>
      </c>
      <c r="I907" s="5" t="str" cm="1">
        <f t="array" ref="I907">sentimentCategory(H907)</f>
        <v>Neutral</v>
      </c>
    </row>
    <row r="908" spans="1:9" x14ac:dyDescent="0.2">
      <c r="A908" s="3">
        <v>45873.921492997688</v>
      </c>
      <c r="B908" t="s">
        <v>1088</v>
      </c>
      <c r="C908" t="s">
        <v>1089</v>
      </c>
      <c r="D908" t="s">
        <v>1090</v>
      </c>
      <c r="E908">
        <v>0</v>
      </c>
      <c r="F908">
        <v>0</v>
      </c>
      <c r="G908" t="s">
        <v>2</v>
      </c>
      <c r="H908" cm="1">
        <f t="array" ref="H908">sentimentCalc(B908)</f>
        <v>0</v>
      </c>
      <c r="I908" s="5" t="str" cm="1">
        <f t="array" ref="I908">sentimentCategory(H908)</f>
        <v>Neutral</v>
      </c>
    </row>
    <row r="909" spans="1:9" x14ac:dyDescent="0.2">
      <c r="A909" s="3">
        <v>45874.921492997688</v>
      </c>
      <c r="B909" t="s">
        <v>1091</v>
      </c>
      <c r="C909" t="s">
        <v>22</v>
      </c>
      <c r="D909" t="s">
        <v>1092</v>
      </c>
      <c r="E909">
        <v>0</v>
      </c>
      <c r="F909">
        <v>0</v>
      </c>
      <c r="G909" t="s">
        <v>2</v>
      </c>
      <c r="H909" cm="1">
        <f t="array" ref="H909">sentimentCalc(B909)</f>
        <v>0</v>
      </c>
      <c r="I909" s="5" t="str" cm="1">
        <f t="array" ref="I909">sentimentCategory(H909)</f>
        <v>Neutral</v>
      </c>
    </row>
    <row r="910" spans="1:9" x14ac:dyDescent="0.2">
      <c r="A910" s="3">
        <v>45875.921492997688</v>
      </c>
      <c r="B910" t="s">
        <v>1093</v>
      </c>
      <c r="C910" t="s">
        <v>7</v>
      </c>
      <c r="E910">
        <v>0</v>
      </c>
      <c r="F910">
        <v>0</v>
      </c>
      <c r="G910" t="s">
        <v>2</v>
      </c>
      <c r="H910" cm="1">
        <f t="array" ref="H910">sentimentCalc(B910)</f>
        <v>0</v>
      </c>
      <c r="I910" s="5" t="str" cm="1">
        <f t="array" ref="I910">sentimentCategory(H910)</f>
        <v>Neutral</v>
      </c>
    </row>
    <row r="911" spans="1:9" x14ac:dyDescent="0.2">
      <c r="A911" s="3">
        <v>45876.921492997688</v>
      </c>
      <c r="B911" t="s">
        <v>1094</v>
      </c>
      <c r="C911" t="s">
        <v>12</v>
      </c>
      <c r="D911" t="s">
        <v>13</v>
      </c>
      <c r="E911">
        <v>0</v>
      </c>
      <c r="F911">
        <v>0</v>
      </c>
      <c r="G911" t="s">
        <v>2</v>
      </c>
      <c r="H911" cm="1">
        <f t="array" ref="H911">sentimentCalc(B911)</f>
        <v>0</v>
      </c>
      <c r="I911" s="5" t="str" cm="1">
        <f t="array" ref="I911">sentimentCategory(H911)</f>
        <v>Neutral</v>
      </c>
    </row>
    <row r="912" spans="1:9" x14ac:dyDescent="0.2">
      <c r="A912" s="3">
        <v>45877.921492997688</v>
      </c>
      <c r="B912" t="s">
        <v>1095</v>
      </c>
      <c r="C912" t="s">
        <v>7</v>
      </c>
      <c r="E912">
        <v>0</v>
      </c>
      <c r="F912">
        <v>0</v>
      </c>
      <c r="G912" t="s">
        <v>2</v>
      </c>
      <c r="H912" cm="1">
        <f t="array" ref="H912">sentimentCalc(B912)</f>
        <v>0</v>
      </c>
      <c r="I912" s="5" t="str" cm="1">
        <f t="array" ref="I912">sentimentCategory(H912)</f>
        <v>Neutral</v>
      </c>
    </row>
    <row r="913" spans="1:9" x14ac:dyDescent="0.2">
      <c r="A913" s="3">
        <v>45878.921492997688</v>
      </c>
      <c r="B913" t="s">
        <v>1096</v>
      </c>
      <c r="C913" t="s">
        <v>198</v>
      </c>
      <c r="E913">
        <v>0</v>
      </c>
      <c r="F913">
        <v>0</v>
      </c>
      <c r="G913" t="s">
        <v>2</v>
      </c>
      <c r="H913" cm="1">
        <f t="array" ref="H913">sentimentCalc(B913)</f>
        <v>0</v>
      </c>
      <c r="I913" s="5" t="str" cm="1">
        <f t="array" ref="I913">sentimentCategory(H913)</f>
        <v>Neutral</v>
      </c>
    </row>
    <row r="914" spans="1:9" x14ac:dyDescent="0.2">
      <c r="A914" s="3">
        <v>45879.921492997688</v>
      </c>
      <c r="B914" t="s">
        <v>1097</v>
      </c>
      <c r="C914" t="s">
        <v>33</v>
      </c>
      <c r="D914" t="s">
        <v>34</v>
      </c>
      <c r="E914">
        <v>0</v>
      </c>
      <c r="F914">
        <v>0</v>
      </c>
      <c r="G914" t="s">
        <v>2</v>
      </c>
      <c r="H914" cm="1">
        <f t="array" ref="H914">sentimentCalc(B914)</f>
        <v>0</v>
      </c>
      <c r="I914" s="5" t="str" cm="1">
        <f t="array" ref="I914">sentimentCategory(H914)</f>
        <v>Neutral</v>
      </c>
    </row>
    <row r="915" spans="1:9" x14ac:dyDescent="0.2">
      <c r="A915" s="3">
        <v>45880.921492997688</v>
      </c>
      <c r="B915" t="s">
        <v>1098</v>
      </c>
      <c r="C915" t="s">
        <v>7</v>
      </c>
      <c r="E915">
        <v>0</v>
      </c>
      <c r="F915">
        <v>0</v>
      </c>
      <c r="G915" t="s">
        <v>2</v>
      </c>
      <c r="H915" cm="1">
        <f t="array" ref="H915">sentimentCalc(B915)</f>
        <v>0</v>
      </c>
      <c r="I915" s="5" t="str" cm="1">
        <f t="array" ref="I915">sentimentCategory(H915)</f>
        <v>Neutral</v>
      </c>
    </row>
    <row r="916" spans="1:9" x14ac:dyDescent="0.2">
      <c r="A916" s="3"/>
      <c r="H916" cm="1">
        <f t="array" ref="H916">sentimentCalc(B916)</f>
        <v>0</v>
      </c>
      <c r="I916" s="5" t="str" cm="1">
        <f t="array" ref="I916">sentimentCategory(H916)</f>
        <v>Neutral</v>
      </c>
    </row>
    <row r="917" spans="1:9" x14ac:dyDescent="0.2">
      <c r="A917" s="3">
        <v>45882.921492997688</v>
      </c>
      <c r="B917" t="s">
        <v>1099</v>
      </c>
      <c r="C917" t="s">
        <v>33</v>
      </c>
      <c r="D917" t="s">
        <v>34</v>
      </c>
      <c r="E917">
        <v>0</v>
      </c>
      <c r="F917">
        <v>0</v>
      </c>
      <c r="G917" t="s">
        <v>2</v>
      </c>
      <c r="H917" cm="1">
        <f t="array" ref="H917">sentimentCalc(B917)</f>
        <v>0</v>
      </c>
      <c r="I917" s="5" t="str" cm="1">
        <f t="array" ref="I917">sentimentCategory(H917)</f>
        <v>Neutral</v>
      </c>
    </row>
    <row r="918" spans="1:9" x14ac:dyDescent="0.2">
      <c r="A918" s="3">
        <v>45883.921492997688</v>
      </c>
      <c r="B918" t="s">
        <v>37</v>
      </c>
      <c r="C918" t="s">
        <v>33</v>
      </c>
      <c r="D918" t="s">
        <v>34</v>
      </c>
      <c r="E918">
        <v>0</v>
      </c>
      <c r="F918">
        <v>0</v>
      </c>
      <c r="G918" t="s">
        <v>2</v>
      </c>
      <c r="H918" cm="1">
        <f t="array" ref="H918">sentimentCalc(B918)</f>
        <v>0</v>
      </c>
      <c r="I918" s="5" t="str" cm="1">
        <f t="array" ref="I918">sentimentCategory(H918)</f>
        <v>Neutral</v>
      </c>
    </row>
    <row r="919" spans="1:9" x14ac:dyDescent="0.2">
      <c r="A919" s="3">
        <v>45884.921492997688</v>
      </c>
      <c r="B919" t="s">
        <v>36</v>
      </c>
      <c r="C919" t="s">
        <v>33</v>
      </c>
      <c r="D919" t="s">
        <v>34</v>
      </c>
      <c r="E919">
        <v>0</v>
      </c>
      <c r="F919">
        <v>0</v>
      </c>
      <c r="G919" t="s">
        <v>2</v>
      </c>
      <c r="H919" cm="1">
        <f t="array" ref="H919">sentimentCalc(B919)</f>
        <v>10</v>
      </c>
      <c r="I919" s="5" t="str" cm="1">
        <f t="array" ref="I919">sentimentCategory(H919)</f>
        <v>Positive</v>
      </c>
    </row>
    <row r="920" spans="1:9" x14ac:dyDescent="0.2">
      <c r="A920" s="3">
        <v>45885.921492997688</v>
      </c>
      <c r="B920" t="s">
        <v>287</v>
      </c>
      <c r="C920" t="s">
        <v>33</v>
      </c>
      <c r="D920" t="s">
        <v>34</v>
      </c>
      <c r="E920">
        <v>0</v>
      </c>
      <c r="F920">
        <v>0</v>
      </c>
      <c r="G920" t="s">
        <v>2</v>
      </c>
      <c r="H920" cm="1">
        <f t="array" ref="H920">sentimentCalc(B920)</f>
        <v>0</v>
      </c>
      <c r="I920" s="5" t="str" cm="1">
        <f t="array" ref="I920">sentimentCategory(H920)</f>
        <v>Neutral</v>
      </c>
    </row>
    <row r="921" spans="1:9" x14ac:dyDescent="0.2">
      <c r="A921" s="3">
        <v>45886.921492997688</v>
      </c>
      <c r="B921" t="s">
        <v>1100</v>
      </c>
      <c r="C921" t="s">
        <v>1101</v>
      </c>
      <c r="E921">
        <v>0</v>
      </c>
      <c r="F921">
        <v>0</v>
      </c>
      <c r="G921" t="s">
        <v>2</v>
      </c>
      <c r="H921" cm="1">
        <f t="array" ref="H921">sentimentCalc(B921)</f>
        <v>-10</v>
      </c>
      <c r="I921" s="5" t="str" cm="1">
        <f t="array" ref="I921">sentimentCategory(H921)</f>
        <v>Negative</v>
      </c>
    </row>
    <row r="922" spans="1:9" x14ac:dyDescent="0.2">
      <c r="A922" s="3">
        <v>45887.921492997688</v>
      </c>
      <c r="B922" t="s">
        <v>1102</v>
      </c>
      <c r="C922" t="s">
        <v>1103</v>
      </c>
      <c r="D922" t="s">
        <v>1104</v>
      </c>
      <c r="E922">
        <v>0</v>
      </c>
      <c r="F922">
        <v>1</v>
      </c>
      <c r="G922" t="s">
        <v>2</v>
      </c>
      <c r="H922" cm="1">
        <f t="array" ref="H922">sentimentCalc(B922)</f>
        <v>10</v>
      </c>
      <c r="I922" s="5" t="str" cm="1">
        <f t="array" ref="I922">sentimentCategory(H922)</f>
        <v>Positive</v>
      </c>
    </row>
    <row r="923" spans="1:9" x14ac:dyDescent="0.2">
      <c r="A923" s="3">
        <v>45888.921492997688</v>
      </c>
      <c r="B923" t="s">
        <v>1096</v>
      </c>
      <c r="C923" t="s">
        <v>198</v>
      </c>
      <c r="E923">
        <v>0</v>
      </c>
      <c r="F923">
        <v>0</v>
      </c>
      <c r="G923" t="s">
        <v>2</v>
      </c>
      <c r="H923" cm="1">
        <f t="array" ref="H923">sentimentCalc(B923)</f>
        <v>0</v>
      </c>
      <c r="I923" s="5" t="str" cm="1">
        <f t="array" ref="I923">sentimentCategory(H923)</f>
        <v>Neutral</v>
      </c>
    </row>
    <row r="924" spans="1:9" x14ac:dyDescent="0.2">
      <c r="A924" s="3">
        <v>45889.921492997688</v>
      </c>
      <c r="B924" t="s">
        <v>1105</v>
      </c>
      <c r="C924" t="s">
        <v>1106</v>
      </c>
      <c r="D924" t="s">
        <v>1107</v>
      </c>
      <c r="E924">
        <v>30</v>
      </c>
      <c r="F924">
        <v>33</v>
      </c>
      <c r="G924" t="s">
        <v>2</v>
      </c>
      <c r="H924" cm="1">
        <f t="array" ref="H924">sentimentCalc(B924)</f>
        <v>10</v>
      </c>
      <c r="I924" s="5" t="str" cm="1">
        <f t="array" ref="I924">sentimentCategory(H924)</f>
        <v>Positive</v>
      </c>
    </row>
    <row r="925" spans="1:9" x14ac:dyDescent="0.2">
      <c r="A925" s="3">
        <v>45890.921492997688</v>
      </c>
      <c r="B925" t="s">
        <v>1108</v>
      </c>
      <c r="C925" t="s">
        <v>7</v>
      </c>
      <c r="E925">
        <v>0</v>
      </c>
      <c r="F925">
        <v>0</v>
      </c>
      <c r="G925" t="s">
        <v>2</v>
      </c>
      <c r="H925" cm="1">
        <f t="array" ref="H925">sentimentCalc(B925)</f>
        <v>0</v>
      </c>
      <c r="I925" s="5" t="str" cm="1">
        <f t="array" ref="I925">sentimentCategory(H925)</f>
        <v>Neutral</v>
      </c>
    </row>
    <row r="926" spans="1:9" x14ac:dyDescent="0.2">
      <c r="A926" s="3">
        <v>45891.921492997688</v>
      </c>
      <c r="B926" t="s">
        <v>1109</v>
      </c>
      <c r="C926" t="s">
        <v>1110</v>
      </c>
      <c r="E926">
        <v>0</v>
      </c>
      <c r="F926">
        <v>1</v>
      </c>
      <c r="G926" t="s">
        <v>2</v>
      </c>
      <c r="H926" cm="1">
        <f t="array" ref="H926">sentimentCalc(B926)</f>
        <v>20</v>
      </c>
      <c r="I926" s="5" t="str" cm="1">
        <f t="array" ref="I926">sentimentCategory(H926)</f>
        <v>Positive</v>
      </c>
    </row>
    <row r="927" spans="1:9" x14ac:dyDescent="0.2">
      <c r="A927" s="3">
        <v>45892.921492997688</v>
      </c>
      <c r="B927" t="s">
        <v>556</v>
      </c>
      <c r="C927" t="s">
        <v>557</v>
      </c>
      <c r="D927" t="s">
        <v>558</v>
      </c>
      <c r="E927">
        <v>0</v>
      </c>
      <c r="F927">
        <v>0</v>
      </c>
      <c r="G927" t="s">
        <v>2</v>
      </c>
      <c r="H927" cm="1">
        <f t="array" ref="H927">sentimentCalc(B927)</f>
        <v>10</v>
      </c>
      <c r="I927" s="5" t="str" cm="1">
        <f t="array" ref="I927">sentimentCategory(H927)</f>
        <v>Positive</v>
      </c>
    </row>
    <row r="928" spans="1:9" x14ac:dyDescent="0.2">
      <c r="A928" s="3">
        <v>45893.921492997688</v>
      </c>
      <c r="B928" t="s">
        <v>1111</v>
      </c>
      <c r="C928" t="s">
        <v>12</v>
      </c>
      <c r="D928" t="s">
        <v>13</v>
      </c>
      <c r="E928">
        <v>0</v>
      </c>
      <c r="F928">
        <v>0</v>
      </c>
      <c r="G928" t="s">
        <v>2</v>
      </c>
      <c r="H928" cm="1">
        <f t="array" ref="H928">sentimentCalc(B928)</f>
        <v>0</v>
      </c>
      <c r="I928" s="5" t="str" cm="1">
        <f t="array" ref="I928">sentimentCategory(H928)</f>
        <v>Neutral</v>
      </c>
    </row>
    <row r="929" spans="1:9" x14ac:dyDescent="0.2">
      <c r="A929" s="3">
        <v>45894.921492997688</v>
      </c>
      <c r="B929" t="s">
        <v>1112</v>
      </c>
      <c r="C929" t="s">
        <v>7</v>
      </c>
      <c r="E929">
        <v>0</v>
      </c>
      <c r="F929">
        <v>0</v>
      </c>
      <c r="G929" t="s">
        <v>2</v>
      </c>
      <c r="H929" cm="1">
        <f t="array" ref="H929">sentimentCalc(B929)</f>
        <v>0</v>
      </c>
      <c r="I929" s="5" t="str" cm="1">
        <f t="array" ref="I929">sentimentCategory(H929)</f>
        <v>Neutral</v>
      </c>
    </row>
    <row r="930" spans="1:9" x14ac:dyDescent="0.2">
      <c r="A930" s="3">
        <v>45895.921492997688</v>
      </c>
      <c r="B930" t="s">
        <v>1113</v>
      </c>
      <c r="C930" t="s">
        <v>1114</v>
      </c>
      <c r="E930">
        <v>0</v>
      </c>
      <c r="F930">
        <v>1</v>
      </c>
      <c r="G930" t="s">
        <v>2</v>
      </c>
      <c r="H930" cm="1">
        <f t="array" ref="H930">sentimentCalc(B930)</f>
        <v>0</v>
      </c>
      <c r="I930" s="5" t="str" cm="1">
        <f t="array" ref="I930">sentimentCategory(H930)</f>
        <v>Neutral</v>
      </c>
    </row>
    <row r="931" spans="1:9" x14ac:dyDescent="0.2">
      <c r="A931" s="3">
        <v>45896.921492997688</v>
      </c>
      <c r="B931" t="s">
        <v>1115</v>
      </c>
      <c r="C931" t="s">
        <v>1116</v>
      </c>
      <c r="D931" t="s">
        <v>1117</v>
      </c>
      <c r="E931">
        <v>2</v>
      </c>
      <c r="F931">
        <v>1</v>
      </c>
      <c r="G931" t="s">
        <v>2</v>
      </c>
      <c r="H931" cm="1">
        <f t="array" ref="H931">sentimentCalc(B931)</f>
        <v>0</v>
      </c>
      <c r="I931" s="5" t="str" cm="1">
        <f t="array" ref="I931">sentimentCategory(H931)</f>
        <v>Neutral</v>
      </c>
    </row>
    <row r="932" spans="1:9" x14ac:dyDescent="0.2">
      <c r="A932" s="3">
        <v>45897.921492997688</v>
      </c>
      <c r="B932" t="s">
        <v>1118</v>
      </c>
      <c r="C932" t="s">
        <v>7</v>
      </c>
      <c r="E932">
        <v>0</v>
      </c>
      <c r="F932">
        <v>0</v>
      </c>
      <c r="G932" t="s">
        <v>2</v>
      </c>
      <c r="H932" cm="1">
        <f t="array" ref="H932">sentimentCalc(B932)</f>
        <v>0</v>
      </c>
      <c r="I932" s="5" t="str" cm="1">
        <f t="array" ref="I932">sentimentCategory(H932)</f>
        <v>Neutral</v>
      </c>
    </row>
    <row r="933" spans="1:9" x14ac:dyDescent="0.2">
      <c r="A933" s="3">
        <v>45898.921492997688</v>
      </c>
      <c r="B933" t="s">
        <v>1119</v>
      </c>
      <c r="C933" t="s">
        <v>1120</v>
      </c>
      <c r="E933">
        <v>0</v>
      </c>
      <c r="F933">
        <v>0</v>
      </c>
      <c r="G933" t="s">
        <v>2</v>
      </c>
      <c r="H933" cm="1">
        <f t="array" ref="H933">sentimentCalc(B933)</f>
        <v>20</v>
      </c>
      <c r="I933" s="5" t="str" cm="1">
        <f t="array" ref="I933">sentimentCategory(H933)</f>
        <v>Positive</v>
      </c>
    </row>
    <row r="934" spans="1:9" x14ac:dyDescent="0.2">
      <c r="A934" s="3">
        <v>45899.921492997688</v>
      </c>
      <c r="B934" t="s">
        <v>1121</v>
      </c>
      <c r="C934" t="s">
        <v>7</v>
      </c>
      <c r="E934">
        <v>0</v>
      </c>
      <c r="F934">
        <v>0</v>
      </c>
      <c r="G934" t="s">
        <v>2</v>
      </c>
      <c r="H934" cm="1">
        <f t="array" ref="H934">sentimentCalc(B934)</f>
        <v>0</v>
      </c>
      <c r="I934" s="5" t="str" cm="1">
        <f t="array" ref="I934">sentimentCategory(H934)</f>
        <v>Neutral</v>
      </c>
    </row>
    <row r="935" spans="1:9" x14ac:dyDescent="0.2">
      <c r="A935" s="3">
        <v>45900.921492997688</v>
      </c>
      <c r="B935" t="s">
        <v>3</v>
      </c>
      <c r="C935" t="s">
        <v>4</v>
      </c>
      <c r="D935" t="s">
        <v>5</v>
      </c>
      <c r="E935">
        <v>0</v>
      </c>
      <c r="F935">
        <v>0</v>
      </c>
      <c r="G935" t="s">
        <v>2</v>
      </c>
      <c r="H935" cm="1">
        <f t="array" ref="H935">sentimentCalc(B935)</f>
        <v>0</v>
      </c>
      <c r="I935" s="5" t="str" cm="1">
        <f t="array" ref="I935">sentimentCategory(H935)</f>
        <v>Neutral</v>
      </c>
    </row>
    <row r="936" spans="1:9" x14ac:dyDescent="0.2">
      <c r="A936" s="3">
        <v>45901.921492997688</v>
      </c>
      <c r="B936" t="s">
        <v>1122</v>
      </c>
      <c r="C936" t="s">
        <v>823</v>
      </c>
      <c r="E936">
        <v>0</v>
      </c>
      <c r="F936">
        <v>0</v>
      </c>
      <c r="G936" t="s">
        <v>2</v>
      </c>
      <c r="H936" cm="1">
        <f t="array" ref="H936">sentimentCalc(B936)</f>
        <v>0</v>
      </c>
      <c r="I936" s="5" t="str" cm="1">
        <f t="array" ref="I936">sentimentCategory(H936)</f>
        <v>Neutral</v>
      </c>
    </row>
    <row r="937" spans="1:9" x14ac:dyDescent="0.2">
      <c r="A937" s="3">
        <v>45902.921492997688</v>
      </c>
      <c r="B937" t="s">
        <v>1123</v>
      </c>
      <c r="C937" t="s">
        <v>1124</v>
      </c>
      <c r="E937">
        <v>0</v>
      </c>
      <c r="F937">
        <v>0</v>
      </c>
      <c r="G937" t="s">
        <v>2</v>
      </c>
      <c r="H937" cm="1">
        <f t="array" ref="H937">sentimentCalc(B937)</f>
        <v>10</v>
      </c>
      <c r="I937" s="5" t="str" cm="1">
        <f t="array" ref="I937">sentimentCategory(H937)</f>
        <v>Positive</v>
      </c>
    </row>
    <row r="938" spans="1:9" x14ac:dyDescent="0.2">
      <c r="A938" s="3">
        <v>45903.921492997688</v>
      </c>
      <c r="B938" t="s">
        <v>996</v>
      </c>
      <c r="C938" t="s">
        <v>102</v>
      </c>
      <c r="D938" t="s">
        <v>103</v>
      </c>
      <c r="E938">
        <v>0</v>
      </c>
      <c r="F938">
        <v>0</v>
      </c>
      <c r="G938" t="s">
        <v>2</v>
      </c>
      <c r="H938" cm="1">
        <f t="array" ref="H938">sentimentCalc(B938)</f>
        <v>0</v>
      </c>
      <c r="I938" s="5" t="str" cm="1">
        <f t="array" ref="I938">sentimentCategory(H938)</f>
        <v>Neutral</v>
      </c>
    </row>
    <row r="939" spans="1:9" x14ac:dyDescent="0.2">
      <c r="A939" s="3">
        <v>45904.921492997688</v>
      </c>
      <c r="B939" t="s">
        <v>1125</v>
      </c>
      <c r="C939" t="s">
        <v>1126</v>
      </c>
      <c r="D939" t="s">
        <v>1127</v>
      </c>
      <c r="E939">
        <v>0</v>
      </c>
      <c r="F939">
        <v>0</v>
      </c>
      <c r="G939" t="s">
        <v>2</v>
      </c>
      <c r="H939" cm="1">
        <f t="array" ref="H939">sentimentCalc(B939)</f>
        <v>10</v>
      </c>
      <c r="I939" s="5" t="str" cm="1">
        <f t="array" ref="I939">sentimentCategory(H939)</f>
        <v>Positive</v>
      </c>
    </row>
    <row r="940" spans="1:9" x14ac:dyDescent="0.2">
      <c r="A940" s="3">
        <v>45905.921492997688</v>
      </c>
      <c r="B940" t="s">
        <v>1128</v>
      </c>
      <c r="C940" t="s">
        <v>1103</v>
      </c>
      <c r="E940">
        <v>7</v>
      </c>
      <c r="F940">
        <v>45</v>
      </c>
      <c r="G940" t="s">
        <v>2</v>
      </c>
      <c r="H940" cm="1">
        <f t="array" ref="H940">sentimentCalc(B940)</f>
        <v>0</v>
      </c>
      <c r="I940" s="5" t="str" cm="1">
        <f t="array" ref="I940">sentimentCategory(H940)</f>
        <v>Neutral</v>
      </c>
    </row>
    <row r="941" spans="1:9" x14ac:dyDescent="0.2">
      <c r="A941" s="3">
        <v>45906.921492997688</v>
      </c>
      <c r="B941" t="s">
        <v>1129</v>
      </c>
      <c r="C941" t="s">
        <v>1130</v>
      </c>
      <c r="D941" t="s">
        <v>1131</v>
      </c>
      <c r="E941">
        <v>0</v>
      </c>
      <c r="F941">
        <v>0</v>
      </c>
      <c r="G941" t="s">
        <v>2</v>
      </c>
      <c r="H941" cm="1">
        <f t="array" ref="H941">sentimentCalc(B941)</f>
        <v>0</v>
      </c>
      <c r="I941" s="5" t="str" cm="1">
        <f t="array" ref="I941">sentimentCategory(H941)</f>
        <v>Neutral</v>
      </c>
    </row>
    <row r="942" spans="1:9" x14ac:dyDescent="0.2">
      <c r="A942" s="3">
        <v>45907.921492997688</v>
      </c>
      <c r="B942" t="s">
        <v>1132</v>
      </c>
      <c r="C942" t="s">
        <v>1133</v>
      </c>
      <c r="D942" t="s">
        <v>5</v>
      </c>
      <c r="E942">
        <v>0</v>
      </c>
      <c r="F942">
        <v>2</v>
      </c>
      <c r="G942" t="s">
        <v>2</v>
      </c>
      <c r="H942" cm="1">
        <f t="array" ref="H942">sentimentCalc(B942)</f>
        <v>0</v>
      </c>
      <c r="I942" s="5" t="str" cm="1">
        <f t="array" ref="I942">sentimentCategory(H942)</f>
        <v>Neutral</v>
      </c>
    </row>
    <row r="943" spans="1:9" x14ac:dyDescent="0.2">
      <c r="A943" s="3">
        <v>45908.921492997688</v>
      </c>
      <c r="B943" t="s">
        <v>1134</v>
      </c>
      <c r="C943" t="s">
        <v>1135</v>
      </c>
      <c r="D943" t="s">
        <v>1136</v>
      </c>
      <c r="E943">
        <v>0</v>
      </c>
      <c r="F943">
        <v>1</v>
      </c>
      <c r="G943" t="s">
        <v>2</v>
      </c>
      <c r="H943" cm="1">
        <f t="array" ref="H943">sentimentCalc(B943)</f>
        <v>0</v>
      </c>
      <c r="I943" s="5" t="str" cm="1">
        <f t="array" ref="I943">sentimentCategory(H943)</f>
        <v>Neutral</v>
      </c>
    </row>
    <row r="944" spans="1:9" x14ac:dyDescent="0.2">
      <c r="A944" s="3">
        <v>45909.921492997688</v>
      </c>
      <c r="B944" t="s">
        <v>218</v>
      </c>
      <c r="C944" t="s">
        <v>22</v>
      </c>
      <c r="E944">
        <v>0</v>
      </c>
      <c r="F944">
        <v>0</v>
      </c>
      <c r="G944" t="s">
        <v>2</v>
      </c>
      <c r="H944" cm="1">
        <f t="array" ref="H944">sentimentCalc(B944)</f>
        <v>0</v>
      </c>
      <c r="I944" s="5" t="str" cm="1">
        <f t="array" ref="I944">sentimentCategory(H944)</f>
        <v>Neutral</v>
      </c>
    </row>
    <row r="945" spans="1:9" x14ac:dyDescent="0.2">
      <c r="A945" s="3">
        <v>45910.921492997688</v>
      </c>
      <c r="B945" t="s">
        <v>37</v>
      </c>
      <c r="C945" t="s">
        <v>33</v>
      </c>
      <c r="D945" t="s">
        <v>34</v>
      </c>
      <c r="E945">
        <v>0</v>
      </c>
      <c r="F945">
        <v>0</v>
      </c>
      <c r="G945" t="s">
        <v>2</v>
      </c>
      <c r="H945" cm="1">
        <f t="array" ref="H945">sentimentCalc(B945)</f>
        <v>0</v>
      </c>
      <c r="I945" s="5" t="str" cm="1">
        <f t="array" ref="I945">sentimentCategory(H945)</f>
        <v>Neutral</v>
      </c>
    </row>
    <row r="946" spans="1:9" x14ac:dyDescent="0.2">
      <c r="A946" s="3">
        <v>45911.921492997688</v>
      </c>
      <c r="B946" t="s">
        <v>1137</v>
      </c>
      <c r="C946" t="s">
        <v>33</v>
      </c>
      <c r="D946" t="s">
        <v>34</v>
      </c>
      <c r="E946">
        <v>0</v>
      </c>
      <c r="F946">
        <v>0</v>
      </c>
      <c r="G946" t="s">
        <v>2</v>
      </c>
      <c r="H946" cm="1">
        <f t="array" ref="H946">sentimentCalc(B946)</f>
        <v>0</v>
      </c>
      <c r="I946" s="5" t="str" cm="1">
        <f t="array" ref="I946">sentimentCategory(H946)</f>
        <v>Neutral</v>
      </c>
    </row>
    <row r="947" spans="1:9" x14ac:dyDescent="0.2">
      <c r="A947" s="3">
        <v>45912.921492997688</v>
      </c>
      <c r="B947" t="s">
        <v>35</v>
      </c>
      <c r="C947" t="s">
        <v>33</v>
      </c>
      <c r="D947" t="s">
        <v>34</v>
      </c>
      <c r="E947">
        <v>0</v>
      </c>
      <c r="F947">
        <v>0</v>
      </c>
      <c r="G947" t="s">
        <v>2</v>
      </c>
      <c r="H947" cm="1">
        <f t="array" ref="H947">sentimentCalc(B947)</f>
        <v>0</v>
      </c>
      <c r="I947" s="5" t="str" cm="1">
        <f t="array" ref="I947">sentimentCategory(H947)</f>
        <v>Neutral</v>
      </c>
    </row>
    <row r="948" spans="1:9" x14ac:dyDescent="0.2">
      <c r="A948" s="3">
        <v>45913.921492997688</v>
      </c>
      <c r="B948" t="s">
        <v>36</v>
      </c>
      <c r="C948" t="s">
        <v>33</v>
      </c>
      <c r="D948" t="s">
        <v>34</v>
      </c>
      <c r="E948">
        <v>0</v>
      </c>
      <c r="F948">
        <v>0</v>
      </c>
      <c r="G948" t="s">
        <v>2</v>
      </c>
      <c r="H948" cm="1">
        <f t="array" ref="H948">sentimentCalc(B948)</f>
        <v>10</v>
      </c>
      <c r="I948" s="5" t="str" cm="1">
        <f t="array" ref="I948">sentimentCategory(H948)</f>
        <v>Positive</v>
      </c>
    </row>
    <row r="949" spans="1:9" x14ac:dyDescent="0.2">
      <c r="A949" s="3">
        <v>45914.921492997688</v>
      </c>
      <c r="B949" t="s">
        <v>287</v>
      </c>
      <c r="C949" t="s">
        <v>33</v>
      </c>
      <c r="D949" t="s">
        <v>34</v>
      </c>
      <c r="E949">
        <v>0</v>
      </c>
      <c r="F949">
        <v>0</v>
      </c>
      <c r="G949" t="s">
        <v>2</v>
      </c>
      <c r="H949" cm="1">
        <f t="array" ref="H949">sentimentCalc(B949)</f>
        <v>0</v>
      </c>
      <c r="I949" s="5" t="str" cm="1">
        <f t="array" ref="I949">sentimentCategory(H949)</f>
        <v>Neutral</v>
      </c>
    </row>
    <row r="950" spans="1:9" x14ac:dyDescent="0.2">
      <c r="A950" s="3">
        <v>45915.921492997688</v>
      </c>
      <c r="B950" t="s">
        <v>1138</v>
      </c>
      <c r="C950" t="s">
        <v>1139</v>
      </c>
      <c r="D950" t="s">
        <v>1140</v>
      </c>
      <c r="E950">
        <v>4</v>
      </c>
      <c r="F950">
        <v>1</v>
      </c>
      <c r="G950" t="s">
        <v>2</v>
      </c>
      <c r="H950" cm="1">
        <f t="array" ref="H950">sentimentCalc(B950)</f>
        <v>0</v>
      </c>
      <c r="I950" s="5" t="str" cm="1">
        <f t="array" ref="I950">sentimentCategory(H950)</f>
        <v>Neutral</v>
      </c>
    </row>
    <row r="951" spans="1:9" x14ac:dyDescent="0.2">
      <c r="A951" s="3">
        <v>45916.921492997688</v>
      </c>
      <c r="B951" t="s">
        <v>1141</v>
      </c>
      <c r="C951" t="s">
        <v>7</v>
      </c>
      <c r="E951">
        <v>0</v>
      </c>
      <c r="F951">
        <v>0</v>
      </c>
      <c r="G951" t="s">
        <v>2</v>
      </c>
      <c r="H951" cm="1">
        <f t="array" ref="H951">sentimentCalc(B951)</f>
        <v>0</v>
      </c>
      <c r="I951" s="5" t="str" cm="1">
        <f t="array" ref="I951">sentimentCategory(H951)</f>
        <v>Neutral</v>
      </c>
    </row>
    <row r="952" spans="1:9" x14ac:dyDescent="0.2">
      <c r="A952" s="3">
        <v>45917.921492997688</v>
      </c>
      <c r="B952" t="s">
        <v>1142</v>
      </c>
      <c r="C952" t="s">
        <v>1143</v>
      </c>
      <c r="D952" t="s">
        <v>1144</v>
      </c>
      <c r="E952">
        <v>1</v>
      </c>
      <c r="F952">
        <v>1</v>
      </c>
      <c r="G952" t="s">
        <v>2</v>
      </c>
      <c r="H952" cm="1">
        <f t="array" ref="H952">sentimentCalc(B952)</f>
        <v>0</v>
      </c>
      <c r="I952" s="5" t="str" cm="1">
        <f t="array" ref="I952">sentimentCategory(H952)</f>
        <v>Neutral</v>
      </c>
    </row>
    <row r="953" spans="1:9" x14ac:dyDescent="0.2">
      <c r="A953" s="3">
        <v>45918.921492997688</v>
      </c>
      <c r="B953" t="s">
        <v>1145</v>
      </c>
      <c r="C953" t="s">
        <v>1146</v>
      </c>
      <c r="E953">
        <v>0</v>
      </c>
      <c r="F953">
        <v>1</v>
      </c>
      <c r="G953" t="s">
        <v>2</v>
      </c>
      <c r="H953" cm="1">
        <f t="array" ref="H953">sentimentCalc(B953)</f>
        <v>0</v>
      </c>
      <c r="I953" s="5" t="str" cm="1">
        <f t="array" ref="I953">sentimentCategory(H953)</f>
        <v>Neutral</v>
      </c>
    </row>
    <row r="954" spans="1:9" x14ac:dyDescent="0.2">
      <c r="A954" s="3">
        <v>45919.921492997688</v>
      </c>
      <c r="B954" t="s">
        <v>1147</v>
      </c>
      <c r="C954" t="s">
        <v>1148</v>
      </c>
      <c r="D954" t="s">
        <v>1149</v>
      </c>
      <c r="E954">
        <v>0</v>
      </c>
      <c r="F954">
        <v>0</v>
      </c>
      <c r="G954" t="s">
        <v>2</v>
      </c>
      <c r="H954" cm="1">
        <f t="array" ref="H954">sentimentCalc(B954)</f>
        <v>0</v>
      </c>
      <c r="I954" s="5" t="str" cm="1">
        <f t="array" ref="I954">sentimentCategory(H954)</f>
        <v>Neutral</v>
      </c>
    </row>
    <row r="955" spans="1:9" x14ac:dyDescent="0.2">
      <c r="A955" s="3">
        <v>45920.921492997688</v>
      </c>
      <c r="B955" t="s">
        <v>1150</v>
      </c>
      <c r="C955" t="s">
        <v>253</v>
      </c>
      <c r="E955">
        <v>0</v>
      </c>
      <c r="F955">
        <v>0</v>
      </c>
      <c r="G955" t="s">
        <v>2</v>
      </c>
      <c r="H955" cm="1">
        <f t="array" ref="H955">sentimentCalc(B955)</f>
        <v>0</v>
      </c>
      <c r="I955" s="5" t="str" cm="1">
        <f t="array" ref="I955">sentimentCategory(H955)</f>
        <v>Neutral</v>
      </c>
    </row>
    <row r="956" spans="1:9" x14ac:dyDescent="0.2">
      <c r="A956" s="3">
        <v>45921.921492997688</v>
      </c>
      <c r="B956" t="s">
        <v>1151</v>
      </c>
      <c r="C956" t="s">
        <v>1152</v>
      </c>
      <c r="D956" t="s">
        <v>1153</v>
      </c>
      <c r="E956">
        <v>0</v>
      </c>
      <c r="F956">
        <v>2</v>
      </c>
      <c r="G956" t="s">
        <v>2</v>
      </c>
      <c r="H956" cm="1">
        <f t="array" ref="H956">sentimentCalc(B956)</f>
        <v>0</v>
      </c>
      <c r="I956" s="5" t="str" cm="1">
        <f t="array" ref="I956">sentimentCategory(H956)</f>
        <v>Neutral</v>
      </c>
    </row>
    <row r="957" spans="1:9" x14ac:dyDescent="0.2">
      <c r="A957" s="3">
        <v>45922.921492997688</v>
      </c>
      <c r="B957" t="s">
        <v>1154</v>
      </c>
      <c r="C957" t="s">
        <v>1155</v>
      </c>
      <c r="D957" t="s">
        <v>1156</v>
      </c>
      <c r="E957">
        <v>0</v>
      </c>
      <c r="F957">
        <v>1</v>
      </c>
      <c r="G957" t="s">
        <v>2</v>
      </c>
      <c r="H957" cm="1">
        <f t="array" ref="H957">sentimentCalc(B957)</f>
        <v>10</v>
      </c>
      <c r="I957" s="5" t="str" cm="1">
        <f t="array" ref="I957">sentimentCategory(H957)</f>
        <v>Positive</v>
      </c>
    </row>
    <row r="958" spans="1:9" x14ac:dyDescent="0.2">
      <c r="A958" s="3">
        <v>45923.921492997688</v>
      </c>
      <c r="B958" t="s">
        <v>1157</v>
      </c>
      <c r="C958" t="s">
        <v>1158</v>
      </c>
      <c r="D958" t="s">
        <v>158</v>
      </c>
      <c r="E958">
        <v>1</v>
      </c>
      <c r="F958">
        <v>2</v>
      </c>
      <c r="G958" t="s">
        <v>2</v>
      </c>
      <c r="H958" cm="1">
        <f t="array" ref="H958">sentimentCalc(B958)</f>
        <v>0</v>
      </c>
      <c r="I958" s="5" t="str" cm="1">
        <f t="array" ref="I958">sentimentCategory(H958)</f>
        <v>Neutral</v>
      </c>
    </row>
    <row r="959" spans="1:9" x14ac:dyDescent="0.2">
      <c r="A959" s="3">
        <v>45924.921492997688</v>
      </c>
      <c r="B959" t="s">
        <v>1159</v>
      </c>
      <c r="C959" t="s">
        <v>78</v>
      </c>
      <c r="E959">
        <v>0</v>
      </c>
      <c r="F959">
        <v>1</v>
      </c>
      <c r="G959" t="s">
        <v>2</v>
      </c>
      <c r="H959" cm="1">
        <f t="array" ref="H959">sentimentCalc(B959)</f>
        <v>0</v>
      </c>
      <c r="I959" s="5" t="str" cm="1">
        <f t="array" ref="I959">sentimentCategory(H959)</f>
        <v>Neutral</v>
      </c>
    </row>
    <row r="960" spans="1:9" x14ac:dyDescent="0.2">
      <c r="A960" s="3">
        <v>45925.921492997688</v>
      </c>
      <c r="B960" t="s">
        <v>160</v>
      </c>
      <c r="C960" t="s">
        <v>128</v>
      </c>
      <c r="D960" t="s">
        <v>129</v>
      </c>
      <c r="E960">
        <v>0</v>
      </c>
      <c r="F960">
        <v>0</v>
      </c>
      <c r="G960" t="s">
        <v>2</v>
      </c>
      <c r="H960" cm="1">
        <f t="array" ref="H960">sentimentCalc(B960)</f>
        <v>-10</v>
      </c>
      <c r="I960" s="5" t="str" cm="1">
        <f t="array" ref="I960">sentimentCategory(H960)</f>
        <v>Negative</v>
      </c>
    </row>
    <row r="961" spans="1:9" x14ac:dyDescent="0.2">
      <c r="A961" s="3">
        <v>45926.921492997688</v>
      </c>
      <c r="B961" t="s">
        <v>1160</v>
      </c>
      <c r="C961" t="s">
        <v>1161</v>
      </c>
      <c r="E961">
        <v>0</v>
      </c>
      <c r="F961">
        <v>0</v>
      </c>
      <c r="G961" t="s">
        <v>2</v>
      </c>
      <c r="H961" cm="1">
        <f t="array" ref="H961">sentimentCalc(B961)</f>
        <v>0</v>
      </c>
      <c r="I961" s="5" t="str" cm="1">
        <f t="array" ref="I961">sentimentCategory(H961)</f>
        <v>Neutral</v>
      </c>
    </row>
    <row r="962" spans="1:9" x14ac:dyDescent="0.2">
      <c r="A962" s="3">
        <v>45927.921492997688</v>
      </c>
      <c r="B962" t="s">
        <v>537</v>
      </c>
      <c r="C962" t="s">
        <v>1162</v>
      </c>
      <c r="E962">
        <v>0</v>
      </c>
      <c r="F962">
        <v>0</v>
      </c>
      <c r="G962" t="s">
        <v>2</v>
      </c>
      <c r="H962" cm="1">
        <f t="array" ref="H962">sentimentCalc(B962)</f>
        <v>0</v>
      </c>
      <c r="I962" s="5" t="str" cm="1">
        <f t="array" ref="I962">sentimentCategory(H962)</f>
        <v>Neutral</v>
      </c>
    </row>
    <row r="963" spans="1:9" x14ac:dyDescent="0.2">
      <c r="A963" s="3">
        <v>45928.921492997688</v>
      </c>
      <c r="B963" t="s">
        <v>760</v>
      </c>
      <c r="C963" t="s">
        <v>1162</v>
      </c>
      <c r="E963">
        <v>0</v>
      </c>
      <c r="F963">
        <v>0</v>
      </c>
      <c r="G963" t="s">
        <v>2</v>
      </c>
      <c r="H963" cm="1">
        <f t="array" ref="H963">sentimentCalc(B963)</f>
        <v>0</v>
      </c>
      <c r="I963" s="5" t="str" cm="1">
        <f t="array" ref="I963">sentimentCategory(H963)</f>
        <v>Neutral</v>
      </c>
    </row>
    <row r="964" spans="1:9" x14ac:dyDescent="0.2">
      <c r="A964" s="3">
        <v>45929.921492997688</v>
      </c>
      <c r="B964" t="s">
        <v>1163</v>
      </c>
      <c r="C964" t="s">
        <v>1164</v>
      </c>
      <c r="E964">
        <v>0</v>
      </c>
      <c r="F964">
        <v>0</v>
      </c>
      <c r="G964" t="s">
        <v>2</v>
      </c>
      <c r="H964" cm="1">
        <f t="array" ref="H964">sentimentCalc(B964)</f>
        <v>0</v>
      </c>
      <c r="I964" s="5" t="str" cm="1">
        <f t="array" ref="I964">sentimentCategory(H964)</f>
        <v>Neutral</v>
      </c>
    </row>
    <row r="965" spans="1:9" x14ac:dyDescent="0.2">
      <c r="A965" s="3">
        <v>45930.921492997688</v>
      </c>
      <c r="B965" t="s">
        <v>867</v>
      </c>
      <c r="C965" t="s">
        <v>1162</v>
      </c>
      <c r="E965">
        <v>0</v>
      </c>
      <c r="F965">
        <v>0</v>
      </c>
      <c r="G965" t="s">
        <v>2</v>
      </c>
      <c r="H965" cm="1">
        <f t="array" ref="H965">sentimentCalc(B965)</f>
        <v>0</v>
      </c>
      <c r="I965" s="5" t="str" cm="1">
        <f t="array" ref="I965">sentimentCategory(H965)</f>
        <v>Neutral</v>
      </c>
    </row>
    <row r="966" spans="1:9" x14ac:dyDescent="0.2">
      <c r="A966" s="3">
        <v>45931.921492997688</v>
      </c>
      <c r="B966" t="s">
        <v>868</v>
      </c>
      <c r="C966" t="s">
        <v>1162</v>
      </c>
      <c r="E966">
        <v>0</v>
      </c>
      <c r="F966">
        <v>0</v>
      </c>
      <c r="G966" t="s">
        <v>2</v>
      </c>
      <c r="H966" cm="1">
        <f t="array" ref="H966">sentimentCalc(B966)</f>
        <v>0</v>
      </c>
      <c r="I966" s="5" t="str" cm="1">
        <f t="array" ref="I966">sentimentCategory(H966)</f>
        <v>Neutral</v>
      </c>
    </row>
    <row r="967" spans="1:9" x14ac:dyDescent="0.2">
      <c r="A967" s="3">
        <v>45932.921492997688</v>
      </c>
      <c r="B967" t="s">
        <v>869</v>
      </c>
      <c r="C967" t="s">
        <v>1162</v>
      </c>
      <c r="E967">
        <v>0</v>
      </c>
      <c r="F967">
        <v>0</v>
      </c>
      <c r="G967" t="s">
        <v>2</v>
      </c>
      <c r="H967" cm="1">
        <f t="array" ref="H967">sentimentCalc(B967)</f>
        <v>0</v>
      </c>
      <c r="I967" s="5" t="str" cm="1">
        <f t="array" ref="I967">sentimentCategory(H967)</f>
        <v>Neutral</v>
      </c>
    </row>
    <row r="968" spans="1:9" x14ac:dyDescent="0.2">
      <c r="A968" s="3">
        <v>45933.921492997688</v>
      </c>
      <c r="B968" t="s">
        <v>1165</v>
      </c>
      <c r="C968" t="s">
        <v>1166</v>
      </c>
      <c r="D968" t="s">
        <v>1167</v>
      </c>
      <c r="E968">
        <v>0</v>
      </c>
      <c r="F968">
        <v>0</v>
      </c>
      <c r="G968" t="s">
        <v>2</v>
      </c>
      <c r="H968" cm="1">
        <f t="array" ref="H968">sentimentCalc(B968)</f>
        <v>0</v>
      </c>
      <c r="I968" s="5" t="str" cm="1">
        <f t="array" ref="I968">sentimentCategory(H968)</f>
        <v>Neutral</v>
      </c>
    </row>
    <row r="969" spans="1:9" x14ac:dyDescent="0.2">
      <c r="A969" s="3">
        <v>45934.921492997688</v>
      </c>
      <c r="B969" t="s">
        <v>1168</v>
      </c>
      <c r="C969" t="s">
        <v>1169</v>
      </c>
      <c r="D969" t="s">
        <v>1170</v>
      </c>
      <c r="E969">
        <v>0</v>
      </c>
      <c r="F969">
        <v>0</v>
      </c>
      <c r="G969" t="s">
        <v>2</v>
      </c>
      <c r="H969" cm="1">
        <f t="array" ref="H969">sentimentCalc(B969)</f>
        <v>0</v>
      </c>
      <c r="I969" s="5" t="str" cm="1">
        <f t="array" ref="I969">sentimentCategory(H969)</f>
        <v>Neutral</v>
      </c>
    </row>
    <row r="970" spans="1:9" x14ac:dyDescent="0.2">
      <c r="A970" s="3">
        <v>45935.921492997688</v>
      </c>
      <c r="B970" t="s">
        <v>1042</v>
      </c>
      <c r="C970" t="s">
        <v>614</v>
      </c>
      <c r="D970" t="s">
        <v>574</v>
      </c>
      <c r="E970">
        <v>7</v>
      </c>
      <c r="F970">
        <v>38</v>
      </c>
      <c r="G970" t="s">
        <v>2</v>
      </c>
      <c r="H970" cm="1">
        <f t="array" ref="H970">sentimentCalc(B970)</f>
        <v>10</v>
      </c>
      <c r="I970" s="5" t="str" cm="1">
        <f t="array" ref="I970">sentimentCategory(H970)</f>
        <v>Positive</v>
      </c>
    </row>
    <row r="971" spans="1:9" x14ac:dyDescent="0.2">
      <c r="A971" s="3">
        <v>45936.921492997688</v>
      </c>
      <c r="B971" t="s">
        <v>3</v>
      </c>
      <c r="C971" t="s">
        <v>4</v>
      </c>
      <c r="D971" t="s">
        <v>5</v>
      </c>
      <c r="E971">
        <v>0</v>
      </c>
      <c r="F971">
        <v>0</v>
      </c>
      <c r="G971" t="s">
        <v>2</v>
      </c>
      <c r="H971" cm="1">
        <f t="array" ref="H971">sentimentCalc(B971)</f>
        <v>0</v>
      </c>
      <c r="I971" s="5" t="str" cm="1">
        <f t="array" ref="I971">sentimentCategory(H971)</f>
        <v>Neutral</v>
      </c>
    </row>
    <row r="972" spans="1:9" x14ac:dyDescent="0.2">
      <c r="A972" s="3">
        <v>45937.921492997688</v>
      </c>
      <c r="B972" t="s">
        <v>460</v>
      </c>
      <c r="C972" t="s">
        <v>1162</v>
      </c>
      <c r="E972">
        <v>0</v>
      </c>
      <c r="F972">
        <v>0</v>
      </c>
      <c r="G972" t="s">
        <v>2</v>
      </c>
      <c r="H972" cm="1">
        <f t="array" ref="H972">sentimentCalc(B972)</f>
        <v>0</v>
      </c>
      <c r="I972" s="5" t="str" cm="1">
        <f t="array" ref="I972">sentimentCategory(H972)</f>
        <v>Neutral</v>
      </c>
    </row>
    <row r="973" spans="1:9" x14ac:dyDescent="0.2">
      <c r="A973" s="3">
        <v>45938.921492997688</v>
      </c>
      <c r="B973" t="s">
        <v>541</v>
      </c>
      <c r="C973" t="s">
        <v>1162</v>
      </c>
      <c r="E973">
        <v>0</v>
      </c>
      <c r="F973">
        <v>0</v>
      </c>
      <c r="G973" t="s">
        <v>2</v>
      </c>
      <c r="H973" cm="1">
        <f t="array" ref="H973">sentimentCalc(B973)</f>
        <v>0</v>
      </c>
      <c r="I973" s="5" t="str" cm="1">
        <f t="array" ref="I973">sentimentCategory(H973)</f>
        <v>Neutral</v>
      </c>
    </row>
    <row r="974" spans="1:9" x14ac:dyDescent="0.2">
      <c r="A974" s="3">
        <v>45939.921492997688</v>
      </c>
      <c r="B974" t="s">
        <v>991</v>
      </c>
      <c r="C974" t="s">
        <v>1162</v>
      </c>
      <c r="E974">
        <v>0</v>
      </c>
      <c r="F974">
        <v>0</v>
      </c>
      <c r="G974" t="s">
        <v>2</v>
      </c>
      <c r="H974" cm="1">
        <f t="array" ref="H974">sentimentCalc(B974)</f>
        <v>10</v>
      </c>
      <c r="I974" s="5" t="str" cm="1">
        <f t="array" ref="I974">sentimentCategory(H974)</f>
        <v>Positive</v>
      </c>
    </row>
    <row r="975" spans="1:9" x14ac:dyDescent="0.2">
      <c r="A975" s="3">
        <v>45940.921492997688</v>
      </c>
      <c r="B975" t="s">
        <v>992</v>
      </c>
      <c r="C975" t="s">
        <v>1162</v>
      </c>
      <c r="E975">
        <v>0</v>
      </c>
      <c r="F975">
        <v>0</v>
      </c>
      <c r="G975" t="s">
        <v>2</v>
      </c>
      <c r="H975" cm="1">
        <f t="array" ref="H975">sentimentCalc(B975)</f>
        <v>0</v>
      </c>
      <c r="I975" s="5" t="str" cm="1">
        <f t="array" ref="I975">sentimentCategory(H975)</f>
        <v>Neutral</v>
      </c>
    </row>
    <row r="976" spans="1:9" x14ac:dyDescent="0.2">
      <c r="A976" s="3">
        <v>45941.921492997688</v>
      </c>
      <c r="B976" t="s">
        <v>993</v>
      </c>
      <c r="C976" t="s">
        <v>1162</v>
      </c>
      <c r="E976">
        <v>0</v>
      </c>
      <c r="F976">
        <v>0</v>
      </c>
      <c r="G976" t="s">
        <v>2</v>
      </c>
      <c r="H976" cm="1">
        <f t="array" ref="H976">sentimentCalc(B976)</f>
        <v>0</v>
      </c>
      <c r="I976" s="5" t="str" cm="1">
        <f t="array" ref="I976">sentimentCategory(H976)</f>
        <v>Neutral</v>
      </c>
    </row>
    <row r="977" spans="1:9" x14ac:dyDescent="0.2">
      <c r="A977" s="3">
        <v>45942.921492997688</v>
      </c>
      <c r="B977" t="s">
        <v>40</v>
      </c>
      <c r="C977" t="s">
        <v>1162</v>
      </c>
      <c r="E977">
        <v>0</v>
      </c>
      <c r="F977">
        <v>0</v>
      </c>
      <c r="G977" t="s">
        <v>2</v>
      </c>
      <c r="H977" cm="1">
        <f t="array" ref="H977">sentimentCalc(B977)</f>
        <v>0</v>
      </c>
      <c r="I977" s="5" t="str" cm="1">
        <f t="array" ref="I977">sentimentCategory(H977)</f>
        <v>Neutral</v>
      </c>
    </row>
    <row r="978" spans="1:9" x14ac:dyDescent="0.2">
      <c r="A978" s="3">
        <v>45943.921492997688</v>
      </c>
      <c r="B978" t="s">
        <v>1171</v>
      </c>
      <c r="C978" t="s">
        <v>1162</v>
      </c>
      <c r="E978">
        <v>0</v>
      </c>
      <c r="F978">
        <v>0</v>
      </c>
      <c r="G978" t="s">
        <v>2</v>
      </c>
      <c r="H978" cm="1">
        <f t="array" ref="H978">sentimentCalc(B978)</f>
        <v>0</v>
      </c>
      <c r="I978" s="5" t="str" cm="1">
        <f t="array" ref="I978">sentimentCategory(H978)</f>
        <v>Neutral</v>
      </c>
    </row>
    <row r="979" spans="1:9" x14ac:dyDescent="0.2">
      <c r="A979" s="3">
        <v>45944.921492997688</v>
      </c>
      <c r="B979" t="s">
        <v>876</v>
      </c>
      <c r="C979" t="s">
        <v>1162</v>
      </c>
      <c r="E979">
        <v>0</v>
      </c>
      <c r="F979">
        <v>0</v>
      </c>
      <c r="G979" t="s">
        <v>2</v>
      </c>
      <c r="H979" cm="1">
        <f t="array" ref="H979">sentimentCalc(B979)</f>
        <v>0</v>
      </c>
      <c r="I979" s="5" t="str" cm="1">
        <f t="array" ref="I979">sentimentCategory(H979)</f>
        <v>Neutral</v>
      </c>
    </row>
    <row r="980" spans="1:9" x14ac:dyDescent="0.2">
      <c r="A980" s="3">
        <v>45945.921492997688</v>
      </c>
      <c r="B980" t="s">
        <v>996</v>
      </c>
      <c r="C980" t="s">
        <v>1162</v>
      </c>
      <c r="E980">
        <v>0</v>
      </c>
      <c r="F980">
        <v>0</v>
      </c>
      <c r="G980" t="s">
        <v>2</v>
      </c>
      <c r="H980" cm="1">
        <f t="array" ref="H980">sentimentCalc(B980)</f>
        <v>0</v>
      </c>
      <c r="I980" s="5" t="str" cm="1">
        <f t="array" ref="I980">sentimentCategory(H980)</f>
        <v>Neutral</v>
      </c>
    </row>
    <row r="981" spans="1:9" x14ac:dyDescent="0.2">
      <c r="A981" s="3">
        <v>45946.921492997688</v>
      </c>
      <c r="B981" t="s">
        <v>997</v>
      </c>
      <c r="C981" t="s">
        <v>1162</v>
      </c>
      <c r="E981">
        <v>0</v>
      </c>
      <c r="F981">
        <v>0</v>
      </c>
      <c r="G981" t="s">
        <v>2</v>
      </c>
      <c r="H981" cm="1">
        <f t="array" ref="H981">sentimentCalc(B981)</f>
        <v>10</v>
      </c>
      <c r="I981" s="5" t="str" cm="1">
        <f t="array" ref="I981">sentimentCategory(H981)</f>
        <v>Positive</v>
      </c>
    </row>
    <row r="982" spans="1:9" x14ac:dyDescent="0.2">
      <c r="A982" s="3">
        <v>45947.921492997688</v>
      </c>
      <c r="B982" t="s">
        <v>1172</v>
      </c>
      <c r="C982" t="s">
        <v>1169</v>
      </c>
      <c r="D982" t="s">
        <v>1170</v>
      </c>
      <c r="E982">
        <v>0</v>
      </c>
      <c r="F982">
        <v>0</v>
      </c>
      <c r="G982" t="s">
        <v>2</v>
      </c>
      <c r="H982" cm="1">
        <f t="array" ref="H982">sentimentCalc(B982)</f>
        <v>0</v>
      </c>
      <c r="I982" s="5" t="str" cm="1">
        <f t="array" ref="I982">sentimentCategory(H982)</f>
        <v>Neutral</v>
      </c>
    </row>
    <row r="983" spans="1:9" x14ac:dyDescent="0.2">
      <c r="A983" s="3">
        <v>45948.921492997688</v>
      </c>
      <c r="B983" t="s">
        <v>544</v>
      </c>
      <c r="C983" t="s">
        <v>1162</v>
      </c>
      <c r="E983">
        <v>0</v>
      </c>
      <c r="F983">
        <v>0</v>
      </c>
      <c r="G983" t="s">
        <v>2</v>
      </c>
      <c r="H983" cm="1">
        <f t="array" ref="H983">sentimentCalc(B983)</f>
        <v>0</v>
      </c>
      <c r="I983" s="5" t="str" cm="1">
        <f t="array" ref="I983">sentimentCategory(H983)</f>
        <v>Neutral</v>
      </c>
    </row>
    <row r="984" spans="1:9" x14ac:dyDescent="0.2">
      <c r="A984" s="3">
        <v>45949.921492997688</v>
      </c>
      <c r="B984" t="s">
        <v>998</v>
      </c>
      <c r="C984" t="s">
        <v>1162</v>
      </c>
      <c r="E984">
        <v>0</v>
      </c>
      <c r="F984">
        <v>0</v>
      </c>
      <c r="G984" t="s">
        <v>2</v>
      </c>
      <c r="H984" cm="1">
        <f t="array" ref="H984">sentimentCalc(B984)</f>
        <v>0</v>
      </c>
      <c r="I984" s="5" t="str" cm="1">
        <f t="array" ref="I984">sentimentCategory(H984)</f>
        <v>Neutral</v>
      </c>
    </row>
    <row r="985" spans="1:9" x14ac:dyDescent="0.2">
      <c r="A985" s="3">
        <v>45950.921492997688</v>
      </c>
      <c r="B985" t="s">
        <v>1173</v>
      </c>
      <c r="C985" t="s">
        <v>365</v>
      </c>
      <c r="D985" t="s">
        <v>55</v>
      </c>
      <c r="E985">
        <v>0</v>
      </c>
      <c r="F985">
        <v>0</v>
      </c>
      <c r="G985" t="s">
        <v>2</v>
      </c>
      <c r="H985" cm="1">
        <f t="array" ref="H985">sentimentCalc(B985)</f>
        <v>0</v>
      </c>
      <c r="I985" s="5" t="str" cm="1">
        <f t="array" ref="I985">sentimentCategory(H985)</f>
        <v>Neutral</v>
      </c>
    </row>
    <row r="986" spans="1:9" x14ac:dyDescent="0.2">
      <c r="A986" s="3">
        <v>45951.921492997688</v>
      </c>
      <c r="B986" t="s">
        <v>1174</v>
      </c>
      <c r="C986" t="s">
        <v>1175</v>
      </c>
      <c r="E986">
        <v>0</v>
      </c>
      <c r="F986">
        <v>0</v>
      </c>
      <c r="G986" t="s">
        <v>2</v>
      </c>
      <c r="H986" cm="1">
        <f t="array" ref="H986">sentimentCalc(B986)</f>
        <v>0</v>
      </c>
      <c r="I986" s="5" t="str" cm="1">
        <f t="array" ref="I986">sentimentCategory(H986)</f>
        <v>Neutral</v>
      </c>
    </row>
    <row r="987" spans="1:9" x14ac:dyDescent="0.2">
      <c r="A987" s="3">
        <v>45952.921492997688</v>
      </c>
      <c r="B987" t="s">
        <v>999</v>
      </c>
      <c r="C987" t="s">
        <v>1162</v>
      </c>
      <c r="E987">
        <v>0</v>
      </c>
      <c r="F987">
        <v>0</v>
      </c>
      <c r="G987" t="s">
        <v>2</v>
      </c>
      <c r="H987" cm="1">
        <f t="array" ref="H987">sentimentCalc(B987)</f>
        <v>0</v>
      </c>
      <c r="I987" s="5" t="str" cm="1">
        <f t="array" ref="I987">sentimentCategory(H987)</f>
        <v>Neutral</v>
      </c>
    </row>
    <row r="988" spans="1:9" x14ac:dyDescent="0.2">
      <c r="A988" s="3">
        <v>45953.921492997688</v>
      </c>
      <c r="B988" t="s">
        <v>1176</v>
      </c>
      <c r="C988" t="s">
        <v>1177</v>
      </c>
      <c r="E988">
        <v>0</v>
      </c>
      <c r="F988">
        <v>0</v>
      </c>
      <c r="G988" t="s">
        <v>2</v>
      </c>
      <c r="H988" cm="1">
        <f t="array" ref="H988">sentimentCalc(B988)</f>
        <v>0</v>
      </c>
      <c r="I988" s="5" t="str" cm="1">
        <f t="array" ref="I988">sentimentCategory(H988)</f>
        <v>Neutral</v>
      </c>
    </row>
    <row r="989" spans="1:9" x14ac:dyDescent="0.2">
      <c r="A989" s="3">
        <v>45954.921492997688</v>
      </c>
      <c r="B989" t="s">
        <v>1178</v>
      </c>
      <c r="C989" t="s">
        <v>7</v>
      </c>
      <c r="E989">
        <v>0</v>
      </c>
      <c r="F989">
        <v>0</v>
      </c>
      <c r="G989" t="s">
        <v>2</v>
      </c>
      <c r="H989" cm="1">
        <f t="array" ref="H989">sentimentCalc(B989)</f>
        <v>0</v>
      </c>
      <c r="I989" s="5" t="str" cm="1">
        <f t="array" ref="I989">sentimentCategory(H989)</f>
        <v>Neutral</v>
      </c>
    </row>
    <row r="990" spans="1:9" x14ac:dyDescent="0.2">
      <c r="A990" s="3">
        <v>45955.921492997688</v>
      </c>
      <c r="B990" t="s">
        <v>1179</v>
      </c>
      <c r="C990" t="s">
        <v>1180</v>
      </c>
      <c r="D990" t="s">
        <v>1181</v>
      </c>
      <c r="E990">
        <v>12</v>
      </c>
      <c r="F990">
        <v>54</v>
      </c>
      <c r="G990" t="s">
        <v>2</v>
      </c>
      <c r="H990" cm="1">
        <f t="array" ref="H990">sentimentCalc(B990)</f>
        <v>0</v>
      </c>
      <c r="I990" s="5" t="str" cm="1">
        <f t="array" ref="I990">sentimentCategory(H990)</f>
        <v>Neutral</v>
      </c>
    </row>
    <row r="991" spans="1:9" x14ac:dyDescent="0.2">
      <c r="A991" s="3">
        <v>45956.921492997688</v>
      </c>
      <c r="B991" t="s">
        <v>1182</v>
      </c>
      <c r="C991" t="s">
        <v>134</v>
      </c>
      <c r="E991">
        <v>0</v>
      </c>
      <c r="F991">
        <v>0</v>
      </c>
      <c r="G991" t="s">
        <v>2</v>
      </c>
      <c r="H991" cm="1">
        <f t="array" ref="H991">sentimentCalc(B991)</f>
        <v>0</v>
      </c>
      <c r="I991" s="5" t="str" cm="1">
        <f t="array" ref="I991">sentimentCategory(H991)</f>
        <v>Neutral</v>
      </c>
    </row>
    <row r="992" spans="1:9" x14ac:dyDescent="0.2">
      <c r="A992" s="3">
        <v>45957.921492997688</v>
      </c>
      <c r="B992" t="s">
        <v>1183</v>
      </c>
      <c r="C992" t="s">
        <v>7</v>
      </c>
      <c r="E992">
        <v>0</v>
      </c>
      <c r="F992">
        <v>0</v>
      </c>
      <c r="G992" t="s">
        <v>2</v>
      </c>
      <c r="H992" cm="1">
        <f t="array" ref="H992">sentimentCalc(B992)</f>
        <v>0</v>
      </c>
      <c r="I992" s="5" t="str" cm="1">
        <f t="array" ref="I992">sentimentCategory(H992)</f>
        <v>Neutral</v>
      </c>
    </row>
    <row r="993" spans="1:9" x14ac:dyDescent="0.2">
      <c r="A993" s="3">
        <v>45958.921492997688</v>
      </c>
      <c r="B993" t="s">
        <v>1184</v>
      </c>
      <c r="C993" t="s">
        <v>1185</v>
      </c>
      <c r="D993" t="s">
        <v>1186</v>
      </c>
      <c r="E993">
        <v>0</v>
      </c>
      <c r="F993">
        <v>0</v>
      </c>
      <c r="G993" t="s">
        <v>2</v>
      </c>
      <c r="H993" cm="1">
        <f t="array" ref="H993">sentimentCalc(B993)</f>
        <v>0</v>
      </c>
      <c r="I993" s="5" t="str" cm="1">
        <f t="array" ref="I993">sentimentCategory(H993)</f>
        <v>Neutral</v>
      </c>
    </row>
    <row r="994" spans="1:9" x14ac:dyDescent="0.2">
      <c r="A994" s="3">
        <v>45959.921492997688</v>
      </c>
      <c r="B994" t="s">
        <v>646</v>
      </c>
      <c r="C994" t="s">
        <v>143</v>
      </c>
      <c r="D994" t="s">
        <v>129</v>
      </c>
      <c r="E994">
        <v>0</v>
      </c>
      <c r="F994">
        <v>0</v>
      </c>
      <c r="G994" t="s">
        <v>2</v>
      </c>
      <c r="H994" cm="1">
        <f t="array" ref="H994">sentimentCalc(B994)</f>
        <v>-10</v>
      </c>
      <c r="I994" s="5" t="str" cm="1">
        <f t="array" ref="I994">sentimentCategory(H994)</f>
        <v>Negative</v>
      </c>
    </row>
    <row r="995" spans="1:9" x14ac:dyDescent="0.2">
      <c r="A995" s="3">
        <v>45960.921492997688</v>
      </c>
      <c r="B995" t="s">
        <v>1187</v>
      </c>
      <c r="C995" t="s">
        <v>134</v>
      </c>
      <c r="E995">
        <v>0</v>
      </c>
      <c r="F995">
        <v>0</v>
      </c>
      <c r="G995" t="s">
        <v>2</v>
      </c>
      <c r="H995" cm="1">
        <f t="array" ref="H995">sentimentCalc(B995)</f>
        <v>0</v>
      </c>
      <c r="I995" s="5" t="str" cm="1">
        <f t="array" ref="I995">sentimentCategory(H995)</f>
        <v>Neutral</v>
      </c>
    </row>
    <row r="996" spans="1:9" x14ac:dyDescent="0.2">
      <c r="A996" s="3">
        <v>45961.921492997688</v>
      </c>
      <c r="B996" t="s">
        <v>1188</v>
      </c>
      <c r="C996" t="s">
        <v>1189</v>
      </c>
      <c r="D996" t="s">
        <v>1190</v>
      </c>
      <c r="E996">
        <v>0</v>
      </c>
      <c r="F996">
        <v>53</v>
      </c>
      <c r="G996" t="s">
        <v>2</v>
      </c>
      <c r="H996" cm="1">
        <f t="array" ref="H996">sentimentCalc(B996)</f>
        <v>0</v>
      </c>
      <c r="I996" s="5" t="str" cm="1">
        <f t="array" ref="I996">sentimentCategory(H996)</f>
        <v>Neutral</v>
      </c>
    </row>
    <row r="997" spans="1:9" x14ac:dyDescent="0.2">
      <c r="A997" s="3">
        <v>45962.921492997688</v>
      </c>
      <c r="B997" t="s">
        <v>1191</v>
      </c>
      <c r="C997" t="s">
        <v>710</v>
      </c>
      <c r="D997" t="s">
        <v>1192</v>
      </c>
      <c r="E997">
        <v>0</v>
      </c>
      <c r="F997">
        <v>0</v>
      </c>
      <c r="G997" t="s">
        <v>2</v>
      </c>
      <c r="H997" cm="1">
        <f t="array" ref="H997">sentimentCalc(B997)</f>
        <v>0</v>
      </c>
      <c r="I997" s="5" t="str" cm="1">
        <f t="array" ref="I997">sentimentCategory(H997)</f>
        <v>Neutral</v>
      </c>
    </row>
    <row r="998" spans="1:9" x14ac:dyDescent="0.2">
      <c r="A998" s="3">
        <v>45963.921492997688</v>
      </c>
      <c r="B998" t="s">
        <v>1193</v>
      </c>
      <c r="C998" t="s">
        <v>33</v>
      </c>
      <c r="D998" t="s">
        <v>1194</v>
      </c>
      <c r="E998">
        <v>0</v>
      </c>
      <c r="F998">
        <v>0</v>
      </c>
      <c r="G998" t="s">
        <v>2</v>
      </c>
      <c r="H998" cm="1">
        <f t="array" ref="H998">sentimentCalc(B998)</f>
        <v>-10</v>
      </c>
      <c r="I998" s="5" t="str" cm="1">
        <f t="array" ref="I998">sentimentCategory(H998)</f>
        <v>Negative</v>
      </c>
    </row>
    <row r="999" spans="1:9" x14ac:dyDescent="0.2">
      <c r="A999" s="3">
        <v>45964.921492997688</v>
      </c>
      <c r="B999" t="s">
        <v>1195</v>
      </c>
      <c r="C999" t="s">
        <v>1196</v>
      </c>
      <c r="E999">
        <v>0</v>
      </c>
      <c r="F999">
        <v>0</v>
      </c>
      <c r="G999" t="s">
        <v>2</v>
      </c>
      <c r="H999" cm="1">
        <f t="array" ref="H999">sentimentCalc(B999)</f>
        <v>10</v>
      </c>
      <c r="I999" s="5" t="str" cm="1">
        <f t="array" ref="I999">sentimentCategory(H999)</f>
        <v>Positive</v>
      </c>
    </row>
    <row r="1000" spans="1:9" x14ac:dyDescent="0.2">
      <c r="A1000" s="3"/>
      <c r="H1000" cm="1">
        <f t="array" ref="H1000">sentimentCalc(B1000)</f>
        <v>0</v>
      </c>
      <c r="I1000" s="5" t="str" cm="1">
        <f t="array" ref="I1000">sentimentCategory(H1000)</f>
        <v>Neutral</v>
      </c>
    </row>
    <row r="1001" spans="1:9" x14ac:dyDescent="0.2">
      <c r="A1001" s="3">
        <v>45966.921492997688</v>
      </c>
      <c r="B1001" t="s">
        <v>336</v>
      </c>
      <c r="C1001" t="s">
        <v>143</v>
      </c>
      <c r="D1001" t="s">
        <v>129</v>
      </c>
      <c r="E1001">
        <v>0</v>
      </c>
      <c r="F1001">
        <v>0</v>
      </c>
      <c r="G1001" t="s">
        <v>2</v>
      </c>
      <c r="H1001" cm="1">
        <f t="array" ref="H1001">sentimentCalc(B1001)</f>
        <v>0</v>
      </c>
      <c r="I1001" s="5" t="str" cm="1">
        <f t="array" ref="I1001">sentimentCategory(H1001)</f>
        <v>Neutral</v>
      </c>
    </row>
    <row r="1002" spans="1:9" x14ac:dyDescent="0.2">
      <c r="A1002" s="3">
        <v>45967.921492997688</v>
      </c>
      <c r="B1002" t="s">
        <v>1197</v>
      </c>
      <c r="C1002" t="s">
        <v>1198</v>
      </c>
      <c r="D1002" t="s">
        <v>1199</v>
      </c>
      <c r="E1002">
        <v>0</v>
      </c>
      <c r="F1002">
        <v>1</v>
      </c>
      <c r="G1002" t="s">
        <v>2</v>
      </c>
      <c r="H1002" cm="1">
        <f t="array" ref="H1002">sentimentCalc(B1002)</f>
        <v>0</v>
      </c>
      <c r="I1002" s="5" t="str" cm="1">
        <f t="array" ref="I1002">sentimentCategory(H1002)</f>
        <v>Neutral</v>
      </c>
    </row>
    <row r="1003" spans="1:9" x14ac:dyDescent="0.2">
      <c r="A1003" s="3">
        <v>45968.921492997688</v>
      </c>
      <c r="B1003" t="s">
        <v>1200</v>
      </c>
      <c r="C1003" t="s">
        <v>1201</v>
      </c>
      <c r="D1003" t="s">
        <v>1202</v>
      </c>
      <c r="E1003">
        <v>0</v>
      </c>
      <c r="F1003">
        <v>1</v>
      </c>
      <c r="G1003" t="s">
        <v>2</v>
      </c>
      <c r="H1003" cm="1">
        <f t="array" ref="H1003">sentimentCalc(B1003)</f>
        <v>0</v>
      </c>
      <c r="I1003" s="5" t="str" cm="1">
        <f t="array" ref="I1003">sentimentCategory(H1003)</f>
        <v>Neutral</v>
      </c>
    </row>
    <row r="1004" spans="1:9" x14ac:dyDescent="0.2">
      <c r="A1004" s="3">
        <v>45969.921492997688</v>
      </c>
      <c r="B1004" t="s">
        <v>973</v>
      </c>
      <c r="C1004" t="s">
        <v>143</v>
      </c>
      <c r="D1004" t="s">
        <v>129</v>
      </c>
      <c r="E1004">
        <v>0</v>
      </c>
      <c r="F1004">
        <v>0</v>
      </c>
      <c r="G1004" t="s">
        <v>2</v>
      </c>
      <c r="H1004" cm="1">
        <f t="array" ref="H1004">sentimentCalc(B1004)</f>
        <v>-10</v>
      </c>
      <c r="I1004" s="5" t="str" cm="1">
        <f t="array" ref="I1004">sentimentCategory(H1004)</f>
        <v>Negative</v>
      </c>
    </row>
    <row r="1005" spans="1:9" x14ac:dyDescent="0.2">
      <c r="A1005" s="3">
        <v>45970.921492997688</v>
      </c>
      <c r="B1005" t="s">
        <v>1203</v>
      </c>
      <c r="C1005" t="s">
        <v>134</v>
      </c>
      <c r="E1005">
        <v>0</v>
      </c>
      <c r="F1005">
        <v>0</v>
      </c>
      <c r="G1005" t="s">
        <v>2</v>
      </c>
      <c r="H1005" cm="1">
        <f t="array" ref="H1005">sentimentCalc(B1005)</f>
        <v>0</v>
      </c>
      <c r="I1005" s="5" t="str" cm="1">
        <f t="array" ref="I1005">sentimentCategory(H1005)</f>
        <v>Neutral</v>
      </c>
    </row>
    <row r="1006" spans="1:9" x14ac:dyDescent="0.2">
      <c r="A1006" s="3">
        <v>45971.921492997688</v>
      </c>
      <c r="B1006" t="s">
        <v>1204</v>
      </c>
      <c r="C1006" t="s">
        <v>7</v>
      </c>
      <c r="E1006">
        <v>0</v>
      </c>
      <c r="F1006">
        <v>0</v>
      </c>
      <c r="G1006" t="s">
        <v>2</v>
      </c>
      <c r="H1006" cm="1">
        <f t="array" ref="H1006">sentimentCalc(B1006)</f>
        <v>0</v>
      </c>
      <c r="I1006" s="5" t="str" cm="1">
        <f t="array" ref="I1006">sentimentCategory(H1006)</f>
        <v>Neutral</v>
      </c>
    </row>
    <row r="1007" spans="1:9" x14ac:dyDescent="0.2">
      <c r="A1007" s="3">
        <v>45972.921492997688</v>
      </c>
      <c r="B1007" t="s">
        <v>1205</v>
      </c>
      <c r="C1007" t="s">
        <v>1206</v>
      </c>
      <c r="D1007" t="s">
        <v>1207</v>
      </c>
      <c r="E1007">
        <v>0</v>
      </c>
      <c r="F1007">
        <v>0</v>
      </c>
      <c r="G1007" t="s">
        <v>2</v>
      </c>
      <c r="H1007" cm="1">
        <f t="array" ref="H1007">sentimentCalc(B1007)</f>
        <v>20</v>
      </c>
      <c r="I1007" s="5" t="str" cm="1">
        <f t="array" ref="I1007">sentimentCategory(H1007)</f>
        <v>Positive</v>
      </c>
    </row>
    <row r="1008" spans="1:9" x14ac:dyDescent="0.2">
      <c r="A1008" s="3">
        <v>45973.921492997688</v>
      </c>
      <c r="B1008" t="s">
        <v>1208</v>
      </c>
      <c r="C1008" t="s">
        <v>7</v>
      </c>
      <c r="E1008">
        <v>0</v>
      </c>
      <c r="F1008">
        <v>0</v>
      </c>
      <c r="G1008" t="s">
        <v>2</v>
      </c>
      <c r="H1008" cm="1">
        <f t="array" ref="H1008">sentimentCalc(B1008)</f>
        <v>0</v>
      </c>
      <c r="I1008" s="5" t="str" cm="1">
        <f t="array" ref="I1008">sentimentCategory(H1008)</f>
        <v>Neutral</v>
      </c>
    </row>
    <row r="1009" spans="1:9" x14ac:dyDescent="0.2">
      <c r="A1009" s="3">
        <v>45974.921492997688</v>
      </c>
      <c r="B1009" t="s">
        <v>1209</v>
      </c>
      <c r="C1009" t="s">
        <v>33</v>
      </c>
      <c r="D1009" t="s">
        <v>34</v>
      </c>
      <c r="E1009">
        <v>0</v>
      </c>
      <c r="F1009">
        <v>0</v>
      </c>
      <c r="G1009" t="s">
        <v>2</v>
      </c>
      <c r="H1009" cm="1">
        <f t="array" ref="H1009">sentimentCalc(B1009)</f>
        <v>0</v>
      </c>
      <c r="I1009" s="5" t="str" cm="1">
        <f t="array" ref="I1009">sentimentCategory(H1009)</f>
        <v>Neutral</v>
      </c>
    </row>
    <row r="1010" spans="1:9" x14ac:dyDescent="0.2">
      <c r="A1010" s="3">
        <v>45975.921492997688</v>
      </c>
      <c r="B1010" t="s">
        <v>36</v>
      </c>
      <c r="C1010" t="s">
        <v>33</v>
      </c>
      <c r="D1010" t="s">
        <v>34</v>
      </c>
      <c r="E1010">
        <v>0</v>
      </c>
      <c r="F1010">
        <v>0</v>
      </c>
      <c r="G1010" t="s">
        <v>2</v>
      </c>
      <c r="H1010" cm="1">
        <f t="array" ref="H1010">sentimentCalc(B1010)</f>
        <v>10</v>
      </c>
      <c r="I1010" s="5" t="str" cm="1">
        <f t="array" ref="I1010">sentimentCategory(H1010)</f>
        <v>Positive</v>
      </c>
    </row>
    <row r="1011" spans="1:9" x14ac:dyDescent="0.2">
      <c r="A1011" s="3"/>
      <c r="H1011" cm="1">
        <f t="array" ref="H1011">sentimentCalc(B1011)</f>
        <v>0</v>
      </c>
      <c r="I1011" s="5" t="str" cm="1">
        <f t="array" ref="I1011">sentimentCategory(H1011)</f>
        <v>Neutral</v>
      </c>
    </row>
    <row r="1012" spans="1:9" x14ac:dyDescent="0.2">
      <c r="A1012" s="3">
        <v>45977.921492997688</v>
      </c>
      <c r="B1012" t="s">
        <v>35</v>
      </c>
      <c r="C1012" t="s">
        <v>33</v>
      </c>
      <c r="D1012" t="s">
        <v>34</v>
      </c>
      <c r="E1012">
        <v>0</v>
      </c>
      <c r="F1012">
        <v>0</v>
      </c>
      <c r="G1012" t="s">
        <v>2</v>
      </c>
      <c r="H1012" cm="1">
        <f t="array" ref="H1012">sentimentCalc(B1012)</f>
        <v>0</v>
      </c>
      <c r="I1012" s="5" t="str" cm="1">
        <f t="array" ref="I1012">sentimentCategory(H1012)</f>
        <v>Neutral</v>
      </c>
    </row>
    <row r="1013" spans="1:9" x14ac:dyDescent="0.2">
      <c r="A1013" s="3">
        <v>45978.921492997688</v>
      </c>
      <c r="B1013" t="s">
        <v>287</v>
      </c>
      <c r="C1013" t="s">
        <v>33</v>
      </c>
      <c r="D1013" t="s">
        <v>34</v>
      </c>
      <c r="E1013">
        <v>0</v>
      </c>
      <c r="F1013">
        <v>0</v>
      </c>
      <c r="G1013" t="s">
        <v>2</v>
      </c>
      <c r="H1013" cm="1">
        <f t="array" ref="H1013">sentimentCalc(B1013)</f>
        <v>0</v>
      </c>
      <c r="I1013" s="5" t="str" cm="1">
        <f t="array" ref="I1013">sentimentCategory(H1013)</f>
        <v>Neutral</v>
      </c>
    </row>
    <row r="1014" spans="1:9" x14ac:dyDescent="0.2">
      <c r="A1014" s="3">
        <v>45979.921492997688</v>
      </c>
      <c r="B1014" t="s">
        <v>1210</v>
      </c>
      <c r="C1014" t="s">
        <v>1211</v>
      </c>
      <c r="D1014" t="s">
        <v>1212</v>
      </c>
      <c r="E1014">
        <v>0</v>
      </c>
      <c r="F1014">
        <v>0</v>
      </c>
      <c r="G1014" t="s">
        <v>2</v>
      </c>
      <c r="H1014" cm="1">
        <f t="array" ref="H1014">sentimentCalc(B1014)</f>
        <v>0</v>
      </c>
      <c r="I1014" s="5" t="str" cm="1">
        <f t="array" ref="I1014">sentimentCategory(H1014)</f>
        <v>Neutral</v>
      </c>
    </row>
    <row r="1015" spans="1:9" x14ac:dyDescent="0.2">
      <c r="A1015" s="3">
        <v>45980.921492997688</v>
      </c>
      <c r="B1015" t="s">
        <v>1213</v>
      </c>
      <c r="C1015" t="s">
        <v>7</v>
      </c>
      <c r="E1015">
        <v>0</v>
      </c>
      <c r="F1015">
        <v>0</v>
      </c>
      <c r="G1015" t="s">
        <v>2</v>
      </c>
      <c r="H1015" cm="1">
        <f t="array" ref="H1015">sentimentCalc(B1015)</f>
        <v>0</v>
      </c>
      <c r="I1015" s="5" t="str" cm="1">
        <f t="array" ref="I1015">sentimentCategory(H1015)</f>
        <v>Neutral</v>
      </c>
    </row>
    <row r="1016" spans="1:9" x14ac:dyDescent="0.2">
      <c r="A1016" s="3">
        <v>45981.921492997688</v>
      </c>
      <c r="B1016" t="s">
        <v>848</v>
      </c>
      <c r="C1016" t="s">
        <v>128</v>
      </c>
      <c r="D1016" t="s">
        <v>129</v>
      </c>
      <c r="E1016">
        <v>0</v>
      </c>
      <c r="F1016">
        <v>0</v>
      </c>
      <c r="G1016" t="s">
        <v>2</v>
      </c>
      <c r="H1016" cm="1">
        <f t="array" ref="H1016">sentimentCalc(B1016)</f>
        <v>-10</v>
      </c>
      <c r="I1016" s="5" t="str" cm="1">
        <f t="array" ref="I1016">sentimentCategory(H1016)</f>
        <v>Negative</v>
      </c>
    </row>
    <row r="1017" spans="1:9" x14ac:dyDescent="0.2">
      <c r="A1017" s="3">
        <v>45982.921492997688</v>
      </c>
      <c r="B1017" t="s">
        <v>1214</v>
      </c>
      <c r="C1017" t="s">
        <v>1215</v>
      </c>
      <c r="D1017" t="s">
        <v>1216</v>
      </c>
      <c r="E1017">
        <v>52</v>
      </c>
      <c r="F1017">
        <v>48</v>
      </c>
      <c r="G1017" t="s">
        <v>2</v>
      </c>
      <c r="H1017" cm="1">
        <f t="array" ref="H1017">sentimentCalc(B1017)</f>
        <v>0</v>
      </c>
      <c r="I1017" s="5" t="str" cm="1">
        <f t="array" ref="I1017">sentimentCategory(H1017)</f>
        <v>Neutral</v>
      </c>
    </row>
    <row r="1018" spans="1:9" x14ac:dyDescent="0.2">
      <c r="A1018" s="3">
        <v>45983.921492997688</v>
      </c>
      <c r="B1018" t="s">
        <v>371</v>
      </c>
      <c r="C1018" t="s">
        <v>143</v>
      </c>
      <c r="D1018" t="s">
        <v>129</v>
      </c>
      <c r="E1018">
        <v>0</v>
      </c>
      <c r="F1018">
        <v>0</v>
      </c>
      <c r="G1018" t="s">
        <v>2</v>
      </c>
      <c r="H1018" cm="1">
        <f t="array" ref="H1018">sentimentCalc(B1018)</f>
        <v>-10</v>
      </c>
      <c r="I1018" s="5" t="str" cm="1">
        <f t="array" ref="I1018">sentimentCategory(H1018)</f>
        <v>Negative</v>
      </c>
    </row>
    <row r="1019" spans="1:9" x14ac:dyDescent="0.2">
      <c r="A1019" s="3">
        <v>45984.921492997688</v>
      </c>
      <c r="B1019" t="s">
        <v>1217</v>
      </c>
      <c r="C1019" t="s">
        <v>1164</v>
      </c>
      <c r="E1019">
        <v>0</v>
      </c>
      <c r="F1019">
        <v>1</v>
      </c>
      <c r="G1019" t="s">
        <v>2</v>
      </c>
      <c r="H1019" cm="1">
        <f t="array" ref="H1019">sentimentCalc(B1019)</f>
        <v>10</v>
      </c>
      <c r="I1019" s="5" t="str" cm="1">
        <f t="array" ref="I1019">sentimentCategory(H1019)</f>
        <v>Positive</v>
      </c>
    </row>
    <row r="1020" spans="1:9" x14ac:dyDescent="0.2">
      <c r="A1020" s="3">
        <v>45985.921492997688</v>
      </c>
      <c r="B1020" t="s">
        <v>1218</v>
      </c>
      <c r="C1020" t="s">
        <v>1219</v>
      </c>
      <c r="E1020">
        <v>1</v>
      </c>
      <c r="F1020">
        <v>1</v>
      </c>
      <c r="G1020" t="s">
        <v>2</v>
      </c>
      <c r="H1020" cm="1">
        <f t="array" ref="H1020">sentimentCalc(B1020)</f>
        <v>10</v>
      </c>
      <c r="I1020" s="5" t="str" cm="1">
        <f t="array" ref="I1020">sentimentCategory(H1020)</f>
        <v>Positive</v>
      </c>
    </row>
    <row r="1021" spans="1:9" x14ac:dyDescent="0.2">
      <c r="A1021" s="3">
        <v>45986.921492997688</v>
      </c>
      <c r="B1021" t="s">
        <v>1220</v>
      </c>
      <c r="C1021" t="s">
        <v>1221</v>
      </c>
      <c r="D1021" t="s">
        <v>1222</v>
      </c>
      <c r="E1021">
        <v>0</v>
      </c>
      <c r="F1021">
        <v>1</v>
      </c>
      <c r="G1021" t="s">
        <v>2</v>
      </c>
      <c r="H1021" cm="1">
        <f t="array" ref="H1021">sentimentCalc(B1021)</f>
        <v>0</v>
      </c>
      <c r="I1021" s="5" t="str" cm="1">
        <f t="array" ref="I1021">sentimentCategory(H1021)</f>
        <v>Neutral</v>
      </c>
    </row>
    <row r="1022" spans="1:9" x14ac:dyDescent="0.2">
      <c r="A1022" s="3">
        <v>45987.921492997688</v>
      </c>
      <c r="B1022" t="s">
        <v>339</v>
      </c>
      <c r="C1022" t="s">
        <v>143</v>
      </c>
      <c r="D1022" t="s">
        <v>129</v>
      </c>
      <c r="E1022">
        <v>0</v>
      </c>
      <c r="F1022">
        <v>0</v>
      </c>
      <c r="G1022" t="s">
        <v>2</v>
      </c>
      <c r="H1022" cm="1">
        <f t="array" ref="H1022">sentimentCalc(B1022)</f>
        <v>-10</v>
      </c>
      <c r="I1022" s="5" t="str" cm="1">
        <f t="array" ref="I1022">sentimentCategory(H1022)</f>
        <v>Negative</v>
      </c>
    </row>
    <row r="1023" spans="1:9" x14ac:dyDescent="0.2">
      <c r="A1023" s="3">
        <v>45988.921492997688</v>
      </c>
      <c r="B1023" t="s">
        <v>431</v>
      </c>
      <c r="C1023" t="s">
        <v>143</v>
      </c>
      <c r="D1023" t="s">
        <v>129</v>
      </c>
      <c r="E1023">
        <v>0</v>
      </c>
      <c r="F1023">
        <v>0</v>
      </c>
      <c r="G1023" t="s">
        <v>2</v>
      </c>
      <c r="H1023" cm="1">
        <f t="array" ref="H1023">sentimentCalc(B1023)</f>
        <v>-10</v>
      </c>
      <c r="I1023" s="5" t="str" cm="1">
        <f t="array" ref="I1023">sentimentCategory(H1023)</f>
        <v>Negative</v>
      </c>
    </row>
    <row r="1024" spans="1:9" x14ac:dyDescent="0.2">
      <c r="A1024" s="3">
        <v>45989.921492997688</v>
      </c>
      <c r="B1024" t="s">
        <v>3</v>
      </c>
      <c r="C1024" t="s">
        <v>4</v>
      </c>
      <c r="D1024" t="s">
        <v>5</v>
      </c>
      <c r="E1024">
        <v>0</v>
      </c>
      <c r="F1024">
        <v>0</v>
      </c>
      <c r="G1024" t="s">
        <v>2</v>
      </c>
      <c r="H1024" cm="1">
        <f t="array" ref="H1024">sentimentCalc(B1024)</f>
        <v>0</v>
      </c>
      <c r="I1024" s="5" t="str" cm="1">
        <f t="array" ref="I1024">sentimentCategory(H1024)</f>
        <v>Neutral</v>
      </c>
    </row>
    <row r="1025" spans="1:9" x14ac:dyDescent="0.2">
      <c r="A1025" s="3">
        <v>45990.921492997688</v>
      </c>
      <c r="B1025" t="s">
        <v>1223</v>
      </c>
      <c r="C1025" t="s">
        <v>1224</v>
      </c>
      <c r="D1025" t="s">
        <v>721</v>
      </c>
      <c r="E1025">
        <v>0</v>
      </c>
      <c r="F1025">
        <v>0</v>
      </c>
      <c r="G1025" t="s">
        <v>2</v>
      </c>
      <c r="H1025" cm="1">
        <f t="array" ref="H1025">sentimentCalc(B1025)</f>
        <v>0</v>
      </c>
      <c r="I1025" s="5" t="str" cm="1">
        <f t="array" ref="I1025">sentimentCategory(H1025)</f>
        <v>Neutral</v>
      </c>
    </row>
    <row r="1026" spans="1:9" x14ac:dyDescent="0.2">
      <c r="A1026" s="3">
        <v>45991.921492997688</v>
      </c>
      <c r="B1026" t="s">
        <v>1225</v>
      </c>
      <c r="C1026" t="s">
        <v>143</v>
      </c>
      <c r="D1026" t="s">
        <v>129</v>
      </c>
      <c r="E1026">
        <v>0</v>
      </c>
      <c r="F1026">
        <v>0</v>
      </c>
      <c r="G1026" t="s">
        <v>2</v>
      </c>
      <c r="H1026" cm="1">
        <f t="array" ref="H1026">sentimentCalc(B1026)</f>
        <v>0</v>
      </c>
      <c r="I1026" s="5" t="str" cm="1">
        <f t="array" ref="I1026">sentimentCategory(H1026)</f>
        <v>Neutral</v>
      </c>
    </row>
    <row r="1027" spans="1:9" x14ac:dyDescent="0.2">
      <c r="A1027" s="3">
        <v>45992.921492997688</v>
      </c>
      <c r="B1027" t="s">
        <v>1226</v>
      </c>
      <c r="C1027" t="s">
        <v>7</v>
      </c>
      <c r="E1027">
        <v>0</v>
      </c>
      <c r="F1027">
        <v>0</v>
      </c>
      <c r="G1027" t="s">
        <v>2</v>
      </c>
      <c r="H1027" cm="1">
        <f t="array" ref="H1027">sentimentCalc(B1027)</f>
        <v>0</v>
      </c>
      <c r="I1027" s="5" t="str" cm="1">
        <f t="array" ref="I1027">sentimentCategory(H1027)</f>
        <v>Neutral</v>
      </c>
    </row>
    <row r="1028" spans="1:9" x14ac:dyDescent="0.2">
      <c r="A1028" s="3">
        <v>45993.921492997688</v>
      </c>
      <c r="B1028" t="s">
        <v>141</v>
      </c>
      <c r="C1028" t="s">
        <v>143</v>
      </c>
      <c r="D1028" t="s">
        <v>129</v>
      </c>
      <c r="E1028">
        <v>0</v>
      </c>
      <c r="F1028">
        <v>0</v>
      </c>
      <c r="G1028" t="s">
        <v>2</v>
      </c>
      <c r="H1028" cm="1">
        <f t="array" ref="H1028">sentimentCalc(B1028)</f>
        <v>0</v>
      </c>
      <c r="I1028" s="5" t="str" cm="1">
        <f t="array" ref="I1028">sentimentCategory(H1028)</f>
        <v>Neutral</v>
      </c>
    </row>
    <row r="1029" spans="1:9" x14ac:dyDescent="0.2">
      <c r="A1029" s="3">
        <v>45994.921492997688</v>
      </c>
      <c r="B1029" t="s">
        <v>1227</v>
      </c>
      <c r="C1029" t="s">
        <v>341</v>
      </c>
      <c r="D1029" t="s">
        <v>342</v>
      </c>
      <c r="E1029">
        <v>1</v>
      </c>
      <c r="F1029">
        <v>0</v>
      </c>
      <c r="G1029" t="s">
        <v>2</v>
      </c>
      <c r="H1029" cm="1">
        <f t="array" ref="H1029">sentimentCalc(B1029)</f>
        <v>20</v>
      </c>
      <c r="I1029" s="5" t="str" cm="1">
        <f t="array" ref="I1029">sentimentCategory(H1029)</f>
        <v>Positive</v>
      </c>
    </row>
    <row r="1030" spans="1:9" x14ac:dyDescent="0.2">
      <c r="A1030" s="3">
        <v>45995.921492997688</v>
      </c>
      <c r="B1030" t="s">
        <v>1228</v>
      </c>
      <c r="C1030" t="s">
        <v>1229</v>
      </c>
      <c r="E1030">
        <v>0</v>
      </c>
      <c r="F1030">
        <v>0</v>
      </c>
      <c r="G1030" t="s">
        <v>2</v>
      </c>
      <c r="H1030" cm="1">
        <f t="array" ref="H1030">sentimentCalc(B1030)</f>
        <v>10</v>
      </c>
      <c r="I1030" s="5" t="str" cm="1">
        <f t="array" ref="I1030">sentimentCategory(H1030)</f>
        <v>Positive</v>
      </c>
    </row>
    <row r="1031" spans="1:9" x14ac:dyDescent="0.2">
      <c r="A1031" s="3">
        <v>45996.921492997688</v>
      </c>
      <c r="B1031" t="s">
        <v>21</v>
      </c>
      <c r="C1031" t="s">
        <v>22</v>
      </c>
      <c r="E1031">
        <v>0</v>
      </c>
      <c r="F1031">
        <v>0</v>
      </c>
      <c r="G1031" t="s">
        <v>2</v>
      </c>
      <c r="H1031" cm="1">
        <f t="array" ref="H1031">sentimentCalc(B1031)</f>
        <v>0</v>
      </c>
      <c r="I1031" s="5" t="str" cm="1">
        <f t="array" ref="I1031">sentimentCategory(H1031)</f>
        <v>Neutral</v>
      </c>
    </row>
    <row r="1032" spans="1:9" x14ac:dyDescent="0.2">
      <c r="A1032" s="3">
        <v>45997.921492997688</v>
      </c>
      <c r="B1032" t="s">
        <v>414</v>
      </c>
      <c r="C1032" t="s">
        <v>1043</v>
      </c>
      <c r="E1032">
        <v>0</v>
      </c>
      <c r="F1032">
        <v>0</v>
      </c>
      <c r="G1032" t="s">
        <v>2</v>
      </c>
      <c r="H1032" cm="1">
        <f t="array" ref="H1032">sentimentCalc(B1032)</f>
        <v>10</v>
      </c>
      <c r="I1032" s="5" t="str" cm="1">
        <f t="array" ref="I1032">sentimentCategory(H1032)</f>
        <v>Positive</v>
      </c>
    </row>
    <row r="1033" spans="1:9" x14ac:dyDescent="0.2">
      <c r="A1033" s="3">
        <v>45998.921492997688</v>
      </c>
      <c r="B1033" t="s">
        <v>1230</v>
      </c>
      <c r="C1033" t="s">
        <v>1231</v>
      </c>
      <c r="D1033" t="s">
        <v>313</v>
      </c>
      <c r="E1033">
        <v>0</v>
      </c>
      <c r="F1033">
        <v>1</v>
      </c>
      <c r="G1033" t="s">
        <v>2</v>
      </c>
      <c r="H1033" cm="1">
        <f t="array" ref="H1033">sentimentCalc(B1033)</f>
        <v>0</v>
      </c>
      <c r="I1033" s="5" t="str" cm="1">
        <f t="array" ref="I1033">sentimentCategory(H1033)</f>
        <v>Neutral</v>
      </c>
    </row>
    <row r="1034" spans="1:9" x14ac:dyDescent="0.2">
      <c r="A1034" s="3">
        <v>45999.921492997688</v>
      </c>
      <c r="B1034" t="s">
        <v>1232</v>
      </c>
      <c r="C1034" t="s">
        <v>643</v>
      </c>
      <c r="E1034">
        <v>0</v>
      </c>
      <c r="F1034">
        <v>0</v>
      </c>
      <c r="G1034" t="s">
        <v>2</v>
      </c>
      <c r="H1034" cm="1">
        <f t="array" ref="H1034">sentimentCalc(B1034)</f>
        <v>0</v>
      </c>
      <c r="I1034" s="5" t="str" cm="1">
        <f t="array" ref="I1034">sentimentCategory(H1034)</f>
        <v>Neutral</v>
      </c>
    </row>
    <row r="1035" spans="1:9" x14ac:dyDescent="0.2">
      <c r="A1035" s="3">
        <v>46000.921492997688</v>
      </c>
      <c r="B1035" t="s">
        <v>1233</v>
      </c>
      <c r="C1035" t="s">
        <v>7</v>
      </c>
      <c r="E1035">
        <v>0</v>
      </c>
      <c r="F1035">
        <v>0</v>
      </c>
      <c r="G1035" t="s">
        <v>2</v>
      </c>
      <c r="H1035" cm="1">
        <f t="array" ref="H1035">sentimentCalc(B1035)</f>
        <v>0</v>
      </c>
      <c r="I1035" s="5" t="str" cm="1">
        <f t="array" ref="I1035">sentimentCategory(H1035)</f>
        <v>Neutral</v>
      </c>
    </row>
    <row r="1036" spans="1:9" x14ac:dyDescent="0.2">
      <c r="A1036" s="3">
        <v>46001.921492997688</v>
      </c>
      <c r="B1036" t="s">
        <v>1234</v>
      </c>
      <c r="C1036" t="s">
        <v>1235</v>
      </c>
      <c r="D1036" t="s">
        <v>1236</v>
      </c>
      <c r="E1036">
        <v>0</v>
      </c>
      <c r="F1036">
        <v>0</v>
      </c>
      <c r="G1036" t="s">
        <v>2</v>
      </c>
      <c r="H1036" cm="1">
        <f t="array" ref="H1036">sentimentCalc(B1036)</f>
        <v>-10</v>
      </c>
      <c r="I1036" s="5" t="str" cm="1">
        <f t="array" ref="I1036">sentimentCategory(H1036)</f>
        <v>Negative</v>
      </c>
    </row>
    <row r="1037" spans="1:9" x14ac:dyDescent="0.2">
      <c r="A1037" s="3">
        <v>46002.921492997688</v>
      </c>
      <c r="B1037" t="s">
        <v>1237</v>
      </c>
      <c r="C1037" t="s">
        <v>1017</v>
      </c>
      <c r="D1037" t="s">
        <v>1238</v>
      </c>
      <c r="E1037">
        <v>0</v>
      </c>
      <c r="F1037">
        <v>1</v>
      </c>
      <c r="G1037" t="s">
        <v>2</v>
      </c>
      <c r="H1037" cm="1">
        <f t="array" ref="H1037">sentimentCalc(B1037)</f>
        <v>0</v>
      </c>
      <c r="I1037" s="5" t="str" cm="1">
        <f t="array" ref="I1037">sentimentCategory(H1037)</f>
        <v>Neutral</v>
      </c>
    </row>
    <row r="1038" spans="1:9" x14ac:dyDescent="0.2">
      <c r="A1038" s="3">
        <v>46003.921492997688</v>
      </c>
      <c r="B1038" t="s">
        <v>1239</v>
      </c>
      <c r="C1038" t="s">
        <v>1240</v>
      </c>
      <c r="E1038">
        <v>0</v>
      </c>
      <c r="F1038">
        <v>0</v>
      </c>
      <c r="G1038" t="s">
        <v>2</v>
      </c>
      <c r="H1038" cm="1">
        <f t="array" ref="H1038">sentimentCalc(B1038)</f>
        <v>0</v>
      </c>
      <c r="I1038" s="5" t="str" cm="1">
        <f t="array" ref="I1038">sentimentCategory(H1038)</f>
        <v>Neutral</v>
      </c>
    </row>
    <row r="1039" spans="1:9" x14ac:dyDescent="0.2">
      <c r="A1039" s="3">
        <v>46004.921492997688</v>
      </c>
      <c r="B1039" t="s">
        <v>1241</v>
      </c>
      <c r="C1039" t="s">
        <v>7</v>
      </c>
      <c r="E1039">
        <v>0</v>
      </c>
      <c r="F1039">
        <v>0</v>
      </c>
      <c r="G1039" t="s">
        <v>2</v>
      </c>
      <c r="H1039" cm="1">
        <f t="array" ref="H1039">sentimentCalc(B1039)</f>
        <v>0</v>
      </c>
      <c r="I1039" s="5" t="str" cm="1">
        <f t="array" ref="I1039">sentimentCategory(H1039)</f>
        <v>Neutral</v>
      </c>
    </row>
    <row r="1040" spans="1:9" x14ac:dyDescent="0.2">
      <c r="A1040" s="3">
        <v>46005.921492997688</v>
      </c>
      <c r="B1040" t="s">
        <v>1242</v>
      </c>
      <c r="C1040" t="s">
        <v>1243</v>
      </c>
      <c r="D1040" t="s">
        <v>1244</v>
      </c>
      <c r="E1040">
        <v>2</v>
      </c>
      <c r="F1040">
        <v>4</v>
      </c>
      <c r="G1040" t="s">
        <v>2</v>
      </c>
      <c r="H1040" cm="1">
        <f t="array" ref="H1040">sentimentCalc(B1040)</f>
        <v>0</v>
      </c>
      <c r="I1040" s="5" t="str" cm="1">
        <f t="array" ref="I1040">sentimentCategory(H1040)</f>
        <v>Neutral</v>
      </c>
    </row>
    <row r="1041" spans="1:9" x14ac:dyDescent="0.2">
      <c r="A1041" s="3">
        <v>46006.921492997688</v>
      </c>
      <c r="B1041" t="s">
        <v>1245</v>
      </c>
      <c r="C1041" t="s">
        <v>1246</v>
      </c>
      <c r="E1041">
        <v>0</v>
      </c>
      <c r="F1041">
        <v>0</v>
      </c>
      <c r="G1041" t="s">
        <v>2</v>
      </c>
      <c r="H1041" cm="1">
        <f t="array" ref="H1041">sentimentCalc(B1041)</f>
        <v>0</v>
      </c>
      <c r="I1041" s="5" t="str" cm="1">
        <f t="array" ref="I1041">sentimentCategory(H1041)</f>
        <v>Neutral</v>
      </c>
    </row>
    <row r="1042" spans="1:9" x14ac:dyDescent="0.2">
      <c r="A1042" s="3">
        <v>46007.921492997688</v>
      </c>
      <c r="B1042" t="s">
        <v>1247</v>
      </c>
      <c r="C1042" t="s">
        <v>1201</v>
      </c>
      <c r="D1042" t="s">
        <v>1248</v>
      </c>
      <c r="E1042">
        <v>1</v>
      </c>
      <c r="F1042">
        <v>1</v>
      </c>
      <c r="G1042" t="s">
        <v>2</v>
      </c>
      <c r="H1042" cm="1">
        <f t="array" ref="H1042">sentimentCalc(B1042)</f>
        <v>-10</v>
      </c>
      <c r="I1042" s="5" t="str" cm="1">
        <f t="array" ref="I1042">sentimentCategory(H1042)</f>
        <v>Negative</v>
      </c>
    </row>
    <row r="1043" spans="1:9" x14ac:dyDescent="0.2">
      <c r="A1043" s="3">
        <v>46008.921492997688</v>
      </c>
      <c r="B1043" t="s">
        <v>1249</v>
      </c>
      <c r="C1043" t="s">
        <v>7</v>
      </c>
      <c r="E1043">
        <v>0</v>
      </c>
      <c r="F1043">
        <v>0</v>
      </c>
      <c r="G1043" t="s">
        <v>2</v>
      </c>
      <c r="H1043" cm="1">
        <f t="array" ref="H1043">sentimentCalc(B1043)</f>
        <v>0</v>
      </c>
      <c r="I1043" s="5" t="str" cm="1">
        <f t="array" ref="I1043">sentimentCategory(H1043)</f>
        <v>Neutral</v>
      </c>
    </row>
    <row r="1044" spans="1:9" x14ac:dyDescent="0.2">
      <c r="A1044" s="3">
        <v>46009.921492997688</v>
      </c>
      <c r="B1044" t="s">
        <v>1250</v>
      </c>
      <c r="C1044" t="s">
        <v>1243</v>
      </c>
      <c r="D1044" t="s">
        <v>1244</v>
      </c>
      <c r="E1044">
        <v>1</v>
      </c>
      <c r="F1044">
        <v>3</v>
      </c>
      <c r="G1044" t="s">
        <v>2</v>
      </c>
      <c r="H1044" cm="1">
        <f t="array" ref="H1044">sentimentCalc(B1044)</f>
        <v>0</v>
      </c>
      <c r="I1044" s="5" t="str" cm="1">
        <f t="array" ref="I1044">sentimentCategory(H1044)</f>
        <v>Neutral</v>
      </c>
    </row>
    <row r="1045" spans="1:9" x14ac:dyDescent="0.2">
      <c r="A1045" s="3">
        <v>46010.921492997688</v>
      </c>
      <c r="B1045" t="s">
        <v>1251</v>
      </c>
      <c r="C1045" t="s">
        <v>7</v>
      </c>
      <c r="E1045">
        <v>0</v>
      </c>
      <c r="F1045">
        <v>0</v>
      </c>
      <c r="G1045" t="s">
        <v>2</v>
      </c>
      <c r="H1045" cm="1">
        <f t="array" ref="H1045">sentimentCalc(B1045)</f>
        <v>0</v>
      </c>
      <c r="I1045" s="5" t="str" cm="1">
        <f t="array" ref="I1045">sentimentCategory(H1045)</f>
        <v>Neutral</v>
      </c>
    </row>
    <row r="1046" spans="1:9" x14ac:dyDescent="0.2">
      <c r="A1046" s="3">
        <v>46011.921492997688</v>
      </c>
      <c r="B1046" t="s">
        <v>347</v>
      </c>
      <c r="C1046" t="s">
        <v>143</v>
      </c>
      <c r="D1046" t="s">
        <v>129</v>
      </c>
      <c r="E1046">
        <v>0</v>
      </c>
      <c r="F1046">
        <v>0</v>
      </c>
      <c r="G1046" t="s">
        <v>2</v>
      </c>
      <c r="H1046" cm="1">
        <f t="array" ref="H1046">sentimentCalc(B1046)</f>
        <v>-10</v>
      </c>
      <c r="I1046" s="5" t="str" cm="1">
        <f t="array" ref="I1046">sentimentCategory(H1046)</f>
        <v>Negative</v>
      </c>
    </row>
    <row r="1047" spans="1:9" x14ac:dyDescent="0.2">
      <c r="A1047" s="3">
        <v>46012.921492997688</v>
      </c>
      <c r="B1047" t="s">
        <v>1252</v>
      </c>
      <c r="C1047" t="s">
        <v>7</v>
      </c>
      <c r="E1047">
        <v>0</v>
      </c>
      <c r="F1047">
        <v>0</v>
      </c>
      <c r="G1047" t="s">
        <v>2</v>
      </c>
      <c r="H1047" cm="1">
        <f t="array" ref="H1047">sentimentCalc(B1047)</f>
        <v>0</v>
      </c>
      <c r="I1047" s="5" t="str" cm="1">
        <f t="array" ref="I1047">sentimentCategory(H1047)</f>
        <v>Neutral</v>
      </c>
    </row>
    <row r="1048" spans="1:9" x14ac:dyDescent="0.2">
      <c r="A1048" s="3">
        <v>46013.921492997688</v>
      </c>
      <c r="B1048" t="s">
        <v>36</v>
      </c>
      <c r="C1048" t="s">
        <v>33</v>
      </c>
      <c r="D1048" t="s">
        <v>34</v>
      </c>
      <c r="E1048">
        <v>0</v>
      </c>
      <c r="F1048">
        <v>0</v>
      </c>
      <c r="G1048" t="s">
        <v>2</v>
      </c>
      <c r="H1048" cm="1">
        <f t="array" ref="H1048">sentimentCalc(B1048)</f>
        <v>10</v>
      </c>
      <c r="I1048" s="5" t="str" cm="1">
        <f t="array" ref="I1048">sentimentCategory(H1048)</f>
        <v>Positive</v>
      </c>
    </row>
    <row r="1049" spans="1:9" x14ac:dyDescent="0.2">
      <c r="A1049" s="3">
        <v>46014.921492997688</v>
      </c>
      <c r="B1049" t="s">
        <v>1253</v>
      </c>
      <c r="C1049" t="s">
        <v>33</v>
      </c>
      <c r="D1049" t="s">
        <v>34</v>
      </c>
      <c r="E1049">
        <v>0</v>
      </c>
      <c r="F1049">
        <v>0</v>
      </c>
      <c r="G1049" t="s">
        <v>2</v>
      </c>
      <c r="H1049" cm="1">
        <f t="array" ref="H1049">sentimentCalc(B1049)</f>
        <v>0</v>
      </c>
      <c r="I1049" s="5" t="str" cm="1">
        <f t="array" ref="I1049">sentimentCategory(H1049)</f>
        <v>Neutral</v>
      </c>
    </row>
    <row r="1050" spans="1:9" x14ac:dyDescent="0.2">
      <c r="A1050" s="3"/>
      <c r="H1050" cm="1">
        <f t="array" ref="H1050">sentimentCalc(B1050)</f>
        <v>0</v>
      </c>
      <c r="I1050" s="5" t="str" cm="1">
        <f t="array" ref="I1050">sentimentCategory(H1050)</f>
        <v>Neutral</v>
      </c>
    </row>
    <row r="1051" spans="1:9" x14ac:dyDescent="0.2">
      <c r="A1051" s="3">
        <v>46016.921492997688</v>
      </c>
      <c r="B1051" t="s">
        <v>37</v>
      </c>
      <c r="C1051" t="s">
        <v>33</v>
      </c>
      <c r="D1051" t="s">
        <v>34</v>
      </c>
      <c r="E1051">
        <v>0</v>
      </c>
      <c r="F1051">
        <v>0</v>
      </c>
      <c r="G1051" t="s">
        <v>2</v>
      </c>
      <c r="H1051" cm="1">
        <f t="array" ref="H1051">sentimentCalc(B1051)</f>
        <v>0</v>
      </c>
      <c r="I1051" s="5" t="str" cm="1">
        <f t="array" ref="I1051">sentimentCategory(H1051)</f>
        <v>Neutral</v>
      </c>
    </row>
    <row r="1052" spans="1:9" x14ac:dyDescent="0.2">
      <c r="A1052" s="3">
        <v>46017.921492997688</v>
      </c>
      <c r="B1052" t="s">
        <v>287</v>
      </c>
      <c r="C1052" t="s">
        <v>33</v>
      </c>
      <c r="D1052" t="s">
        <v>34</v>
      </c>
      <c r="E1052">
        <v>0</v>
      </c>
      <c r="F1052">
        <v>0</v>
      </c>
      <c r="G1052" t="s">
        <v>2</v>
      </c>
      <c r="H1052" cm="1">
        <f t="array" ref="H1052">sentimentCalc(B1052)</f>
        <v>0</v>
      </c>
      <c r="I1052" s="5" t="str" cm="1">
        <f t="array" ref="I1052">sentimentCategory(H1052)</f>
        <v>Neutral</v>
      </c>
    </row>
    <row r="1053" spans="1:9" x14ac:dyDescent="0.2">
      <c r="A1053" s="3">
        <v>46018.921492997688</v>
      </c>
      <c r="B1053" t="s">
        <v>1254</v>
      </c>
      <c r="C1053" t="s">
        <v>7</v>
      </c>
      <c r="E1053">
        <v>0</v>
      </c>
      <c r="F1053">
        <v>0</v>
      </c>
      <c r="G1053" t="s">
        <v>2</v>
      </c>
      <c r="H1053" cm="1">
        <f t="array" ref="H1053">sentimentCalc(B1053)</f>
        <v>0</v>
      </c>
      <c r="I1053" s="5" t="str" cm="1">
        <f t="array" ref="I1053">sentimentCategory(H1053)</f>
        <v>Neutral</v>
      </c>
    </row>
    <row r="1054" spans="1:9" x14ac:dyDescent="0.2">
      <c r="A1054" s="3">
        <v>46019.921492997688</v>
      </c>
      <c r="B1054" t="s">
        <v>1255</v>
      </c>
      <c r="C1054" t="s">
        <v>143</v>
      </c>
      <c r="D1054" t="s">
        <v>129</v>
      </c>
      <c r="E1054">
        <v>0</v>
      </c>
      <c r="F1054">
        <v>0</v>
      </c>
      <c r="G1054" t="s">
        <v>2</v>
      </c>
      <c r="H1054" cm="1">
        <f t="array" ref="H1054">sentimentCalc(B1054)</f>
        <v>-10</v>
      </c>
      <c r="I1054" s="5" t="str" cm="1">
        <f t="array" ref="I1054">sentimentCategory(H1054)</f>
        <v>Negative</v>
      </c>
    </row>
    <row r="1055" spans="1:9" x14ac:dyDescent="0.2">
      <c r="A1055" s="3">
        <v>46020.921492997688</v>
      </c>
      <c r="B1055" t="s">
        <v>1256</v>
      </c>
      <c r="C1055" t="s">
        <v>18</v>
      </c>
      <c r="E1055">
        <v>0</v>
      </c>
      <c r="F1055">
        <v>1</v>
      </c>
      <c r="G1055" t="s">
        <v>2</v>
      </c>
      <c r="H1055" cm="1">
        <f t="array" ref="H1055">sentimentCalc(B1055)</f>
        <v>0</v>
      </c>
      <c r="I1055" s="5" t="str" cm="1">
        <f t="array" ref="I1055">sentimentCategory(H1055)</f>
        <v>Neutral</v>
      </c>
    </row>
    <row r="1056" spans="1:9" x14ac:dyDescent="0.2">
      <c r="A1056" s="3">
        <v>46021.921492997688</v>
      </c>
      <c r="B1056" t="s">
        <v>1257</v>
      </c>
      <c r="C1056" t="s">
        <v>7</v>
      </c>
      <c r="E1056">
        <v>0</v>
      </c>
      <c r="F1056">
        <v>0</v>
      </c>
      <c r="G1056" t="s">
        <v>2</v>
      </c>
      <c r="H1056" cm="1">
        <f t="array" ref="H1056">sentimentCalc(B1056)</f>
        <v>0</v>
      </c>
      <c r="I1056" s="5" t="str" cm="1">
        <f t="array" ref="I1056">sentimentCategory(H1056)</f>
        <v>Neutral</v>
      </c>
    </row>
    <row r="1057" spans="1:9" x14ac:dyDescent="0.2">
      <c r="A1057" s="3">
        <v>46022.921492997688</v>
      </c>
      <c r="B1057" t="s">
        <v>1258</v>
      </c>
      <c r="C1057" t="s">
        <v>1259</v>
      </c>
      <c r="E1057">
        <v>0</v>
      </c>
      <c r="F1057">
        <v>2</v>
      </c>
      <c r="G1057" t="s">
        <v>2</v>
      </c>
      <c r="H1057" cm="1">
        <f t="array" ref="H1057">sentimentCalc(B1057)</f>
        <v>0</v>
      </c>
      <c r="I1057" s="5" t="str" cm="1">
        <f t="array" ref="I1057">sentimentCategory(H1057)</f>
        <v>Neutral</v>
      </c>
    </row>
    <row r="1058" spans="1:9" x14ac:dyDescent="0.2">
      <c r="A1058" s="3">
        <v>46023.921492997688</v>
      </c>
      <c r="B1058" t="s">
        <v>1260</v>
      </c>
      <c r="C1058" t="s">
        <v>7</v>
      </c>
      <c r="E1058">
        <v>0</v>
      </c>
      <c r="F1058">
        <v>0</v>
      </c>
      <c r="G1058" t="s">
        <v>2</v>
      </c>
      <c r="H1058" cm="1">
        <f t="array" ref="H1058">sentimentCalc(B1058)</f>
        <v>0</v>
      </c>
      <c r="I1058" s="5" t="str" cm="1">
        <f t="array" ref="I1058">sentimentCategory(H1058)</f>
        <v>Neutral</v>
      </c>
    </row>
    <row r="1059" spans="1:9" x14ac:dyDescent="0.2">
      <c r="A1059" s="3">
        <v>46024.921492997688</v>
      </c>
      <c r="B1059" t="s">
        <v>3</v>
      </c>
      <c r="C1059" t="s">
        <v>4</v>
      </c>
      <c r="D1059" t="s">
        <v>5</v>
      </c>
      <c r="E1059">
        <v>0</v>
      </c>
      <c r="F1059">
        <v>0</v>
      </c>
      <c r="G1059" t="s">
        <v>2</v>
      </c>
      <c r="H1059" cm="1">
        <f t="array" ref="H1059">sentimentCalc(B1059)</f>
        <v>0</v>
      </c>
      <c r="I1059" s="5" t="str" cm="1">
        <f t="array" ref="I1059">sentimentCategory(H1059)</f>
        <v>Neutral</v>
      </c>
    </row>
    <row r="1060" spans="1:9" x14ac:dyDescent="0.2">
      <c r="A1060" s="3">
        <v>46025.921492997688</v>
      </c>
      <c r="B1060" t="s">
        <v>1261</v>
      </c>
      <c r="C1060" t="s">
        <v>1262</v>
      </c>
      <c r="E1060">
        <v>0</v>
      </c>
      <c r="F1060">
        <v>0</v>
      </c>
      <c r="G1060" t="s">
        <v>2</v>
      </c>
      <c r="H1060" cm="1">
        <f t="array" ref="H1060">sentimentCalc(B1060)</f>
        <v>0</v>
      </c>
      <c r="I1060" s="5" t="str" cm="1">
        <f t="array" ref="I1060">sentimentCategory(H1060)</f>
        <v>Neutral</v>
      </c>
    </row>
    <row r="1061" spans="1:9" x14ac:dyDescent="0.2">
      <c r="A1061" s="3">
        <v>46026.921492997688</v>
      </c>
      <c r="B1061" t="s">
        <v>1263</v>
      </c>
      <c r="C1061" t="s">
        <v>1264</v>
      </c>
      <c r="E1061">
        <v>0</v>
      </c>
      <c r="F1061">
        <v>0</v>
      </c>
      <c r="G1061" t="s">
        <v>2</v>
      </c>
      <c r="H1061" cm="1">
        <f t="array" ref="H1061">sentimentCalc(B1061)</f>
        <v>0</v>
      </c>
      <c r="I1061" s="5" t="str" cm="1">
        <f t="array" ref="I1061">sentimentCategory(H1061)</f>
        <v>Neutral</v>
      </c>
    </row>
    <row r="1062" spans="1:9" x14ac:dyDescent="0.2">
      <c r="A1062" s="3">
        <v>46027.921492997688</v>
      </c>
      <c r="B1062" t="s">
        <v>1265</v>
      </c>
      <c r="C1062" t="s">
        <v>747</v>
      </c>
      <c r="D1062" t="s">
        <v>1266</v>
      </c>
      <c r="E1062">
        <v>0</v>
      </c>
      <c r="F1062">
        <v>3</v>
      </c>
      <c r="G1062" t="s">
        <v>2</v>
      </c>
      <c r="H1062" cm="1">
        <f t="array" ref="H1062">sentimentCalc(B1062)</f>
        <v>-10</v>
      </c>
      <c r="I1062" s="5" t="str" cm="1">
        <f t="array" ref="I1062">sentimentCategory(H1062)</f>
        <v>Negative</v>
      </c>
    </row>
    <row r="1063" spans="1:9" x14ac:dyDescent="0.2">
      <c r="A1063" s="3">
        <v>46028.921492997688</v>
      </c>
      <c r="B1063" t="s">
        <v>1267</v>
      </c>
      <c r="C1063" t="s">
        <v>1268</v>
      </c>
      <c r="D1063" t="s">
        <v>1269</v>
      </c>
      <c r="E1063">
        <v>0</v>
      </c>
      <c r="F1063">
        <v>0</v>
      </c>
      <c r="G1063" t="s">
        <v>2</v>
      </c>
      <c r="H1063" cm="1">
        <f t="array" ref="H1063">sentimentCalc(B1063)</f>
        <v>0</v>
      </c>
      <c r="I1063" s="5" t="str" cm="1">
        <f t="array" ref="I1063">sentimentCategory(H1063)</f>
        <v>Neutral</v>
      </c>
    </row>
    <row r="1064" spans="1:9" x14ac:dyDescent="0.2">
      <c r="A1064" s="3">
        <v>46029.921492997688</v>
      </c>
      <c r="B1064" t="s">
        <v>475</v>
      </c>
      <c r="C1064" t="s">
        <v>128</v>
      </c>
      <c r="D1064" t="s">
        <v>129</v>
      </c>
      <c r="E1064">
        <v>0</v>
      </c>
      <c r="F1064">
        <v>0</v>
      </c>
      <c r="G1064" t="s">
        <v>2</v>
      </c>
      <c r="H1064" cm="1">
        <f t="array" ref="H1064">sentimentCalc(B1064)</f>
        <v>-10</v>
      </c>
      <c r="I1064" s="5" t="str" cm="1">
        <f t="array" ref="I1064">sentimentCategory(H1064)</f>
        <v>Negative</v>
      </c>
    </row>
    <row r="1065" spans="1:9" x14ac:dyDescent="0.2">
      <c r="A1065" s="3">
        <v>46030.921492997688</v>
      </c>
      <c r="B1065" t="s">
        <v>1270</v>
      </c>
      <c r="C1065" t="s">
        <v>7</v>
      </c>
      <c r="E1065">
        <v>0</v>
      </c>
      <c r="F1065">
        <v>0</v>
      </c>
      <c r="G1065" t="s">
        <v>2</v>
      </c>
      <c r="H1065" cm="1">
        <f t="array" ref="H1065">sentimentCalc(B1065)</f>
        <v>0</v>
      </c>
      <c r="I1065" s="5" t="str" cm="1">
        <f t="array" ref="I1065">sentimentCategory(H1065)</f>
        <v>Neutral</v>
      </c>
    </row>
    <row r="1066" spans="1:9" x14ac:dyDescent="0.2">
      <c r="A1066" s="3"/>
      <c r="H1066" cm="1">
        <f t="array" ref="H1066">sentimentCalc(B1066)</f>
        <v>0</v>
      </c>
      <c r="I1066" s="5" t="str" cm="1">
        <f t="array" ref="I1066">sentimentCategory(H1066)</f>
        <v>Neutral</v>
      </c>
    </row>
    <row r="1067" spans="1:9" x14ac:dyDescent="0.2">
      <c r="A1067" s="3">
        <v>46032.921492997688</v>
      </c>
      <c r="B1067" t="s">
        <v>370</v>
      </c>
      <c r="C1067" t="s">
        <v>143</v>
      </c>
      <c r="D1067" t="s">
        <v>129</v>
      </c>
      <c r="E1067">
        <v>0</v>
      </c>
      <c r="F1067">
        <v>0</v>
      </c>
      <c r="G1067" t="s">
        <v>2</v>
      </c>
      <c r="H1067" cm="1">
        <f t="array" ref="H1067">sentimentCalc(B1067)</f>
        <v>-10</v>
      </c>
      <c r="I1067" s="5" t="str" cm="1">
        <f t="array" ref="I1067">sentimentCategory(H1067)</f>
        <v>Negative</v>
      </c>
    </row>
    <row r="1068" spans="1:9" x14ac:dyDescent="0.2">
      <c r="A1068" s="3">
        <v>46033.921492997688</v>
      </c>
      <c r="B1068" t="s">
        <v>475</v>
      </c>
      <c r="C1068" t="s">
        <v>143</v>
      </c>
      <c r="D1068" t="s">
        <v>129</v>
      </c>
      <c r="E1068">
        <v>0</v>
      </c>
      <c r="F1068">
        <v>0</v>
      </c>
      <c r="G1068" t="s">
        <v>2</v>
      </c>
      <c r="H1068" cm="1">
        <f t="array" ref="H1068">sentimentCalc(B1068)</f>
        <v>-10</v>
      </c>
      <c r="I1068" s="5" t="str" cm="1">
        <f t="array" ref="I1068">sentimentCategory(H1068)</f>
        <v>Negative</v>
      </c>
    </row>
    <row r="1069" spans="1:9" x14ac:dyDescent="0.2">
      <c r="A1069" s="3">
        <v>46034.921492997688</v>
      </c>
      <c r="B1069" t="s">
        <v>1271</v>
      </c>
      <c r="C1069" t="s">
        <v>710</v>
      </c>
      <c r="E1069">
        <v>0</v>
      </c>
      <c r="F1069">
        <v>0</v>
      </c>
      <c r="G1069" t="s">
        <v>2</v>
      </c>
      <c r="H1069" cm="1">
        <f t="array" ref="H1069">sentimentCalc(B1069)</f>
        <v>0</v>
      </c>
      <c r="I1069" s="5" t="str" cm="1">
        <f t="array" ref="I1069">sentimentCategory(H1069)</f>
        <v>Neutral</v>
      </c>
    </row>
    <row r="1070" spans="1:9" x14ac:dyDescent="0.2">
      <c r="A1070" s="3">
        <v>46035.921492997688</v>
      </c>
      <c r="B1070" t="s">
        <v>1272</v>
      </c>
      <c r="C1070" t="s">
        <v>286</v>
      </c>
      <c r="E1070">
        <v>0</v>
      </c>
      <c r="F1070">
        <v>0</v>
      </c>
      <c r="G1070" t="s">
        <v>2</v>
      </c>
      <c r="H1070" cm="1">
        <f t="array" ref="H1070">sentimentCalc(B1070)</f>
        <v>0</v>
      </c>
      <c r="I1070" s="5" t="str" cm="1">
        <f t="array" ref="I1070">sentimentCategory(H1070)</f>
        <v>Neutral</v>
      </c>
    </row>
    <row r="1071" spans="1:9" x14ac:dyDescent="0.2">
      <c r="A1071" s="3">
        <v>46036.921492997688</v>
      </c>
      <c r="B1071" t="s">
        <v>1273</v>
      </c>
      <c r="C1071" t="s">
        <v>1196</v>
      </c>
      <c r="D1071" t="s">
        <v>1274</v>
      </c>
      <c r="E1071">
        <v>0</v>
      </c>
      <c r="F1071">
        <v>0</v>
      </c>
      <c r="G1071" t="s">
        <v>2</v>
      </c>
      <c r="H1071" cm="1">
        <f t="array" ref="H1071">sentimentCalc(B1071)</f>
        <v>0</v>
      </c>
      <c r="I1071" s="5" t="str" cm="1">
        <f t="array" ref="I1071">sentimentCategory(H1071)</f>
        <v>Neutral</v>
      </c>
    </row>
    <row r="1072" spans="1:9" x14ac:dyDescent="0.2">
      <c r="A1072" s="3"/>
      <c r="H1072" cm="1">
        <f t="array" ref="H1072">sentimentCalc(B1072)</f>
        <v>0</v>
      </c>
      <c r="I1072" s="5" t="str" cm="1">
        <f t="array" ref="I1072">sentimentCategory(H1072)</f>
        <v>Neutral</v>
      </c>
    </row>
    <row r="1073" spans="1:9" x14ac:dyDescent="0.2">
      <c r="A1073" s="3">
        <v>46038.921492997688</v>
      </c>
      <c r="B1073" t="s">
        <v>326</v>
      </c>
      <c r="C1073" t="s">
        <v>143</v>
      </c>
      <c r="D1073" t="s">
        <v>129</v>
      </c>
      <c r="E1073">
        <v>0</v>
      </c>
      <c r="F1073">
        <v>0</v>
      </c>
      <c r="G1073" t="s">
        <v>2</v>
      </c>
      <c r="H1073" cm="1">
        <f t="array" ref="H1073">sentimentCalc(B1073)</f>
        <v>-10</v>
      </c>
      <c r="I1073" s="5" t="str" cm="1">
        <f t="array" ref="I1073">sentimentCategory(H1073)</f>
        <v>Negative</v>
      </c>
    </row>
    <row r="1074" spans="1:9" x14ac:dyDescent="0.2">
      <c r="A1074" s="3">
        <v>46039.921492997688</v>
      </c>
      <c r="B1074" t="s">
        <v>169</v>
      </c>
      <c r="C1074" t="s">
        <v>143</v>
      </c>
      <c r="D1074" t="s">
        <v>129</v>
      </c>
      <c r="E1074">
        <v>0</v>
      </c>
      <c r="F1074">
        <v>0</v>
      </c>
      <c r="G1074" t="s">
        <v>2</v>
      </c>
      <c r="H1074" cm="1">
        <f t="array" ref="H1074">sentimentCalc(B1074)</f>
        <v>0</v>
      </c>
      <c r="I1074" s="5" t="str" cm="1">
        <f t="array" ref="I1074">sentimentCategory(H1074)</f>
        <v>Neutral</v>
      </c>
    </row>
    <row r="1075" spans="1:9" x14ac:dyDescent="0.2">
      <c r="A1075" s="3">
        <v>46040.921492997688</v>
      </c>
      <c r="B1075" t="s">
        <v>1275</v>
      </c>
      <c r="C1075" t="s">
        <v>1276</v>
      </c>
      <c r="E1075">
        <v>0</v>
      </c>
      <c r="F1075">
        <v>0</v>
      </c>
      <c r="G1075" t="s">
        <v>2</v>
      </c>
      <c r="H1075" cm="1">
        <f t="array" ref="H1075">sentimentCalc(B1075)</f>
        <v>0</v>
      </c>
      <c r="I1075" s="5" t="str" cm="1">
        <f t="array" ref="I1075">sentimentCategory(H1075)</f>
        <v>Neutral</v>
      </c>
    </row>
    <row r="1076" spans="1:9" x14ac:dyDescent="0.2">
      <c r="A1076" s="3">
        <v>46041.921492997688</v>
      </c>
      <c r="B1076" t="s">
        <v>1277</v>
      </c>
      <c r="C1076" t="s">
        <v>643</v>
      </c>
      <c r="E1076">
        <v>0</v>
      </c>
      <c r="F1076">
        <v>0</v>
      </c>
      <c r="G1076" t="s">
        <v>2</v>
      </c>
      <c r="H1076" cm="1">
        <f t="array" ref="H1076">sentimentCalc(B1076)</f>
        <v>0</v>
      </c>
      <c r="I1076" s="5" t="str" cm="1">
        <f t="array" ref="I1076">sentimentCategory(H1076)</f>
        <v>Neutral</v>
      </c>
    </row>
    <row r="1077" spans="1:9" x14ac:dyDescent="0.2">
      <c r="A1077" s="3">
        <v>46042.921492997688</v>
      </c>
      <c r="B1077" t="s">
        <v>1278</v>
      </c>
      <c r="C1077" t="s">
        <v>143</v>
      </c>
      <c r="D1077" t="s">
        <v>129</v>
      </c>
      <c r="E1077">
        <v>0</v>
      </c>
      <c r="F1077">
        <v>0</v>
      </c>
      <c r="G1077" t="s">
        <v>2</v>
      </c>
      <c r="H1077" cm="1">
        <f t="array" ref="H1077">sentimentCalc(B1077)</f>
        <v>-10</v>
      </c>
      <c r="I1077" s="5" t="str" cm="1">
        <f t="array" ref="I1077">sentimentCategory(H1077)</f>
        <v>Negative</v>
      </c>
    </row>
    <row r="1078" spans="1:9" x14ac:dyDescent="0.2">
      <c r="A1078" s="3">
        <v>46043.921492997688</v>
      </c>
      <c r="B1078" t="s">
        <v>179</v>
      </c>
      <c r="C1078" t="s">
        <v>128</v>
      </c>
      <c r="D1078" t="s">
        <v>129</v>
      </c>
      <c r="E1078">
        <v>0</v>
      </c>
      <c r="F1078">
        <v>0</v>
      </c>
      <c r="G1078" t="s">
        <v>2</v>
      </c>
      <c r="H1078" cm="1">
        <f t="array" ref="H1078">sentimentCalc(B1078)</f>
        <v>-10</v>
      </c>
      <c r="I1078" s="5" t="str" cm="1">
        <f t="array" ref="I1078">sentimentCategory(H1078)</f>
        <v>Negative</v>
      </c>
    </row>
    <row r="1079" spans="1:9" x14ac:dyDescent="0.2">
      <c r="A1079" s="3"/>
      <c r="H1079" cm="1">
        <f t="array" ref="H1079">sentimentCalc(B1079)</f>
        <v>0</v>
      </c>
      <c r="I1079" s="5" t="str" cm="1">
        <f t="array" ref="I1079">sentimentCategory(H1079)</f>
        <v>Neutral</v>
      </c>
    </row>
    <row r="1080" spans="1:9" x14ac:dyDescent="0.2">
      <c r="A1080" s="3">
        <v>46045.921492997688</v>
      </c>
      <c r="B1080" t="s">
        <v>396</v>
      </c>
      <c r="C1080" t="s">
        <v>143</v>
      </c>
      <c r="D1080" t="s">
        <v>129</v>
      </c>
      <c r="E1080">
        <v>0</v>
      </c>
      <c r="F1080">
        <v>0</v>
      </c>
      <c r="G1080" t="s">
        <v>2</v>
      </c>
      <c r="H1080" cm="1">
        <f t="array" ref="H1080">sentimentCalc(B1080)</f>
        <v>0</v>
      </c>
      <c r="I1080" s="5" t="str" cm="1">
        <f t="array" ref="I1080">sentimentCategory(H1080)</f>
        <v>Neutral</v>
      </c>
    </row>
    <row r="1081" spans="1:9" x14ac:dyDescent="0.2">
      <c r="A1081" s="3">
        <v>46046.921492997688</v>
      </c>
      <c r="B1081" t="s">
        <v>337</v>
      </c>
      <c r="C1081" t="s">
        <v>143</v>
      </c>
      <c r="D1081" t="s">
        <v>129</v>
      </c>
      <c r="E1081">
        <v>0</v>
      </c>
      <c r="F1081">
        <v>0</v>
      </c>
      <c r="G1081" t="s">
        <v>2</v>
      </c>
      <c r="H1081" cm="1">
        <f t="array" ref="H1081">sentimentCalc(B1081)</f>
        <v>0</v>
      </c>
      <c r="I1081" s="5" t="str" cm="1">
        <f t="array" ref="I1081">sentimentCategory(H1081)</f>
        <v>Neutral</v>
      </c>
    </row>
    <row r="1082" spans="1:9" x14ac:dyDescent="0.2">
      <c r="A1082" s="3">
        <v>46047.921492997688</v>
      </c>
      <c r="B1082" t="s">
        <v>1279</v>
      </c>
      <c r="C1082" t="s">
        <v>1280</v>
      </c>
      <c r="D1082" t="s">
        <v>1281</v>
      </c>
      <c r="E1082">
        <v>0</v>
      </c>
      <c r="F1082">
        <v>0</v>
      </c>
      <c r="G1082" t="s">
        <v>2</v>
      </c>
      <c r="H1082" cm="1">
        <f t="array" ref="H1082">sentimentCalc(B1082)</f>
        <v>10</v>
      </c>
      <c r="I1082" s="5" t="str" cm="1">
        <f t="array" ref="I1082">sentimentCategory(H1082)</f>
        <v>Positive</v>
      </c>
    </row>
    <row r="1083" spans="1:9" x14ac:dyDescent="0.2">
      <c r="A1083" s="3">
        <v>46048.921492997688</v>
      </c>
      <c r="B1083" t="s">
        <v>476</v>
      </c>
      <c r="C1083" t="s">
        <v>143</v>
      </c>
      <c r="D1083" t="s">
        <v>129</v>
      </c>
      <c r="E1083">
        <v>0</v>
      </c>
      <c r="F1083">
        <v>0</v>
      </c>
      <c r="G1083" t="s">
        <v>2</v>
      </c>
      <c r="H1083" cm="1">
        <f t="array" ref="H1083">sentimentCalc(B1083)</f>
        <v>-10</v>
      </c>
      <c r="I1083" s="5" t="str" cm="1">
        <f t="array" ref="I1083">sentimentCategory(H1083)</f>
        <v>Negative</v>
      </c>
    </row>
    <row r="1084" spans="1:9" x14ac:dyDescent="0.2">
      <c r="A1084" s="3">
        <v>46049.921492997688</v>
      </c>
      <c r="B1084" t="s">
        <v>1282</v>
      </c>
      <c r="C1084" t="s">
        <v>7</v>
      </c>
      <c r="E1084">
        <v>0</v>
      </c>
      <c r="F1084">
        <v>0</v>
      </c>
      <c r="G1084" t="s">
        <v>2</v>
      </c>
      <c r="H1084" cm="1">
        <f t="array" ref="H1084">sentimentCalc(B1084)</f>
        <v>0</v>
      </c>
      <c r="I1084" s="5" t="str" cm="1">
        <f t="array" ref="I1084">sentimentCategory(H1084)</f>
        <v>Neutral</v>
      </c>
    </row>
    <row r="1085" spans="1:9" x14ac:dyDescent="0.2">
      <c r="A1085" s="3">
        <v>46050.921492997688</v>
      </c>
      <c r="B1085" t="s">
        <v>1283</v>
      </c>
      <c r="C1085" t="s">
        <v>1284</v>
      </c>
      <c r="D1085" t="s">
        <v>1285</v>
      </c>
      <c r="E1085">
        <v>1</v>
      </c>
      <c r="F1085">
        <v>1</v>
      </c>
      <c r="G1085" t="s">
        <v>2</v>
      </c>
      <c r="H1085" cm="1">
        <f t="array" ref="H1085">sentimentCalc(B1085)</f>
        <v>0</v>
      </c>
      <c r="I1085" s="5" t="str" cm="1">
        <f t="array" ref="I1085">sentimentCategory(H1085)</f>
        <v>Neutral</v>
      </c>
    </row>
    <row r="1086" spans="1:9" x14ac:dyDescent="0.2">
      <c r="A1086" s="3">
        <v>46051.921492997688</v>
      </c>
      <c r="B1086" t="s">
        <v>1286</v>
      </c>
      <c r="C1086" t="s">
        <v>1287</v>
      </c>
      <c r="E1086">
        <v>1</v>
      </c>
      <c r="F1086">
        <v>2</v>
      </c>
      <c r="G1086" t="s">
        <v>2</v>
      </c>
      <c r="H1086" cm="1">
        <f t="array" ref="H1086">sentimentCalc(B1086)</f>
        <v>0</v>
      </c>
      <c r="I1086" s="5" t="str" cm="1">
        <f t="array" ref="I1086">sentimentCategory(H1086)</f>
        <v>Neutral</v>
      </c>
    </row>
    <row r="1087" spans="1:9" x14ac:dyDescent="0.2">
      <c r="A1087" s="3">
        <v>46052.921492997688</v>
      </c>
      <c r="B1087" t="s">
        <v>1288</v>
      </c>
      <c r="C1087" t="s">
        <v>1289</v>
      </c>
      <c r="E1087">
        <v>0</v>
      </c>
      <c r="F1087">
        <v>1</v>
      </c>
      <c r="G1087" t="s">
        <v>2</v>
      </c>
      <c r="H1087" cm="1">
        <f t="array" ref="H1087">sentimentCalc(B1087)</f>
        <v>0</v>
      </c>
      <c r="I1087" s="5" t="str" cm="1">
        <f t="array" ref="I1087">sentimentCategory(H1087)</f>
        <v>Neutral</v>
      </c>
    </row>
    <row r="1088" spans="1:9" x14ac:dyDescent="0.2">
      <c r="A1088" s="3">
        <v>46053.921492997688</v>
      </c>
      <c r="B1088" t="s">
        <v>1290</v>
      </c>
      <c r="C1088" t="s">
        <v>1291</v>
      </c>
      <c r="D1088" t="s">
        <v>1292</v>
      </c>
      <c r="E1088">
        <v>0</v>
      </c>
      <c r="F1088">
        <v>0</v>
      </c>
      <c r="G1088" t="s">
        <v>2</v>
      </c>
      <c r="H1088" cm="1">
        <f t="array" ref="H1088">sentimentCalc(B1088)</f>
        <v>0</v>
      </c>
      <c r="I1088" s="5" t="str" cm="1">
        <f t="array" ref="I1088">sentimentCategory(H1088)</f>
        <v>Neutral</v>
      </c>
    </row>
    <row r="1089" spans="1:9" x14ac:dyDescent="0.2">
      <c r="A1089" s="3">
        <v>46054.921492997688</v>
      </c>
      <c r="B1089" t="s">
        <v>1293</v>
      </c>
      <c r="C1089" t="s">
        <v>710</v>
      </c>
      <c r="E1089">
        <v>0</v>
      </c>
      <c r="F1089">
        <v>2</v>
      </c>
      <c r="G1089" t="s">
        <v>2</v>
      </c>
      <c r="H1089" cm="1">
        <f t="array" ref="H1089">sentimentCalc(B1089)</f>
        <v>10</v>
      </c>
      <c r="I1089" s="5" t="str" cm="1">
        <f t="array" ref="I1089">sentimentCategory(H1089)</f>
        <v>Positive</v>
      </c>
    </row>
    <row r="1090" spans="1:9" x14ac:dyDescent="0.2">
      <c r="A1090" s="3"/>
      <c r="H1090" cm="1">
        <f t="array" ref="H1090">sentimentCalc(B1090)</f>
        <v>0</v>
      </c>
      <c r="I1090" s="5" t="str" cm="1">
        <f t="array" ref="I1090">sentimentCategory(H1090)</f>
        <v>Neutral</v>
      </c>
    </row>
    <row r="1091" spans="1:9" x14ac:dyDescent="0.2">
      <c r="A1091" s="3">
        <v>46056.921492997688</v>
      </c>
      <c r="B1091" t="s">
        <v>325</v>
      </c>
      <c r="C1091" t="s">
        <v>143</v>
      </c>
      <c r="D1091" t="s">
        <v>129</v>
      </c>
      <c r="E1091">
        <v>0</v>
      </c>
      <c r="F1091">
        <v>0</v>
      </c>
      <c r="G1091" t="s">
        <v>2</v>
      </c>
      <c r="H1091" cm="1">
        <f t="array" ref="H1091">sentimentCalc(B1091)</f>
        <v>-10</v>
      </c>
      <c r="I1091" s="5" t="str" cm="1">
        <f t="array" ref="I1091">sentimentCategory(H1091)</f>
        <v>Negative</v>
      </c>
    </row>
    <row r="1092" spans="1:9" x14ac:dyDescent="0.2">
      <c r="A1092" s="3">
        <v>46057.921492997688</v>
      </c>
      <c r="B1092" t="s">
        <v>1294</v>
      </c>
      <c r="C1092" t="s">
        <v>7</v>
      </c>
      <c r="E1092">
        <v>0</v>
      </c>
      <c r="F1092">
        <v>0</v>
      </c>
      <c r="G1092" t="s">
        <v>2</v>
      </c>
      <c r="H1092" cm="1">
        <f t="array" ref="H1092">sentimentCalc(B1092)</f>
        <v>0</v>
      </c>
      <c r="I1092" s="5" t="str" cm="1">
        <f t="array" ref="I1092">sentimentCategory(H1092)</f>
        <v>Neutral</v>
      </c>
    </row>
    <row r="1093" spans="1:9" x14ac:dyDescent="0.2">
      <c r="A1093" s="3">
        <v>46058.921492997688</v>
      </c>
      <c r="B1093" t="s">
        <v>1295</v>
      </c>
      <c r="C1093" t="s">
        <v>1296</v>
      </c>
      <c r="D1093" t="s">
        <v>1297</v>
      </c>
      <c r="E1093">
        <v>0</v>
      </c>
      <c r="F1093">
        <v>0</v>
      </c>
      <c r="G1093" t="s">
        <v>2</v>
      </c>
      <c r="H1093" cm="1">
        <f t="array" ref="H1093">sentimentCalc(B1093)</f>
        <v>-10</v>
      </c>
      <c r="I1093" s="5" t="str" cm="1">
        <f t="array" ref="I1093">sentimentCategory(H1093)</f>
        <v>Negative</v>
      </c>
    </row>
    <row r="1094" spans="1:9" x14ac:dyDescent="0.2">
      <c r="A1094" s="3">
        <v>46059.921492997688</v>
      </c>
      <c r="B1094" t="s">
        <v>1298</v>
      </c>
      <c r="C1094" t="s">
        <v>7</v>
      </c>
      <c r="E1094">
        <v>0</v>
      </c>
      <c r="F1094">
        <v>0</v>
      </c>
      <c r="G1094" t="s">
        <v>2</v>
      </c>
      <c r="H1094" cm="1">
        <f t="array" ref="H1094">sentimentCalc(B1094)</f>
        <v>0</v>
      </c>
      <c r="I1094" s="5" t="str" cm="1">
        <f t="array" ref="I1094">sentimentCategory(H1094)</f>
        <v>Neutral</v>
      </c>
    </row>
    <row r="1095" spans="1:9" x14ac:dyDescent="0.2">
      <c r="A1095" s="3">
        <v>46060.921492997688</v>
      </c>
      <c r="B1095" t="s">
        <v>1299</v>
      </c>
      <c r="C1095" t="s">
        <v>256</v>
      </c>
      <c r="D1095" t="s">
        <v>1300</v>
      </c>
      <c r="E1095">
        <v>1</v>
      </c>
      <c r="F1095">
        <v>4</v>
      </c>
      <c r="G1095" t="s">
        <v>2</v>
      </c>
      <c r="H1095" cm="1">
        <f t="array" ref="H1095">sentimentCalc(B1095)</f>
        <v>0</v>
      </c>
      <c r="I1095" s="5" t="str" cm="1">
        <f t="array" ref="I1095">sentimentCategory(H1095)</f>
        <v>Neutral</v>
      </c>
    </row>
    <row r="1096" spans="1:9" x14ac:dyDescent="0.2">
      <c r="A1096" s="3">
        <v>46061.921492997688</v>
      </c>
      <c r="B1096" t="s">
        <v>1301</v>
      </c>
      <c r="C1096" t="s">
        <v>7</v>
      </c>
      <c r="E1096">
        <v>0</v>
      </c>
      <c r="F1096">
        <v>0</v>
      </c>
      <c r="G1096" t="s">
        <v>2</v>
      </c>
      <c r="H1096" cm="1">
        <f t="array" ref="H1096">sentimentCalc(B1096)</f>
        <v>0</v>
      </c>
      <c r="I1096" s="5" t="str" cm="1">
        <f t="array" ref="I1096">sentimentCategory(H1096)</f>
        <v>Neutral</v>
      </c>
    </row>
    <row r="1097" spans="1:9" x14ac:dyDescent="0.2">
      <c r="A1097" s="3">
        <v>46062.921492997688</v>
      </c>
      <c r="B1097" t="s">
        <v>97</v>
      </c>
      <c r="C1097" t="s">
        <v>98</v>
      </c>
      <c r="D1097" t="s">
        <v>13</v>
      </c>
      <c r="E1097">
        <v>0</v>
      </c>
      <c r="F1097">
        <v>0</v>
      </c>
      <c r="G1097" t="s">
        <v>2</v>
      </c>
      <c r="H1097" cm="1">
        <f t="array" ref="H1097">sentimentCalc(B1097)</f>
        <v>0</v>
      </c>
      <c r="I1097" s="5" t="str" cm="1">
        <f t="array" ref="I1097">sentimentCategory(H1097)</f>
        <v>Neutral</v>
      </c>
    </row>
    <row r="1098" spans="1:9" x14ac:dyDescent="0.2">
      <c r="A1098" s="3">
        <v>46063.921492997688</v>
      </c>
      <c r="B1098" t="s">
        <v>1302</v>
      </c>
      <c r="C1098" t="s">
        <v>33</v>
      </c>
      <c r="D1098" t="s">
        <v>34</v>
      </c>
      <c r="E1098">
        <v>0</v>
      </c>
      <c r="F1098">
        <v>0</v>
      </c>
      <c r="G1098" t="s">
        <v>2</v>
      </c>
      <c r="H1098" cm="1">
        <f t="array" ref="H1098">sentimentCalc(B1098)</f>
        <v>0</v>
      </c>
      <c r="I1098" s="5" t="str" cm="1">
        <f t="array" ref="I1098">sentimentCategory(H1098)</f>
        <v>Neutral</v>
      </c>
    </row>
    <row r="1099" spans="1:9" x14ac:dyDescent="0.2">
      <c r="A1099" s="3">
        <v>46064.921492997688</v>
      </c>
      <c r="B1099" t="s">
        <v>37</v>
      </c>
      <c r="C1099" t="s">
        <v>33</v>
      </c>
      <c r="D1099" t="s">
        <v>34</v>
      </c>
      <c r="E1099">
        <v>0</v>
      </c>
      <c r="F1099">
        <v>0</v>
      </c>
      <c r="G1099" t="s">
        <v>2</v>
      </c>
      <c r="H1099" cm="1">
        <f t="array" ref="H1099">sentimentCalc(B1099)</f>
        <v>0</v>
      </c>
      <c r="I1099" s="5" t="str" cm="1">
        <f t="array" ref="I1099">sentimentCategory(H1099)</f>
        <v>Neutral</v>
      </c>
    </row>
    <row r="1100" spans="1:9" x14ac:dyDescent="0.2">
      <c r="A1100" s="3">
        <v>46065.921492997688</v>
      </c>
      <c r="B1100" t="s">
        <v>36</v>
      </c>
      <c r="C1100" t="s">
        <v>33</v>
      </c>
      <c r="D1100" t="s">
        <v>34</v>
      </c>
      <c r="E1100">
        <v>0</v>
      </c>
      <c r="F1100">
        <v>0</v>
      </c>
      <c r="G1100" t="s">
        <v>2</v>
      </c>
      <c r="H1100" cm="1">
        <f t="array" ref="H1100">sentimentCalc(B1100)</f>
        <v>10</v>
      </c>
      <c r="I1100" s="5" t="str" cm="1">
        <f t="array" ref="I1100">sentimentCategory(H1100)</f>
        <v>Positive</v>
      </c>
    </row>
    <row r="1101" spans="1:9" x14ac:dyDescent="0.2">
      <c r="A1101" s="3">
        <v>46066.921492997688</v>
      </c>
      <c r="B1101" t="s">
        <v>35</v>
      </c>
      <c r="C1101" t="s">
        <v>33</v>
      </c>
      <c r="D1101" t="s">
        <v>34</v>
      </c>
      <c r="E1101">
        <v>0</v>
      </c>
      <c r="F1101">
        <v>0</v>
      </c>
      <c r="G1101" t="s">
        <v>2</v>
      </c>
      <c r="H1101" cm="1">
        <f t="array" ref="H1101">sentimentCalc(B1101)</f>
        <v>0</v>
      </c>
      <c r="I1101" s="5" t="str" cm="1">
        <f t="array" ref="I1101">sentimentCategory(H1101)</f>
        <v>Neutral</v>
      </c>
    </row>
    <row r="1102" spans="1:9" x14ac:dyDescent="0.2">
      <c r="A1102" s="3">
        <v>46067.921492997688</v>
      </c>
      <c r="B1102" t="s">
        <v>1303</v>
      </c>
      <c r="C1102" t="s">
        <v>7</v>
      </c>
      <c r="E1102">
        <v>0</v>
      </c>
      <c r="F1102">
        <v>0</v>
      </c>
      <c r="G1102" t="s">
        <v>2</v>
      </c>
      <c r="H1102" cm="1">
        <f t="array" ref="H1102">sentimentCalc(B1102)</f>
        <v>0</v>
      </c>
      <c r="I1102" s="5" t="str" cm="1">
        <f t="array" ref="I1102">sentimentCategory(H1102)</f>
        <v>Neutral</v>
      </c>
    </row>
    <row r="1103" spans="1:9" x14ac:dyDescent="0.2">
      <c r="A1103" s="3">
        <v>46068.921492997688</v>
      </c>
      <c r="B1103" t="s">
        <v>429</v>
      </c>
      <c r="C1103" t="s">
        <v>143</v>
      </c>
      <c r="D1103" t="s">
        <v>129</v>
      </c>
      <c r="E1103">
        <v>0</v>
      </c>
      <c r="F1103">
        <v>0</v>
      </c>
      <c r="G1103" t="s">
        <v>2</v>
      </c>
      <c r="H1103" cm="1">
        <f t="array" ref="H1103">sentimentCalc(B1103)</f>
        <v>-10</v>
      </c>
      <c r="I1103" s="5" t="str" cm="1">
        <f t="array" ref="I1103">sentimentCategory(H1103)</f>
        <v>Negative</v>
      </c>
    </row>
    <row r="1104" spans="1:9" x14ac:dyDescent="0.2">
      <c r="A1104" s="3">
        <v>46069.921492997688</v>
      </c>
      <c r="B1104" t="s">
        <v>3</v>
      </c>
      <c r="C1104" t="s">
        <v>4</v>
      </c>
      <c r="D1104" t="s">
        <v>5</v>
      </c>
      <c r="E1104">
        <v>0</v>
      </c>
      <c r="F1104">
        <v>0</v>
      </c>
      <c r="G1104" t="s">
        <v>2</v>
      </c>
      <c r="H1104" cm="1">
        <f t="array" ref="H1104">sentimentCalc(B1104)</f>
        <v>0</v>
      </c>
      <c r="I1104" s="5" t="str" cm="1">
        <f t="array" ref="I1104">sentimentCategory(H1104)</f>
        <v>Neutral</v>
      </c>
    </row>
    <row r="1105" spans="1:9" x14ac:dyDescent="0.2">
      <c r="A1105" s="3">
        <v>46070.921492997688</v>
      </c>
      <c r="B1105" t="s">
        <v>287</v>
      </c>
      <c r="C1105" t="s">
        <v>33</v>
      </c>
      <c r="D1105" t="s">
        <v>34</v>
      </c>
      <c r="E1105">
        <v>0</v>
      </c>
      <c r="F1105">
        <v>0</v>
      </c>
      <c r="G1105" t="s">
        <v>2</v>
      </c>
      <c r="H1105" cm="1">
        <f t="array" ref="H1105">sentimentCalc(B1105)</f>
        <v>0</v>
      </c>
      <c r="I1105" s="5" t="str" cm="1">
        <f t="array" ref="I1105">sentimentCategory(H1105)</f>
        <v>Neutral</v>
      </c>
    </row>
    <row r="1106" spans="1:9" x14ac:dyDescent="0.2">
      <c r="A1106" s="3">
        <v>46071.921492997688</v>
      </c>
      <c r="B1106" t="s">
        <v>1304</v>
      </c>
      <c r="C1106" t="s">
        <v>1305</v>
      </c>
      <c r="E1106">
        <v>0</v>
      </c>
      <c r="F1106">
        <v>1</v>
      </c>
      <c r="G1106" t="s">
        <v>2</v>
      </c>
      <c r="H1106" cm="1">
        <f t="array" ref="H1106">sentimentCalc(B1106)</f>
        <v>0</v>
      </c>
      <c r="I1106" s="5" t="str" cm="1">
        <f t="array" ref="I1106">sentimentCategory(H1106)</f>
        <v>Neutral</v>
      </c>
    </row>
    <row r="1107" spans="1:9" x14ac:dyDescent="0.2">
      <c r="A1107" s="3"/>
      <c r="H1107" cm="1">
        <f t="array" ref="H1107">sentimentCalc(B1107)</f>
        <v>0</v>
      </c>
      <c r="I1107" s="5" t="str" cm="1">
        <f t="array" ref="I1107">sentimentCategory(H1107)</f>
        <v>Neutral</v>
      </c>
    </row>
    <row r="1108" spans="1:9" x14ac:dyDescent="0.2">
      <c r="A1108" s="3">
        <v>46073.921492997688</v>
      </c>
      <c r="B1108" t="s">
        <v>1307</v>
      </c>
      <c r="C1108" t="s">
        <v>7</v>
      </c>
      <c r="E1108">
        <v>0</v>
      </c>
      <c r="F1108">
        <v>0</v>
      </c>
      <c r="G1108" t="s">
        <v>2</v>
      </c>
      <c r="H1108" cm="1">
        <f t="array" ref="H1108">sentimentCalc(B1108)</f>
        <v>0</v>
      </c>
      <c r="I1108" s="5" t="str" cm="1">
        <f t="array" ref="I1108">sentimentCategory(H1108)</f>
        <v>Neutral</v>
      </c>
    </row>
    <row r="1109" spans="1:9" x14ac:dyDescent="0.2">
      <c r="A1109" s="3">
        <v>46074.921492997688</v>
      </c>
      <c r="B1109" t="s">
        <v>94</v>
      </c>
      <c r="C1109" t="s">
        <v>22</v>
      </c>
      <c r="E1109">
        <v>0</v>
      </c>
      <c r="F1109">
        <v>0</v>
      </c>
      <c r="G1109" t="s">
        <v>2</v>
      </c>
      <c r="H1109" cm="1">
        <f t="array" ref="H1109">sentimentCalc(B1109)</f>
        <v>0</v>
      </c>
      <c r="I1109" s="5" t="str" cm="1">
        <f t="array" ref="I1109">sentimentCategory(H1109)</f>
        <v>Neutral</v>
      </c>
    </row>
    <row r="1110" spans="1:9" x14ac:dyDescent="0.2">
      <c r="A1110" s="3">
        <v>46075.921492997688</v>
      </c>
      <c r="B1110" t="s">
        <v>1308</v>
      </c>
      <c r="C1110" t="s">
        <v>1309</v>
      </c>
      <c r="E1110">
        <v>0</v>
      </c>
      <c r="F1110">
        <v>0</v>
      </c>
      <c r="G1110" t="s">
        <v>2</v>
      </c>
      <c r="H1110" cm="1">
        <f t="array" ref="H1110">sentimentCalc(B1110)</f>
        <v>0</v>
      </c>
      <c r="I1110" s="5" t="str" cm="1">
        <f t="array" ref="I1110">sentimentCategory(H1110)</f>
        <v>Neutral</v>
      </c>
    </row>
    <row r="1111" spans="1:9" x14ac:dyDescent="0.2">
      <c r="A1111" s="3">
        <v>46076.921492997688</v>
      </c>
      <c r="B1111" t="s">
        <v>916</v>
      </c>
      <c r="C1111" t="s">
        <v>98</v>
      </c>
      <c r="D1111" t="s">
        <v>13</v>
      </c>
      <c r="E1111">
        <v>0</v>
      </c>
      <c r="F1111">
        <v>0</v>
      </c>
      <c r="G1111" t="s">
        <v>2</v>
      </c>
      <c r="H1111" cm="1">
        <f t="array" ref="H1111">sentimentCalc(B1111)</f>
        <v>0</v>
      </c>
      <c r="I1111" s="5" t="str" cm="1">
        <f t="array" ref="I1111">sentimentCategory(H1111)</f>
        <v>Neutral</v>
      </c>
    </row>
    <row r="1112" spans="1:9" x14ac:dyDescent="0.2">
      <c r="A1112" s="3">
        <v>46077.921492997688</v>
      </c>
      <c r="B1112" t="s">
        <v>1310</v>
      </c>
      <c r="C1112" t="s">
        <v>7</v>
      </c>
      <c r="E1112">
        <v>0</v>
      </c>
      <c r="F1112">
        <v>0</v>
      </c>
      <c r="G1112" t="s">
        <v>2</v>
      </c>
      <c r="H1112" cm="1">
        <f t="array" ref="H1112">sentimentCalc(B1112)</f>
        <v>0</v>
      </c>
      <c r="I1112" s="5" t="str" cm="1">
        <f t="array" ref="I1112">sentimentCategory(H1112)</f>
        <v>Neutral</v>
      </c>
    </row>
    <row r="1113" spans="1:9" x14ac:dyDescent="0.2">
      <c r="A1113" s="3">
        <v>46078.921492997688</v>
      </c>
      <c r="B1113" t="s">
        <v>1311</v>
      </c>
      <c r="C1113" t="s">
        <v>1312</v>
      </c>
      <c r="D1113" t="s">
        <v>1274</v>
      </c>
      <c r="E1113">
        <v>1</v>
      </c>
      <c r="F1113">
        <v>1</v>
      </c>
      <c r="G1113" t="s">
        <v>2</v>
      </c>
      <c r="H1113" cm="1">
        <f t="array" ref="H1113">sentimentCalc(B1113)</f>
        <v>0</v>
      </c>
      <c r="I1113" s="5" t="str" cm="1">
        <f t="array" ref="I1113">sentimentCategory(H1113)</f>
        <v>Neutral</v>
      </c>
    </row>
    <row r="1114" spans="1:9" x14ac:dyDescent="0.2">
      <c r="A1114" s="3">
        <v>46079.921492997688</v>
      </c>
      <c r="B1114" t="s">
        <v>1313</v>
      </c>
      <c r="C1114" t="s">
        <v>7</v>
      </c>
      <c r="E1114">
        <v>0</v>
      </c>
      <c r="F1114">
        <v>0</v>
      </c>
      <c r="G1114" t="s">
        <v>2</v>
      </c>
      <c r="H1114" cm="1">
        <f t="array" ref="H1114">sentimentCalc(B1114)</f>
        <v>0</v>
      </c>
      <c r="I1114" s="5" t="str" cm="1">
        <f t="array" ref="I1114">sentimentCategory(H1114)</f>
        <v>Neutral</v>
      </c>
    </row>
    <row r="1115" spans="1:9" x14ac:dyDescent="0.2">
      <c r="A1115" s="3">
        <v>46080.921492997688</v>
      </c>
      <c r="B1115" t="s">
        <v>1314</v>
      </c>
      <c r="C1115" t="s">
        <v>961</v>
      </c>
      <c r="D1115" t="s">
        <v>210</v>
      </c>
      <c r="E1115">
        <v>0</v>
      </c>
      <c r="F1115">
        <v>0</v>
      </c>
      <c r="G1115" t="s">
        <v>2</v>
      </c>
      <c r="H1115" cm="1">
        <f t="array" ref="H1115">sentimentCalc(B1115)</f>
        <v>0</v>
      </c>
      <c r="I1115" s="5" t="str" cm="1">
        <f t="array" ref="I1115">sentimentCategory(H1115)</f>
        <v>Neutral</v>
      </c>
    </row>
    <row r="1116" spans="1:9" x14ac:dyDescent="0.2">
      <c r="A1116" s="3">
        <v>46081.921492997688</v>
      </c>
      <c r="B1116" t="s">
        <v>1315</v>
      </c>
      <c r="C1116" t="s">
        <v>7</v>
      </c>
      <c r="E1116">
        <v>0</v>
      </c>
      <c r="F1116">
        <v>0</v>
      </c>
      <c r="G1116" t="s">
        <v>2</v>
      </c>
      <c r="H1116" cm="1">
        <f t="array" ref="H1116">sentimentCalc(B1116)</f>
        <v>0</v>
      </c>
      <c r="I1116" s="5" t="str" cm="1">
        <f t="array" ref="I1116">sentimentCategory(H1116)</f>
        <v>Neutral</v>
      </c>
    </row>
    <row r="1117" spans="1:9" x14ac:dyDescent="0.2">
      <c r="A1117" s="3"/>
      <c r="H1117" cm="1">
        <f t="array" ref="H1117">sentimentCalc(B1117)</f>
        <v>0</v>
      </c>
      <c r="I1117" s="5" t="str" cm="1">
        <f t="array" ref="I1117">sentimentCategory(H1117)</f>
        <v>Neutral</v>
      </c>
    </row>
    <row r="1118" spans="1:9" x14ac:dyDescent="0.2">
      <c r="A1118" s="3"/>
      <c r="H1118" cm="1">
        <f t="array" ref="H1118">sentimentCalc(B1118)</f>
        <v>0</v>
      </c>
      <c r="I1118" s="5" t="str" cm="1">
        <f t="array" ref="I1118">sentimentCategory(H1118)</f>
        <v>Neutral</v>
      </c>
    </row>
    <row r="1119" spans="1:9" x14ac:dyDescent="0.2">
      <c r="A1119" s="3">
        <v>46084.921492997688</v>
      </c>
      <c r="B1119" t="s">
        <v>1318</v>
      </c>
      <c r="C1119" t="s">
        <v>290</v>
      </c>
      <c r="D1119" t="s">
        <v>291</v>
      </c>
      <c r="E1119">
        <v>0</v>
      </c>
      <c r="F1119">
        <v>0</v>
      </c>
      <c r="G1119" t="s">
        <v>2</v>
      </c>
      <c r="H1119" cm="1">
        <f t="array" ref="H1119">sentimentCalc(B1119)</f>
        <v>0</v>
      </c>
      <c r="I1119" s="5" t="str" cm="1">
        <f t="array" ref="I1119">sentimentCategory(H1119)</f>
        <v>Neutral</v>
      </c>
    </row>
    <row r="1120" spans="1:9" x14ac:dyDescent="0.2">
      <c r="A1120" s="3">
        <v>46085.921492997688</v>
      </c>
      <c r="B1120" t="s">
        <v>1319</v>
      </c>
      <c r="C1120" t="s">
        <v>1320</v>
      </c>
      <c r="D1120" t="s">
        <v>1321</v>
      </c>
      <c r="E1120">
        <v>0</v>
      </c>
      <c r="F1120">
        <v>0</v>
      </c>
      <c r="G1120" t="s">
        <v>2</v>
      </c>
      <c r="H1120" cm="1">
        <f t="array" ref="H1120">sentimentCalc(B1120)</f>
        <v>20</v>
      </c>
      <c r="I1120" s="5" t="str" cm="1">
        <f t="array" ref="I1120">sentimentCategory(H1120)</f>
        <v>Positive</v>
      </c>
    </row>
    <row r="1121" spans="1:9" x14ac:dyDescent="0.2">
      <c r="A1121" s="3">
        <v>46086.921492997688</v>
      </c>
      <c r="B1121" t="s">
        <v>1322</v>
      </c>
      <c r="C1121" t="s">
        <v>137</v>
      </c>
      <c r="E1121">
        <v>0</v>
      </c>
      <c r="F1121">
        <v>2</v>
      </c>
      <c r="G1121" t="s">
        <v>2</v>
      </c>
      <c r="H1121" cm="1">
        <f t="array" ref="H1121">sentimentCalc(B1121)</f>
        <v>20</v>
      </c>
      <c r="I1121" s="5" t="str" cm="1">
        <f t="array" ref="I1121">sentimentCategory(H1121)</f>
        <v>Positive</v>
      </c>
    </row>
    <row r="1122" spans="1:9" x14ac:dyDescent="0.2">
      <c r="A1122" s="3">
        <v>46087.921492997688</v>
      </c>
      <c r="B1122" t="s">
        <v>1323</v>
      </c>
      <c r="C1122" t="s">
        <v>1324</v>
      </c>
      <c r="E1122">
        <v>0</v>
      </c>
      <c r="F1122">
        <v>0</v>
      </c>
      <c r="G1122" t="s">
        <v>2</v>
      </c>
      <c r="H1122" cm="1">
        <f t="array" ref="H1122">sentimentCalc(B1122)</f>
        <v>0</v>
      </c>
      <c r="I1122" s="5" t="str" cm="1">
        <f t="array" ref="I1122">sentimentCategory(H1122)</f>
        <v>Neutral</v>
      </c>
    </row>
    <row r="1123" spans="1:9" x14ac:dyDescent="0.2">
      <c r="A1123" s="3">
        <v>46088.921492997688</v>
      </c>
      <c r="B1123" t="s">
        <v>1325</v>
      </c>
      <c r="C1123" t="s">
        <v>1326</v>
      </c>
      <c r="D1123" t="s">
        <v>1327</v>
      </c>
      <c r="E1123">
        <v>0</v>
      </c>
      <c r="F1123">
        <v>1</v>
      </c>
      <c r="G1123" t="s">
        <v>2</v>
      </c>
      <c r="H1123" cm="1">
        <f t="array" ref="H1123">sentimentCalc(B1123)</f>
        <v>0</v>
      </c>
      <c r="I1123" s="5" t="str" cm="1">
        <f t="array" ref="I1123">sentimentCategory(H1123)</f>
        <v>Neutral</v>
      </c>
    </row>
    <row r="1124" spans="1:9" x14ac:dyDescent="0.2">
      <c r="A1124" s="3">
        <v>46089.921492997688</v>
      </c>
      <c r="B1124" t="s">
        <v>685</v>
      </c>
      <c r="C1124" t="s">
        <v>686</v>
      </c>
      <c r="D1124" t="s">
        <v>13</v>
      </c>
      <c r="E1124">
        <v>0</v>
      </c>
      <c r="F1124">
        <v>0</v>
      </c>
      <c r="G1124" t="s">
        <v>2</v>
      </c>
      <c r="H1124" cm="1">
        <f t="array" ref="H1124">sentimentCalc(B1124)</f>
        <v>10</v>
      </c>
      <c r="I1124" s="5" t="str" cm="1">
        <f t="array" ref="I1124">sentimentCategory(H1124)</f>
        <v>Positive</v>
      </c>
    </row>
    <row r="1125" spans="1:9" x14ac:dyDescent="0.2">
      <c r="A1125" s="3">
        <v>46090.921492997688</v>
      </c>
      <c r="B1125" t="s">
        <v>1328</v>
      </c>
      <c r="C1125" t="s">
        <v>1329</v>
      </c>
      <c r="E1125">
        <v>1</v>
      </c>
      <c r="F1125">
        <v>61</v>
      </c>
      <c r="G1125" t="s">
        <v>2</v>
      </c>
      <c r="H1125" cm="1">
        <f t="array" ref="H1125">sentimentCalc(B1125)</f>
        <v>0</v>
      </c>
      <c r="I1125" s="5" t="str" cm="1">
        <f t="array" ref="I1125">sentimentCategory(H1125)</f>
        <v>Neutral</v>
      </c>
    </row>
    <row r="1126" spans="1:9" x14ac:dyDescent="0.2">
      <c r="A1126" s="3"/>
      <c r="H1126" cm="1">
        <f t="array" ref="H1126">sentimentCalc(B1126)</f>
        <v>0</v>
      </c>
      <c r="I1126" s="5" t="str" cm="1">
        <f t="array" ref="I1126">sentimentCategory(H1126)</f>
        <v>Neutral</v>
      </c>
    </row>
    <row r="1127" spans="1:9" x14ac:dyDescent="0.2">
      <c r="A1127" s="3">
        <v>46092.921492997688</v>
      </c>
      <c r="B1127" t="s">
        <v>1331</v>
      </c>
      <c r="C1127" t="s">
        <v>7</v>
      </c>
      <c r="E1127">
        <v>0</v>
      </c>
      <c r="F1127">
        <v>0</v>
      </c>
      <c r="G1127" t="s">
        <v>2</v>
      </c>
      <c r="H1127" cm="1">
        <f t="array" ref="H1127">sentimentCalc(B1127)</f>
        <v>0</v>
      </c>
      <c r="I1127" s="5" t="str" cm="1">
        <f t="array" ref="I1127">sentimentCategory(H1127)</f>
        <v>Neutral</v>
      </c>
    </row>
    <row r="1128" spans="1:9" x14ac:dyDescent="0.2">
      <c r="A1128" s="3">
        <v>46093.921492997688</v>
      </c>
      <c r="B1128" t="s">
        <v>1205</v>
      </c>
      <c r="C1128" t="s">
        <v>1332</v>
      </c>
      <c r="D1128" t="s">
        <v>1333</v>
      </c>
      <c r="E1128">
        <v>0</v>
      </c>
      <c r="F1128">
        <v>0</v>
      </c>
      <c r="G1128" t="s">
        <v>2</v>
      </c>
      <c r="H1128" cm="1">
        <f t="array" ref="H1128">sentimentCalc(B1128)</f>
        <v>20</v>
      </c>
      <c r="I1128" s="5" t="str" cm="1">
        <f t="array" ref="I1128">sentimentCategory(H1128)</f>
        <v>Positive</v>
      </c>
    </row>
    <row r="1129" spans="1:9" x14ac:dyDescent="0.2">
      <c r="A1129" s="3">
        <v>46094.921492997688</v>
      </c>
      <c r="B1129" t="s">
        <v>138</v>
      </c>
      <c r="C1129" t="s">
        <v>22</v>
      </c>
      <c r="E1129">
        <v>0</v>
      </c>
      <c r="F1129">
        <v>0</v>
      </c>
      <c r="G1129" t="s">
        <v>2</v>
      </c>
      <c r="H1129" cm="1">
        <f t="array" ref="H1129">sentimentCalc(B1129)</f>
        <v>0</v>
      </c>
      <c r="I1129" s="5" t="str" cm="1">
        <f t="array" ref="I1129">sentimentCategory(H1129)</f>
        <v>Neutral</v>
      </c>
    </row>
    <row r="1130" spans="1:9" x14ac:dyDescent="0.2">
      <c r="A1130" s="3">
        <v>46095.921492997688</v>
      </c>
      <c r="B1130" t="s">
        <v>144</v>
      </c>
      <c r="C1130" t="s">
        <v>22</v>
      </c>
      <c r="E1130">
        <v>0</v>
      </c>
      <c r="F1130">
        <v>0</v>
      </c>
      <c r="G1130" t="s">
        <v>2</v>
      </c>
      <c r="H1130" cm="1">
        <f t="array" ref="H1130">sentimentCalc(B1130)</f>
        <v>0</v>
      </c>
      <c r="I1130" s="5" t="str" cm="1">
        <f t="array" ref="I1130">sentimentCategory(H1130)</f>
        <v>Neutral</v>
      </c>
    </row>
    <row r="1131" spans="1:9" x14ac:dyDescent="0.2">
      <c r="A1131" s="3">
        <v>46096.921492997688</v>
      </c>
      <c r="B1131" t="s">
        <v>1334</v>
      </c>
      <c r="C1131" t="s">
        <v>1335</v>
      </c>
      <c r="E1131">
        <v>0</v>
      </c>
      <c r="F1131">
        <v>0</v>
      </c>
      <c r="G1131" t="s">
        <v>2</v>
      </c>
      <c r="H1131" cm="1">
        <f t="array" ref="H1131">sentimentCalc(B1131)</f>
        <v>0</v>
      </c>
      <c r="I1131" s="5" t="str" cm="1">
        <f t="array" ref="I1131">sentimentCategory(H1131)</f>
        <v>Neutral</v>
      </c>
    </row>
    <row r="1132" spans="1:9" x14ac:dyDescent="0.2">
      <c r="A1132" s="3">
        <v>46097.921492997688</v>
      </c>
      <c r="B1132" t="s">
        <v>152</v>
      </c>
      <c r="C1132" t="s">
        <v>22</v>
      </c>
      <c r="E1132">
        <v>0</v>
      </c>
      <c r="F1132">
        <v>0</v>
      </c>
      <c r="G1132" t="s">
        <v>2</v>
      </c>
      <c r="H1132" cm="1">
        <f t="array" ref="H1132">sentimentCalc(B1132)</f>
        <v>0</v>
      </c>
      <c r="I1132" s="5" t="str" cm="1">
        <f t="array" ref="I1132">sentimentCategory(H1132)</f>
        <v>Neutral</v>
      </c>
    </row>
    <row r="1133" spans="1:9" x14ac:dyDescent="0.2">
      <c r="A1133" s="3">
        <v>46098.921492997688</v>
      </c>
      <c r="B1133" t="s">
        <v>3</v>
      </c>
      <c r="C1133" t="s">
        <v>4</v>
      </c>
      <c r="D1133" t="s">
        <v>5</v>
      </c>
      <c r="E1133">
        <v>0</v>
      </c>
      <c r="F1133">
        <v>0</v>
      </c>
      <c r="G1133" t="s">
        <v>2</v>
      </c>
      <c r="H1133" cm="1">
        <f t="array" ref="H1133">sentimentCalc(B1133)</f>
        <v>0</v>
      </c>
      <c r="I1133" s="5" t="str" cm="1">
        <f t="array" ref="I1133">sentimentCategory(H1133)</f>
        <v>Neutral</v>
      </c>
    </row>
    <row r="1134" spans="1:9" x14ac:dyDescent="0.2">
      <c r="A1134" s="3">
        <v>46099.921492997688</v>
      </c>
      <c r="B1134" t="s">
        <v>1336</v>
      </c>
      <c r="C1134" t="s">
        <v>174</v>
      </c>
      <c r="E1134">
        <v>0</v>
      </c>
      <c r="F1134">
        <v>0</v>
      </c>
      <c r="G1134" t="s">
        <v>2</v>
      </c>
      <c r="H1134" cm="1">
        <f t="array" ref="H1134">sentimentCalc(B1134)</f>
        <v>0</v>
      </c>
      <c r="I1134" s="5" t="str" cm="1">
        <f t="array" ref="I1134">sentimentCategory(H1134)</f>
        <v>Neutral</v>
      </c>
    </row>
    <row r="1135" spans="1:9" x14ac:dyDescent="0.2">
      <c r="A1135" s="3">
        <v>46100.921492997688</v>
      </c>
      <c r="B1135" t="s">
        <v>151</v>
      </c>
      <c r="C1135" t="s">
        <v>22</v>
      </c>
      <c r="E1135">
        <v>0</v>
      </c>
      <c r="F1135">
        <v>0</v>
      </c>
      <c r="G1135" t="s">
        <v>2</v>
      </c>
      <c r="H1135" cm="1">
        <f t="array" ref="H1135">sentimentCalc(B1135)</f>
        <v>0</v>
      </c>
      <c r="I1135" s="5" t="str" cm="1">
        <f t="array" ref="I1135">sentimentCategory(H1135)</f>
        <v>Neutral</v>
      </c>
    </row>
    <row r="1136" spans="1:9" x14ac:dyDescent="0.2">
      <c r="A1136" s="3"/>
      <c r="H1136" cm="1">
        <f t="array" ref="H1136">sentimentCalc(B1136)</f>
        <v>0</v>
      </c>
      <c r="I1136" s="5" t="str" cm="1">
        <f t="array" ref="I1136">sentimentCategory(H1136)</f>
        <v>Neutral</v>
      </c>
    </row>
    <row r="1137" spans="1:9" x14ac:dyDescent="0.2">
      <c r="A1137" s="3">
        <v>46102.921492997688</v>
      </c>
      <c r="B1137" t="s">
        <v>35</v>
      </c>
      <c r="C1137" t="s">
        <v>33</v>
      </c>
      <c r="D1137" t="s">
        <v>34</v>
      </c>
      <c r="E1137">
        <v>0</v>
      </c>
      <c r="F1137">
        <v>0</v>
      </c>
      <c r="G1137" t="s">
        <v>2</v>
      </c>
      <c r="H1137" cm="1">
        <f t="array" ref="H1137">sentimentCalc(B1137)</f>
        <v>0</v>
      </c>
      <c r="I1137" s="5" t="str" cm="1">
        <f t="array" ref="I1137">sentimentCategory(H1137)</f>
        <v>Neutral</v>
      </c>
    </row>
    <row r="1138" spans="1:9" x14ac:dyDescent="0.2">
      <c r="A1138" s="3">
        <v>46103.921492997688</v>
      </c>
      <c r="B1138" t="s">
        <v>36</v>
      </c>
      <c r="C1138" t="s">
        <v>33</v>
      </c>
      <c r="D1138" t="s">
        <v>34</v>
      </c>
      <c r="E1138">
        <v>0</v>
      </c>
      <c r="F1138">
        <v>0</v>
      </c>
      <c r="G1138" t="s">
        <v>2</v>
      </c>
      <c r="H1138" cm="1">
        <f t="array" ref="H1138">sentimentCalc(B1138)</f>
        <v>10</v>
      </c>
      <c r="I1138" s="5" t="str" cm="1">
        <f t="array" ref="I1138">sentimentCategory(H1138)</f>
        <v>Positive</v>
      </c>
    </row>
    <row r="1139" spans="1:9" x14ac:dyDescent="0.2">
      <c r="A1139" s="3">
        <v>46104.921492997688</v>
      </c>
      <c r="B1139" t="s">
        <v>1337</v>
      </c>
      <c r="C1139" t="s">
        <v>33</v>
      </c>
      <c r="D1139" t="s">
        <v>34</v>
      </c>
      <c r="E1139">
        <v>0</v>
      </c>
      <c r="F1139">
        <v>0</v>
      </c>
      <c r="G1139" t="s">
        <v>2</v>
      </c>
      <c r="H1139" cm="1">
        <f t="array" ref="H1139">sentimentCalc(B1139)</f>
        <v>0</v>
      </c>
      <c r="I1139" s="5" t="str" cm="1">
        <f t="array" ref="I1139">sentimentCategory(H1139)</f>
        <v>Neutral</v>
      </c>
    </row>
    <row r="1140" spans="1:9" x14ac:dyDescent="0.2">
      <c r="A1140" s="3"/>
      <c r="H1140" cm="1">
        <f t="array" ref="H1140">sentimentCalc(B1140)</f>
        <v>0</v>
      </c>
      <c r="I1140" s="5" t="str" cm="1">
        <f t="array" ref="I1140">sentimentCategory(H1140)</f>
        <v>Neutral</v>
      </c>
    </row>
    <row r="1141" spans="1:9" x14ac:dyDescent="0.2">
      <c r="A1141" s="3">
        <v>46106.921492997688</v>
      </c>
      <c r="B1141" t="s">
        <v>154</v>
      </c>
      <c r="C1141" t="s">
        <v>22</v>
      </c>
      <c r="E1141">
        <v>0</v>
      </c>
      <c r="F1141">
        <v>0</v>
      </c>
      <c r="G1141" t="s">
        <v>2</v>
      </c>
      <c r="H1141" cm="1">
        <f t="array" ref="H1141">sentimentCalc(B1141)</f>
        <v>0</v>
      </c>
      <c r="I1141" s="5" t="str" cm="1">
        <f t="array" ref="I1141">sentimentCategory(H1141)</f>
        <v>Neutral</v>
      </c>
    </row>
    <row r="1142" spans="1:9" x14ac:dyDescent="0.2">
      <c r="A1142" s="3">
        <v>46107.921492997688</v>
      </c>
      <c r="B1142" t="s">
        <v>46</v>
      </c>
      <c r="C1142" t="s">
        <v>22</v>
      </c>
      <c r="E1142">
        <v>0</v>
      </c>
      <c r="F1142">
        <v>0</v>
      </c>
      <c r="G1142" t="s">
        <v>2</v>
      </c>
      <c r="H1142" cm="1">
        <f t="array" ref="H1142">sentimentCalc(B1142)</f>
        <v>0</v>
      </c>
      <c r="I1142" s="5" t="str" cm="1">
        <f t="array" ref="I1142">sentimentCategory(H1142)</f>
        <v>Neutral</v>
      </c>
    </row>
    <row r="1143" spans="1:9" x14ac:dyDescent="0.2">
      <c r="A1143" s="3">
        <v>46108.921492997688</v>
      </c>
      <c r="B1143" t="s">
        <v>159</v>
      </c>
      <c r="C1143" t="s">
        <v>22</v>
      </c>
      <c r="E1143">
        <v>0</v>
      </c>
      <c r="F1143">
        <v>0</v>
      </c>
      <c r="G1143" t="s">
        <v>2</v>
      </c>
      <c r="H1143" cm="1">
        <f t="array" ref="H1143">sentimentCalc(B1143)</f>
        <v>0</v>
      </c>
      <c r="I1143" s="5" t="str" cm="1">
        <f t="array" ref="I1143">sentimentCategory(H1143)</f>
        <v>Neutral</v>
      </c>
    </row>
    <row r="1144" spans="1:9" x14ac:dyDescent="0.2">
      <c r="A1144" s="3"/>
      <c r="H1144" cm="1">
        <f t="array" ref="H1144">sentimentCalc(B1144)</f>
        <v>0</v>
      </c>
      <c r="I1144" s="5" t="str" cm="1">
        <f t="array" ref="I1144">sentimentCategory(H1144)</f>
        <v>Neutral</v>
      </c>
    </row>
    <row r="1145" spans="1:9" x14ac:dyDescent="0.2">
      <c r="A1145" s="3">
        <v>46110.921492997688</v>
      </c>
      <c r="B1145" t="s">
        <v>1339</v>
      </c>
      <c r="C1145" t="s">
        <v>7</v>
      </c>
      <c r="E1145">
        <v>0</v>
      </c>
      <c r="F1145">
        <v>0</v>
      </c>
      <c r="G1145" t="s">
        <v>2</v>
      </c>
      <c r="H1145" cm="1">
        <f t="array" ref="H1145">sentimentCalc(B1145)</f>
        <v>0</v>
      </c>
      <c r="I1145" s="5" t="str" cm="1">
        <f t="array" ref="I1145">sentimentCategory(H1145)</f>
        <v>Neutral</v>
      </c>
    </row>
    <row r="1146" spans="1:9" x14ac:dyDescent="0.2">
      <c r="A1146" s="3"/>
      <c r="H1146" cm="1">
        <f t="array" ref="H1146">sentimentCalc(B1146)</f>
        <v>0</v>
      </c>
      <c r="I1146" s="5" t="str" cm="1">
        <f t="array" ref="I1146">sentimentCategory(H1146)</f>
        <v>Neutral</v>
      </c>
    </row>
    <row r="1147" spans="1:9" x14ac:dyDescent="0.2">
      <c r="A1147" s="3">
        <v>46112.921492997688</v>
      </c>
      <c r="B1147" t="s">
        <v>165</v>
      </c>
      <c r="C1147" t="s">
        <v>22</v>
      </c>
      <c r="E1147">
        <v>0</v>
      </c>
      <c r="F1147">
        <v>0</v>
      </c>
      <c r="G1147" t="s">
        <v>2</v>
      </c>
      <c r="H1147" cm="1">
        <f t="array" ref="H1147">sentimentCalc(B1147)</f>
        <v>0</v>
      </c>
      <c r="I1147" s="5" t="str" cm="1">
        <f t="array" ref="I1147">sentimentCategory(H1147)</f>
        <v>Neutral</v>
      </c>
    </row>
    <row r="1148" spans="1:9" x14ac:dyDescent="0.2">
      <c r="A1148" s="3">
        <v>46113.921492997688</v>
      </c>
      <c r="B1148" t="s">
        <v>1340</v>
      </c>
      <c r="C1148" t="s">
        <v>286</v>
      </c>
      <c r="E1148">
        <v>0</v>
      </c>
      <c r="F1148">
        <v>0</v>
      </c>
      <c r="G1148" t="s">
        <v>2</v>
      </c>
      <c r="H1148" cm="1">
        <f t="array" ref="H1148">sentimentCalc(B1148)</f>
        <v>0</v>
      </c>
      <c r="I1148" s="5" t="str" cm="1">
        <f t="array" ref="I1148">sentimentCategory(H1148)</f>
        <v>Neutral</v>
      </c>
    </row>
    <row r="1149" spans="1:9" x14ac:dyDescent="0.2">
      <c r="A1149" s="3">
        <v>46114.921492997688</v>
      </c>
      <c r="B1149" t="s">
        <v>1341</v>
      </c>
      <c r="C1149" t="s">
        <v>643</v>
      </c>
      <c r="E1149">
        <v>0</v>
      </c>
      <c r="F1149">
        <v>0</v>
      </c>
      <c r="G1149" t="s">
        <v>2</v>
      </c>
      <c r="H1149" cm="1">
        <f t="array" ref="H1149">sentimentCalc(B1149)</f>
        <v>10</v>
      </c>
      <c r="I1149" s="5" t="str" cm="1">
        <f t="array" ref="I1149">sentimentCategory(H1149)</f>
        <v>Positive</v>
      </c>
    </row>
    <row r="1150" spans="1:9" x14ac:dyDescent="0.2">
      <c r="A1150" s="3">
        <v>46115.921492997688</v>
      </c>
      <c r="B1150" t="s">
        <v>1342</v>
      </c>
      <c r="C1150" t="s">
        <v>1343</v>
      </c>
      <c r="E1150">
        <v>0</v>
      </c>
      <c r="F1150">
        <v>0</v>
      </c>
      <c r="G1150" t="s">
        <v>2</v>
      </c>
      <c r="H1150" cm="1">
        <f t="array" ref="H1150">sentimentCalc(B1150)</f>
        <v>-10</v>
      </c>
      <c r="I1150" s="5" t="str" cm="1">
        <f t="array" ref="I1150">sentimentCategory(H1150)</f>
        <v>Negative</v>
      </c>
    </row>
    <row r="1151" spans="1:9" x14ac:dyDescent="0.2">
      <c r="A1151" s="3">
        <v>46116.921492997688</v>
      </c>
      <c r="B1151" t="s">
        <v>1344</v>
      </c>
      <c r="C1151" t="s">
        <v>1345</v>
      </c>
      <c r="E1151">
        <v>0</v>
      </c>
      <c r="F1151">
        <v>1</v>
      </c>
      <c r="G1151" t="s">
        <v>2</v>
      </c>
      <c r="H1151" cm="1">
        <f t="array" ref="H1151">sentimentCalc(B1151)</f>
        <v>0</v>
      </c>
      <c r="I1151" s="5" t="str" cm="1">
        <f t="array" ref="I1151">sentimentCategory(H1151)</f>
        <v>Neutral</v>
      </c>
    </row>
    <row r="1152" spans="1:9" x14ac:dyDescent="0.2">
      <c r="A1152" s="3">
        <v>46117.921492997688</v>
      </c>
      <c r="B1152" t="s">
        <v>1346</v>
      </c>
      <c r="C1152" t="s">
        <v>1347</v>
      </c>
      <c r="E1152">
        <v>0</v>
      </c>
      <c r="F1152">
        <v>5</v>
      </c>
      <c r="G1152" t="s">
        <v>2</v>
      </c>
      <c r="H1152" cm="1">
        <f t="array" ref="H1152">sentimentCalc(B1152)</f>
        <v>0</v>
      </c>
      <c r="I1152" s="5" t="str" cm="1">
        <f t="array" ref="I1152">sentimentCategory(H1152)</f>
        <v>Neutral</v>
      </c>
    </row>
    <row r="1153" spans="1:9" x14ac:dyDescent="0.2">
      <c r="A1153" s="3">
        <v>46118.921492997688</v>
      </c>
      <c r="B1153" t="s">
        <v>1348</v>
      </c>
      <c r="C1153" t="s">
        <v>1349</v>
      </c>
      <c r="E1153">
        <v>0</v>
      </c>
      <c r="F1153">
        <v>0</v>
      </c>
      <c r="G1153" t="s">
        <v>2</v>
      </c>
      <c r="H1153" cm="1">
        <f t="array" ref="H1153">sentimentCalc(B1153)</f>
        <v>0</v>
      </c>
      <c r="I1153" s="5" t="str" cm="1">
        <f t="array" ref="I1153">sentimentCategory(H1153)</f>
        <v>Neutral</v>
      </c>
    </row>
    <row r="1154" spans="1:9" x14ac:dyDescent="0.2">
      <c r="A1154" s="3">
        <v>46119.921492997688</v>
      </c>
      <c r="B1154" t="s">
        <v>1350</v>
      </c>
      <c r="C1154" t="s">
        <v>1351</v>
      </c>
      <c r="D1154" t="s">
        <v>210</v>
      </c>
      <c r="E1154">
        <v>0</v>
      </c>
      <c r="F1154">
        <v>0</v>
      </c>
      <c r="G1154" t="s">
        <v>2</v>
      </c>
      <c r="H1154" cm="1">
        <f t="array" ref="H1154">sentimentCalc(B1154)</f>
        <v>0</v>
      </c>
      <c r="I1154" s="5" t="str" cm="1">
        <f t="array" ref="I1154">sentimentCategory(H1154)</f>
        <v>Neutral</v>
      </c>
    </row>
    <row r="1155" spans="1:9" x14ac:dyDescent="0.2">
      <c r="A1155" s="3">
        <v>46120.921492997688</v>
      </c>
      <c r="B1155" t="s">
        <v>1352</v>
      </c>
      <c r="C1155" t="s">
        <v>7</v>
      </c>
      <c r="E1155">
        <v>0</v>
      </c>
      <c r="F1155">
        <v>0</v>
      </c>
      <c r="G1155" t="s">
        <v>2</v>
      </c>
      <c r="H1155" cm="1">
        <f t="array" ref="H1155">sentimentCalc(B1155)</f>
        <v>0</v>
      </c>
      <c r="I1155" s="5" t="str" cm="1">
        <f t="array" ref="I1155">sentimentCategory(H1155)</f>
        <v>Neutral</v>
      </c>
    </row>
    <row r="1156" spans="1:9" x14ac:dyDescent="0.2">
      <c r="A1156" s="3">
        <v>46121.921492997688</v>
      </c>
      <c r="B1156" t="s">
        <v>1353</v>
      </c>
      <c r="C1156" t="s">
        <v>1354</v>
      </c>
      <c r="D1156" t="s">
        <v>1355</v>
      </c>
      <c r="E1156">
        <v>0</v>
      </c>
      <c r="F1156">
        <v>2</v>
      </c>
      <c r="G1156" t="s">
        <v>2</v>
      </c>
      <c r="H1156" cm="1">
        <f t="array" ref="H1156">sentimentCalc(B1156)</f>
        <v>0</v>
      </c>
      <c r="I1156" s="5" t="str" cm="1">
        <f t="array" ref="I1156">sentimentCategory(H1156)</f>
        <v>Neutral</v>
      </c>
    </row>
    <row r="1157" spans="1:9" x14ac:dyDescent="0.2">
      <c r="A1157" s="3">
        <v>46122.921492997688</v>
      </c>
      <c r="B1157" t="s">
        <v>1356</v>
      </c>
      <c r="C1157" t="s">
        <v>490</v>
      </c>
      <c r="E1157">
        <v>0</v>
      </c>
      <c r="F1157">
        <v>0</v>
      </c>
      <c r="G1157" t="s">
        <v>2</v>
      </c>
      <c r="H1157" cm="1">
        <f t="array" ref="H1157">sentimentCalc(B1157)</f>
        <v>10</v>
      </c>
      <c r="I1157" s="5" t="str" cm="1">
        <f t="array" ref="I1157">sentimentCategory(H1157)</f>
        <v>Positive</v>
      </c>
    </row>
    <row r="1158" spans="1:9" x14ac:dyDescent="0.2">
      <c r="A1158" s="3">
        <v>46123.921492997688</v>
      </c>
      <c r="B1158" t="s">
        <v>1357</v>
      </c>
      <c r="C1158" t="s">
        <v>1358</v>
      </c>
      <c r="D1158" t="s">
        <v>1359</v>
      </c>
      <c r="E1158">
        <v>0</v>
      </c>
      <c r="F1158">
        <v>0</v>
      </c>
      <c r="G1158" t="s">
        <v>2</v>
      </c>
      <c r="H1158" cm="1">
        <f t="array" ref="H1158">sentimentCalc(B1158)</f>
        <v>0</v>
      </c>
      <c r="I1158" s="5" t="str" cm="1">
        <f t="array" ref="I1158">sentimentCategory(H1158)</f>
        <v>Neutral</v>
      </c>
    </row>
    <row r="1159" spans="1:9" x14ac:dyDescent="0.2">
      <c r="A1159" s="3">
        <v>46124.921492997688</v>
      </c>
      <c r="B1159" t="s">
        <v>1360</v>
      </c>
      <c r="C1159" t="s">
        <v>7</v>
      </c>
      <c r="E1159">
        <v>0</v>
      </c>
      <c r="F1159">
        <v>0</v>
      </c>
      <c r="G1159" t="s">
        <v>2</v>
      </c>
      <c r="H1159" cm="1">
        <f t="array" ref="H1159">sentimentCalc(B1159)</f>
        <v>0</v>
      </c>
      <c r="I1159" s="5" t="str" cm="1">
        <f t="array" ref="I1159">sentimentCategory(H1159)</f>
        <v>Neutral</v>
      </c>
    </row>
    <row r="1160" spans="1:9" x14ac:dyDescent="0.2">
      <c r="A1160" s="3">
        <v>46125.921492997688</v>
      </c>
      <c r="B1160" t="s">
        <v>27</v>
      </c>
      <c r="C1160" t="s">
        <v>12</v>
      </c>
      <c r="D1160" t="s">
        <v>13</v>
      </c>
      <c r="E1160">
        <v>0</v>
      </c>
      <c r="F1160">
        <v>0</v>
      </c>
      <c r="G1160" t="s">
        <v>2</v>
      </c>
      <c r="H1160" cm="1">
        <f t="array" ref="H1160">sentimentCalc(B1160)</f>
        <v>10</v>
      </c>
      <c r="I1160" s="5" t="str" cm="1">
        <f t="array" ref="I1160">sentimentCategory(H1160)</f>
        <v>Positive</v>
      </c>
    </row>
    <row r="1161" spans="1:9" x14ac:dyDescent="0.2">
      <c r="A1161" s="3">
        <v>46126.921492997688</v>
      </c>
      <c r="B1161" t="s">
        <v>408</v>
      </c>
      <c r="C1161" t="s">
        <v>1361</v>
      </c>
      <c r="D1161" t="s">
        <v>1362</v>
      </c>
      <c r="E1161">
        <v>4</v>
      </c>
      <c r="F1161">
        <v>15</v>
      </c>
      <c r="G1161" t="s">
        <v>2</v>
      </c>
      <c r="H1161" cm="1">
        <f t="array" ref="H1161">sentimentCalc(B1161)</f>
        <v>0</v>
      </c>
      <c r="I1161" s="5" t="str" cm="1">
        <f t="array" ref="I1161">sentimentCategory(H1161)</f>
        <v>Neutral</v>
      </c>
    </row>
    <row r="1162" spans="1:9" x14ac:dyDescent="0.2">
      <c r="A1162" s="3">
        <v>46127.921492997688</v>
      </c>
      <c r="B1162" t="s">
        <v>1363</v>
      </c>
      <c r="C1162" t="s">
        <v>1364</v>
      </c>
      <c r="D1162" t="s">
        <v>1365</v>
      </c>
      <c r="E1162">
        <v>0</v>
      </c>
      <c r="F1162">
        <v>0</v>
      </c>
      <c r="G1162" t="s">
        <v>2</v>
      </c>
      <c r="H1162" cm="1">
        <f t="array" ref="H1162">sentimentCalc(B1162)</f>
        <v>0</v>
      </c>
      <c r="I1162" s="5" t="str" cm="1">
        <f t="array" ref="I1162">sentimentCategory(H1162)</f>
        <v>Neutral</v>
      </c>
    </row>
    <row r="1163" spans="1:9" x14ac:dyDescent="0.2">
      <c r="A1163" s="3">
        <v>46128.921492997688</v>
      </c>
      <c r="B1163" t="s">
        <v>1366</v>
      </c>
      <c r="C1163" t="s">
        <v>1367</v>
      </c>
      <c r="D1163" t="s">
        <v>1368</v>
      </c>
      <c r="E1163">
        <v>0</v>
      </c>
      <c r="F1163">
        <v>10</v>
      </c>
      <c r="G1163" t="s">
        <v>2</v>
      </c>
      <c r="H1163" cm="1">
        <f t="array" ref="H1163">sentimentCalc(B1163)</f>
        <v>0</v>
      </c>
      <c r="I1163" s="5" t="str" cm="1">
        <f t="array" ref="I1163">sentimentCategory(H1163)</f>
        <v>Neutral</v>
      </c>
    </row>
    <row r="1164" spans="1:9" x14ac:dyDescent="0.2">
      <c r="A1164" s="3">
        <v>46129.921492997688</v>
      </c>
      <c r="B1164" t="s">
        <v>1369</v>
      </c>
      <c r="C1164" t="s">
        <v>1370</v>
      </c>
      <c r="D1164" t="s">
        <v>1107</v>
      </c>
      <c r="E1164">
        <v>5</v>
      </c>
      <c r="F1164">
        <v>5</v>
      </c>
      <c r="G1164" t="s">
        <v>2</v>
      </c>
      <c r="H1164" cm="1">
        <f t="array" ref="H1164">sentimentCalc(B1164)</f>
        <v>0</v>
      </c>
      <c r="I1164" s="5" t="str" cm="1">
        <f t="array" ref="I1164">sentimentCategory(H1164)</f>
        <v>Neutral</v>
      </c>
    </row>
    <row r="1165" spans="1:9" x14ac:dyDescent="0.2">
      <c r="A1165" s="3">
        <v>46130.921492997688</v>
      </c>
      <c r="B1165" t="s">
        <v>1371</v>
      </c>
      <c r="C1165" t="s">
        <v>1372</v>
      </c>
      <c r="D1165" t="s">
        <v>1373</v>
      </c>
      <c r="E1165">
        <v>0</v>
      </c>
      <c r="F1165">
        <v>0</v>
      </c>
      <c r="G1165" t="s">
        <v>2</v>
      </c>
      <c r="H1165" cm="1">
        <f t="array" ref="H1165">sentimentCalc(B1165)</f>
        <v>0</v>
      </c>
      <c r="I1165" s="5" t="str" cm="1">
        <f t="array" ref="I1165">sentimentCategory(H1165)</f>
        <v>Neutral</v>
      </c>
    </row>
    <row r="1166" spans="1:9" x14ac:dyDescent="0.2">
      <c r="A1166" s="3">
        <v>46131.921492997688</v>
      </c>
      <c r="B1166" t="s">
        <v>1374</v>
      </c>
      <c r="C1166" t="s">
        <v>1364</v>
      </c>
      <c r="D1166" t="s">
        <v>1365</v>
      </c>
      <c r="E1166">
        <v>0</v>
      </c>
      <c r="F1166">
        <v>0</v>
      </c>
      <c r="G1166" t="s">
        <v>2</v>
      </c>
      <c r="H1166" cm="1">
        <f t="array" ref="H1166">sentimentCalc(B1166)</f>
        <v>30</v>
      </c>
      <c r="I1166" s="5" t="str" cm="1">
        <f t="array" ref="I1166">sentimentCategory(H1166)</f>
        <v>Positive</v>
      </c>
    </row>
    <row r="1167" spans="1:9" x14ac:dyDescent="0.2">
      <c r="A1167" s="3">
        <v>46132.921492997688</v>
      </c>
      <c r="B1167" t="s">
        <v>1091</v>
      </c>
      <c r="C1167" t="s">
        <v>378</v>
      </c>
      <c r="E1167">
        <v>0</v>
      </c>
      <c r="F1167">
        <v>0</v>
      </c>
      <c r="G1167" t="s">
        <v>2</v>
      </c>
      <c r="H1167" cm="1">
        <f t="array" ref="H1167">sentimentCalc(B1167)</f>
        <v>0</v>
      </c>
      <c r="I1167" s="5" t="str" cm="1">
        <f t="array" ref="I1167">sentimentCategory(H1167)</f>
        <v>Neutral</v>
      </c>
    </row>
    <row r="1168" spans="1:9" x14ac:dyDescent="0.2">
      <c r="A1168" s="3">
        <v>46133.921492997688</v>
      </c>
      <c r="B1168" t="s">
        <v>1375</v>
      </c>
      <c r="C1168" t="s">
        <v>7</v>
      </c>
      <c r="E1168">
        <v>0</v>
      </c>
      <c r="F1168">
        <v>0</v>
      </c>
      <c r="G1168" t="s">
        <v>2</v>
      </c>
      <c r="H1168" cm="1">
        <f t="array" ref="H1168">sentimentCalc(B1168)</f>
        <v>0</v>
      </c>
      <c r="I1168" s="5" t="str" cm="1">
        <f t="array" ref="I1168">sentimentCategory(H1168)</f>
        <v>Neutral</v>
      </c>
    </row>
    <row r="1169" spans="1:9" x14ac:dyDescent="0.2">
      <c r="A1169" s="3">
        <v>46134.921492997688</v>
      </c>
      <c r="B1169" t="s">
        <v>3</v>
      </c>
      <c r="C1169" t="s">
        <v>4</v>
      </c>
      <c r="D1169" t="s">
        <v>5</v>
      </c>
      <c r="E1169">
        <v>0</v>
      </c>
      <c r="F1169">
        <v>0</v>
      </c>
      <c r="G1169" t="s">
        <v>2</v>
      </c>
      <c r="H1169" cm="1">
        <f t="array" ref="H1169">sentimentCalc(B1169)</f>
        <v>0</v>
      </c>
      <c r="I1169" s="5" t="str" cm="1">
        <f t="array" ref="I1169">sentimentCategory(H1169)</f>
        <v>Neutral</v>
      </c>
    </row>
    <row r="1170" spans="1:9" x14ac:dyDescent="0.2">
      <c r="A1170" s="3">
        <v>46135.921492997688</v>
      </c>
      <c r="B1170" t="s">
        <v>1376</v>
      </c>
      <c r="C1170" t="s">
        <v>710</v>
      </c>
      <c r="D1170" t="s">
        <v>278</v>
      </c>
      <c r="E1170">
        <v>1</v>
      </c>
      <c r="F1170">
        <v>8</v>
      </c>
      <c r="G1170" t="s">
        <v>2</v>
      </c>
      <c r="H1170" cm="1">
        <f t="array" ref="H1170">sentimentCalc(B1170)</f>
        <v>0</v>
      </c>
      <c r="I1170" s="5" t="str" cm="1">
        <f t="array" ref="I1170">sentimentCategory(H1170)</f>
        <v>Neutral</v>
      </c>
    </row>
    <row r="1171" spans="1:9" x14ac:dyDescent="0.2">
      <c r="A1171" s="3">
        <v>46136.921492997688</v>
      </c>
      <c r="B1171" t="s">
        <v>1377</v>
      </c>
      <c r="C1171" t="s">
        <v>718</v>
      </c>
      <c r="D1171" t="s">
        <v>1378</v>
      </c>
      <c r="E1171">
        <v>0</v>
      </c>
      <c r="F1171">
        <v>0</v>
      </c>
      <c r="G1171" t="s">
        <v>2</v>
      </c>
      <c r="H1171" cm="1">
        <f t="array" ref="H1171">sentimentCalc(B1171)</f>
        <v>0</v>
      </c>
      <c r="I1171" s="5" t="str" cm="1">
        <f t="array" ref="I1171">sentimentCategory(H1171)</f>
        <v>Neutral</v>
      </c>
    </row>
    <row r="1172" spans="1:9" x14ac:dyDescent="0.2">
      <c r="A1172" s="3">
        <v>46137.921492997688</v>
      </c>
      <c r="B1172" t="s">
        <v>371</v>
      </c>
      <c r="C1172" t="s">
        <v>143</v>
      </c>
      <c r="D1172" t="s">
        <v>129</v>
      </c>
      <c r="E1172">
        <v>0</v>
      </c>
      <c r="F1172">
        <v>0</v>
      </c>
      <c r="G1172" t="s">
        <v>2</v>
      </c>
      <c r="H1172" cm="1">
        <f t="array" ref="H1172">sentimentCalc(B1172)</f>
        <v>-10</v>
      </c>
      <c r="I1172" s="5" t="str" cm="1">
        <f t="array" ref="I1172">sentimentCategory(H1172)</f>
        <v>Negative</v>
      </c>
    </row>
    <row r="1173" spans="1:9" x14ac:dyDescent="0.2">
      <c r="A1173" s="3"/>
      <c r="H1173" cm="1">
        <f t="array" ref="H1173">sentimentCalc(B1173)</f>
        <v>0</v>
      </c>
      <c r="I1173" s="5" t="str" cm="1">
        <f t="array" ref="I1173">sentimentCategory(H1173)</f>
        <v>Neutral</v>
      </c>
    </row>
    <row r="1174" spans="1:9" x14ac:dyDescent="0.2">
      <c r="A1174" s="3">
        <v>46139.921492997688</v>
      </c>
      <c r="B1174" t="s">
        <v>35</v>
      </c>
      <c r="C1174" t="s">
        <v>33</v>
      </c>
      <c r="D1174" t="s">
        <v>34</v>
      </c>
      <c r="E1174">
        <v>0</v>
      </c>
      <c r="F1174">
        <v>0</v>
      </c>
      <c r="G1174" t="s">
        <v>2</v>
      </c>
      <c r="H1174" cm="1">
        <f t="array" ref="H1174">sentimentCalc(B1174)</f>
        <v>0</v>
      </c>
      <c r="I1174" s="5" t="str" cm="1">
        <f t="array" ref="I1174">sentimentCategory(H1174)</f>
        <v>Neutral</v>
      </c>
    </row>
    <row r="1175" spans="1:9" x14ac:dyDescent="0.2">
      <c r="A1175" s="3">
        <v>46140.921492997688</v>
      </c>
      <c r="B1175" t="s">
        <v>36</v>
      </c>
      <c r="C1175" t="s">
        <v>33</v>
      </c>
      <c r="D1175" t="s">
        <v>34</v>
      </c>
      <c r="E1175">
        <v>0</v>
      </c>
      <c r="F1175">
        <v>0</v>
      </c>
      <c r="G1175" t="s">
        <v>2</v>
      </c>
      <c r="H1175" cm="1">
        <f t="array" ref="H1175">sentimentCalc(B1175)</f>
        <v>10</v>
      </c>
      <c r="I1175" s="5" t="str" cm="1">
        <f t="array" ref="I1175">sentimentCategory(H1175)</f>
        <v>Positive</v>
      </c>
    </row>
    <row r="1176" spans="1:9" x14ac:dyDescent="0.2">
      <c r="A1176" s="3">
        <v>46141.921492997688</v>
      </c>
      <c r="B1176" t="s">
        <v>1379</v>
      </c>
      <c r="C1176" t="s">
        <v>33</v>
      </c>
      <c r="D1176" t="s">
        <v>34</v>
      </c>
      <c r="E1176">
        <v>0</v>
      </c>
      <c r="F1176">
        <v>0</v>
      </c>
      <c r="G1176" t="s">
        <v>2</v>
      </c>
      <c r="H1176" cm="1">
        <f t="array" ref="H1176">sentimentCalc(B1176)</f>
        <v>0</v>
      </c>
      <c r="I1176" s="5" t="str" cm="1">
        <f t="array" ref="I1176">sentimentCategory(H1176)</f>
        <v>Neutral</v>
      </c>
    </row>
    <row r="1177" spans="1:9" x14ac:dyDescent="0.2">
      <c r="A1177" s="3">
        <v>46142.921492997688</v>
      </c>
      <c r="B1177" t="s">
        <v>1380</v>
      </c>
      <c r="C1177" t="s">
        <v>1043</v>
      </c>
      <c r="D1177" t="s">
        <v>1381</v>
      </c>
      <c r="E1177">
        <v>0</v>
      </c>
      <c r="F1177">
        <v>0</v>
      </c>
      <c r="G1177" t="s">
        <v>2</v>
      </c>
      <c r="H1177" cm="1">
        <f t="array" ref="H1177">sentimentCalc(B1177)</f>
        <v>10</v>
      </c>
      <c r="I1177" s="5" t="str" cm="1">
        <f t="array" ref="I1177">sentimentCategory(H1177)</f>
        <v>Positive</v>
      </c>
    </row>
    <row r="1178" spans="1:9" x14ac:dyDescent="0.2">
      <c r="A1178" s="3">
        <v>46143.921492997688</v>
      </c>
      <c r="B1178" t="s">
        <v>141</v>
      </c>
      <c r="C1178" t="s">
        <v>143</v>
      </c>
      <c r="D1178" t="s">
        <v>129</v>
      </c>
      <c r="E1178">
        <v>0</v>
      </c>
      <c r="F1178">
        <v>0</v>
      </c>
      <c r="G1178" t="s">
        <v>2</v>
      </c>
      <c r="H1178" cm="1">
        <f t="array" ref="H1178">sentimentCalc(B1178)</f>
        <v>0</v>
      </c>
      <c r="I1178" s="5" t="str" cm="1">
        <f t="array" ref="I1178">sentimentCategory(H1178)</f>
        <v>Neutral</v>
      </c>
    </row>
    <row r="1179" spans="1:9" x14ac:dyDescent="0.2">
      <c r="A1179" s="3">
        <v>46144.921492997688</v>
      </c>
      <c r="B1179" t="s">
        <v>1382</v>
      </c>
      <c r="C1179" t="s">
        <v>1383</v>
      </c>
      <c r="D1179" t="s">
        <v>1384</v>
      </c>
      <c r="E1179">
        <v>1</v>
      </c>
      <c r="F1179">
        <v>0</v>
      </c>
      <c r="G1179" t="s">
        <v>2</v>
      </c>
      <c r="H1179" cm="1">
        <f t="array" ref="H1179">sentimentCalc(B1179)</f>
        <v>10</v>
      </c>
      <c r="I1179" s="5" t="str" cm="1">
        <f t="array" ref="I1179">sentimentCategory(H1179)</f>
        <v>Positive</v>
      </c>
    </row>
    <row r="1180" spans="1:9" x14ac:dyDescent="0.2">
      <c r="A1180" s="3">
        <v>46145.921492997688</v>
      </c>
      <c r="B1180" t="s">
        <v>1385</v>
      </c>
      <c r="C1180" t="s">
        <v>134</v>
      </c>
      <c r="D1180" t="s">
        <v>1386</v>
      </c>
      <c r="E1180">
        <v>0</v>
      </c>
      <c r="F1180">
        <v>0</v>
      </c>
      <c r="G1180" t="s">
        <v>2</v>
      </c>
      <c r="H1180" cm="1">
        <f t="array" ref="H1180">sentimentCalc(B1180)</f>
        <v>10</v>
      </c>
      <c r="I1180" s="5" t="str" cm="1">
        <f t="array" ref="I1180">sentimentCategory(H1180)</f>
        <v>Positive</v>
      </c>
    </row>
    <row r="1181" spans="1:9" x14ac:dyDescent="0.2">
      <c r="A1181" s="3">
        <v>46146.921492997688</v>
      </c>
      <c r="B1181" t="s">
        <v>1387</v>
      </c>
      <c r="C1181" t="s">
        <v>1388</v>
      </c>
      <c r="D1181" t="s">
        <v>721</v>
      </c>
      <c r="E1181">
        <v>0</v>
      </c>
      <c r="F1181">
        <v>0</v>
      </c>
      <c r="G1181" t="s">
        <v>2</v>
      </c>
      <c r="H1181" cm="1">
        <f t="array" ref="H1181">sentimentCalc(B1181)</f>
        <v>0</v>
      </c>
      <c r="I1181" s="5" t="str" cm="1">
        <f t="array" ref="I1181">sentimentCategory(H1181)</f>
        <v>Neutral</v>
      </c>
    </row>
    <row r="1182" spans="1:9" x14ac:dyDescent="0.2">
      <c r="A1182" s="3">
        <v>46147.921492997688</v>
      </c>
      <c r="B1182" t="s">
        <v>1389</v>
      </c>
      <c r="C1182" t="s">
        <v>526</v>
      </c>
      <c r="D1182" t="s">
        <v>1390</v>
      </c>
      <c r="E1182">
        <v>0</v>
      </c>
      <c r="F1182">
        <v>0</v>
      </c>
      <c r="G1182" t="s">
        <v>2</v>
      </c>
      <c r="H1182" cm="1">
        <f t="array" ref="H1182">sentimentCalc(B1182)</f>
        <v>0</v>
      </c>
      <c r="I1182" s="5" t="str" cm="1">
        <f t="array" ref="I1182">sentimentCategory(H1182)</f>
        <v>Neutral</v>
      </c>
    </row>
    <row r="1183" spans="1:9" x14ac:dyDescent="0.2">
      <c r="A1183" s="3">
        <v>46148.921492997688</v>
      </c>
      <c r="B1183" t="s">
        <v>1391</v>
      </c>
      <c r="C1183" t="s">
        <v>1364</v>
      </c>
      <c r="D1183" t="s">
        <v>1365</v>
      </c>
      <c r="E1183">
        <v>0</v>
      </c>
      <c r="F1183">
        <v>0</v>
      </c>
      <c r="G1183" t="s">
        <v>2</v>
      </c>
      <c r="H1183" cm="1">
        <f t="array" ref="H1183">sentimentCalc(B1183)</f>
        <v>0</v>
      </c>
      <c r="I1183" s="5" t="str" cm="1">
        <f t="array" ref="I1183">sentimentCategory(H1183)</f>
        <v>Neutral</v>
      </c>
    </row>
    <row r="1184" spans="1:9" x14ac:dyDescent="0.2">
      <c r="A1184" s="3">
        <v>46149.921492997688</v>
      </c>
      <c r="B1184" t="s">
        <v>1392</v>
      </c>
      <c r="C1184" t="s">
        <v>643</v>
      </c>
      <c r="E1184">
        <v>0</v>
      </c>
      <c r="F1184">
        <v>0</v>
      </c>
      <c r="G1184" t="s">
        <v>2</v>
      </c>
      <c r="H1184" cm="1">
        <f t="array" ref="H1184">sentimentCalc(B1184)</f>
        <v>0</v>
      </c>
      <c r="I1184" s="5" t="str" cm="1">
        <f t="array" ref="I1184">sentimentCategory(H1184)</f>
        <v>Neutral</v>
      </c>
    </row>
    <row r="1185" spans="1:9" x14ac:dyDescent="0.2">
      <c r="A1185" s="3">
        <v>46150.921492997688</v>
      </c>
      <c r="B1185" t="s">
        <v>1393</v>
      </c>
      <c r="C1185" t="s">
        <v>7</v>
      </c>
      <c r="E1185">
        <v>0</v>
      </c>
      <c r="F1185">
        <v>0</v>
      </c>
      <c r="G1185" t="s">
        <v>2</v>
      </c>
      <c r="H1185" cm="1">
        <f t="array" ref="H1185">sentimentCalc(B1185)</f>
        <v>0</v>
      </c>
      <c r="I1185" s="5" t="str" cm="1">
        <f t="array" ref="I1185">sentimentCategory(H1185)</f>
        <v>Neutral</v>
      </c>
    </row>
    <row r="1186" spans="1:9" x14ac:dyDescent="0.2">
      <c r="A1186" s="3">
        <v>46151.921492997688</v>
      </c>
      <c r="B1186" t="s">
        <v>824</v>
      </c>
      <c r="C1186" t="s">
        <v>825</v>
      </c>
      <c r="E1186">
        <v>0</v>
      </c>
      <c r="F1186">
        <v>0</v>
      </c>
      <c r="G1186" t="s">
        <v>2</v>
      </c>
      <c r="H1186" cm="1">
        <f t="array" ref="H1186">sentimentCalc(B1186)</f>
        <v>0</v>
      </c>
      <c r="I1186" s="5" t="str" cm="1">
        <f t="array" ref="I1186">sentimentCategory(H1186)</f>
        <v>Neutral</v>
      </c>
    </row>
    <row r="1187" spans="1:9" x14ac:dyDescent="0.2">
      <c r="A1187" s="3">
        <v>46152.921492997688</v>
      </c>
      <c r="B1187" t="s">
        <v>1394</v>
      </c>
      <c r="C1187" t="s">
        <v>1395</v>
      </c>
      <c r="D1187" t="s">
        <v>1396</v>
      </c>
      <c r="E1187">
        <v>3</v>
      </c>
      <c r="F1187">
        <v>7</v>
      </c>
      <c r="G1187" t="s">
        <v>2</v>
      </c>
      <c r="H1187" cm="1">
        <f t="array" ref="H1187">sentimentCalc(B1187)</f>
        <v>0</v>
      </c>
      <c r="I1187" s="5" t="str" cm="1">
        <f t="array" ref="I1187">sentimentCategory(H1187)</f>
        <v>Neutral</v>
      </c>
    </row>
    <row r="1188" spans="1:9" x14ac:dyDescent="0.2">
      <c r="A1188" s="3">
        <v>46153.921492997688</v>
      </c>
      <c r="B1188" t="s">
        <v>1397</v>
      </c>
      <c r="C1188" t="s">
        <v>1398</v>
      </c>
      <c r="D1188" t="s">
        <v>1399</v>
      </c>
      <c r="E1188">
        <v>0</v>
      </c>
      <c r="F1188">
        <v>0</v>
      </c>
      <c r="G1188" t="s">
        <v>2</v>
      </c>
      <c r="H1188" cm="1">
        <f t="array" ref="H1188">sentimentCalc(B1188)</f>
        <v>10</v>
      </c>
      <c r="I1188" s="5" t="str" cm="1">
        <f t="array" ref="I1188">sentimentCategory(H1188)</f>
        <v>Positive</v>
      </c>
    </row>
    <row r="1189" spans="1:9" x14ac:dyDescent="0.2">
      <c r="A1189" s="3">
        <v>46154.921492997688</v>
      </c>
      <c r="B1189" t="s">
        <v>218</v>
      </c>
      <c r="C1189" t="s">
        <v>22</v>
      </c>
      <c r="E1189">
        <v>0</v>
      </c>
      <c r="F1189">
        <v>0</v>
      </c>
      <c r="G1189" t="s">
        <v>2</v>
      </c>
      <c r="H1189" cm="1">
        <f t="array" ref="H1189">sentimentCalc(B1189)</f>
        <v>0</v>
      </c>
      <c r="I1189" s="5" t="str" cm="1">
        <f t="array" ref="I1189">sentimentCategory(H1189)</f>
        <v>Neutral</v>
      </c>
    </row>
    <row r="1190" spans="1:9" x14ac:dyDescent="0.2">
      <c r="A1190" s="3">
        <v>46155.921492997688</v>
      </c>
      <c r="B1190" t="s">
        <v>1400</v>
      </c>
      <c r="C1190" t="s">
        <v>1364</v>
      </c>
      <c r="D1190" t="s">
        <v>1365</v>
      </c>
      <c r="E1190">
        <v>0</v>
      </c>
      <c r="F1190">
        <v>1</v>
      </c>
      <c r="G1190" t="s">
        <v>2</v>
      </c>
      <c r="H1190" cm="1">
        <f t="array" ref="H1190">sentimentCalc(B1190)</f>
        <v>-20</v>
      </c>
      <c r="I1190" s="5" t="str" cm="1">
        <f t="array" ref="I1190">sentimentCategory(H1190)</f>
        <v>Negative</v>
      </c>
    </row>
    <row r="1191" spans="1:9" x14ac:dyDescent="0.2">
      <c r="A1191" s="3">
        <v>46156.921492997688</v>
      </c>
      <c r="B1191" t="s">
        <v>1401</v>
      </c>
      <c r="C1191" t="s">
        <v>7</v>
      </c>
      <c r="E1191">
        <v>1</v>
      </c>
      <c r="F1191">
        <v>1</v>
      </c>
      <c r="G1191" t="s">
        <v>2</v>
      </c>
      <c r="H1191" cm="1">
        <f t="array" ref="H1191">sentimentCalc(B1191)</f>
        <v>0</v>
      </c>
      <c r="I1191" s="5" t="str" cm="1">
        <f t="array" ref="I1191">sentimentCategory(H1191)</f>
        <v>Neutral</v>
      </c>
    </row>
    <row r="1192" spans="1:9" x14ac:dyDescent="0.2">
      <c r="A1192" s="3">
        <v>46157.921492997688</v>
      </c>
      <c r="B1192" t="s">
        <v>414</v>
      </c>
      <c r="C1192" t="s">
        <v>1240</v>
      </c>
      <c r="E1192">
        <v>0</v>
      </c>
      <c r="F1192">
        <v>0</v>
      </c>
      <c r="G1192" t="s">
        <v>2</v>
      </c>
      <c r="H1192" cm="1">
        <f t="array" ref="H1192">sentimentCalc(B1192)</f>
        <v>10</v>
      </c>
      <c r="I1192" s="5" t="str" cm="1">
        <f t="array" ref="I1192">sentimentCategory(H1192)</f>
        <v>Positive</v>
      </c>
    </row>
    <row r="1193" spans="1:9" x14ac:dyDescent="0.2">
      <c r="A1193" s="3">
        <v>46158.921492997688</v>
      </c>
      <c r="B1193" t="s">
        <v>1402</v>
      </c>
      <c r="C1193" t="s">
        <v>1403</v>
      </c>
      <c r="E1193">
        <v>0</v>
      </c>
      <c r="F1193">
        <v>0</v>
      </c>
      <c r="G1193" t="s">
        <v>2</v>
      </c>
      <c r="H1193" cm="1">
        <f t="array" ref="H1193">sentimentCalc(B1193)</f>
        <v>0</v>
      </c>
      <c r="I1193" s="5" t="str" cm="1">
        <f t="array" ref="I1193">sentimentCategory(H1193)</f>
        <v>Neutral</v>
      </c>
    </row>
    <row r="1194" spans="1:9" x14ac:dyDescent="0.2">
      <c r="A1194" s="3">
        <v>46159.921492997688</v>
      </c>
      <c r="B1194" t="s">
        <v>1404</v>
      </c>
      <c r="C1194" t="s">
        <v>695</v>
      </c>
      <c r="D1194" t="s">
        <v>1405</v>
      </c>
      <c r="E1194">
        <v>0</v>
      </c>
      <c r="F1194">
        <v>2</v>
      </c>
      <c r="G1194" t="s">
        <v>2</v>
      </c>
      <c r="H1194" cm="1">
        <f t="array" ref="H1194">sentimentCalc(B1194)</f>
        <v>0</v>
      </c>
      <c r="I1194" s="5" t="str" cm="1">
        <f t="array" ref="I1194">sentimentCategory(H1194)</f>
        <v>Neutral</v>
      </c>
    </row>
    <row r="1195" spans="1:9" x14ac:dyDescent="0.2">
      <c r="A1195" s="3">
        <v>46160.921492997688</v>
      </c>
      <c r="B1195" t="s">
        <v>1406</v>
      </c>
      <c r="C1195" t="s">
        <v>1130</v>
      </c>
      <c r="D1195" t="s">
        <v>291</v>
      </c>
      <c r="E1195">
        <v>0</v>
      </c>
      <c r="F1195">
        <v>0</v>
      </c>
      <c r="G1195" t="s">
        <v>2</v>
      </c>
      <c r="H1195" cm="1">
        <f t="array" ref="H1195">sentimentCalc(B1195)</f>
        <v>0</v>
      </c>
      <c r="I1195" s="5" t="str" cm="1">
        <f t="array" ref="I1195">sentimentCategory(H1195)</f>
        <v>Neutral</v>
      </c>
    </row>
    <row r="1196" spans="1:9" x14ac:dyDescent="0.2">
      <c r="A1196" s="3">
        <v>46161.921492997688</v>
      </c>
      <c r="B1196" t="s">
        <v>1407</v>
      </c>
      <c r="C1196" t="s">
        <v>986</v>
      </c>
      <c r="D1196" t="s">
        <v>55</v>
      </c>
      <c r="E1196">
        <v>0</v>
      </c>
      <c r="F1196">
        <v>0</v>
      </c>
      <c r="G1196" t="s">
        <v>2</v>
      </c>
      <c r="H1196" cm="1">
        <f t="array" ref="H1196">sentimentCalc(B1196)</f>
        <v>-10</v>
      </c>
      <c r="I1196" s="5" t="str" cm="1">
        <f t="array" ref="I1196">sentimentCategory(H1196)</f>
        <v>Negative</v>
      </c>
    </row>
    <row r="1197" spans="1:9" x14ac:dyDescent="0.2">
      <c r="A1197" s="3">
        <v>46162.921492997688</v>
      </c>
      <c r="B1197" t="s">
        <v>228</v>
      </c>
      <c r="C1197" t="s">
        <v>33</v>
      </c>
      <c r="D1197" t="s">
        <v>34</v>
      </c>
      <c r="E1197">
        <v>0</v>
      </c>
      <c r="F1197">
        <v>0</v>
      </c>
      <c r="G1197" t="s">
        <v>2</v>
      </c>
      <c r="H1197" cm="1">
        <f t="array" ref="H1197">sentimentCalc(B1197)</f>
        <v>0</v>
      </c>
      <c r="I1197" s="5" t="str" cm="1">
        <f t="array" ref="I1197">sentimentCategory(H1197)</f>
        <v>Neutral</v>
      </c>
    </row>
    <row r="1198" spans="1:9" x14ac:dyDescent="0.2">
      <c r="A1198" s="3">
        <v>46163.921492997688</v>
      </c>
      <c r="B1198" t="s">
        <v>226</v>
      </c>
      <c r="C1198" t="s">
        <v>33</v>
      </c>
      <c r="D1198" t="s">
        <v>34</v>
      </c>
      <c r="E1198">
        <v>0</v>
      </c>
      <c r="F1198">
        <v>0</v>
      </c>
      <c r="G1198" t="s">
        <v>2</v>
      </c>
      <c r="H1198" cm="1">
        <f t="array" ref="H1198">sentimentCalc(B1198)</f>
        <v>0</v>
      </c>
      <c r="I1198" s="5" t="str" cm="1">
        <f t="array" ref="I1198">sentimentCategory(H1198)</f>
        <v>Neutral</v>
      </c>
    </row>
    <row r="1199" spans="1:9" x14ac:dyDescent="0.2">
      <c r="A1199" s="3">
        <v>46164.921492997688</v>
      </c>
      <c r="B1199" t="s">
        <v>225</v>
      </c>
      <c r="C1199" t="s">
        <v>33</v>
      </c>
      <c r="D1199" t="s">
        <v>34</v>
      </c>
      <c r="E1199">
        <v>0</v>
      </c>
      <c r="F1199">
        <v>0</v>
      </c>
      <c r="G1199" t="s">
        <v>2</v>
      </c>
      <c r="H1199" cm="1">
        <f t="array" ref="H1199">sentimentCalc(B1199)</f>
        <v>0</v>
      </c>
      <c r="I1199" s="5" t="str" cm="1">
        <f t="array" ref="I1199">sentimentCategory(H1199)</f>
        <v>Neutral</v>
      </c>
    </row>
    <row r="1200" spans="1:9" x14ac:dyDescent="0.2">
      <c r="A1200" s="3">
        <v>46165.921492997688</v>
      </c>
      <c r="B1200" t="s">
        <v>231</v>
      </c>
      <c r="C1200" t="s">
        <v>33</v>
      </c>
      <c r="D1200" t="s">
        <v>34</v>
      </c>
      <c r="E1200">
        <v>0</v>
      </c>
      <c r="F1200">
        <v>0</v>
      </c>
      <c r="G1200" t="s">
        <v>2</v>
      </c>
      <c r="H1200" cm="1">
        <f t="array" ref="H1200">sentimentCalc(B1200)</f>
        <v>0</v>
      </c>
      <c r="I1200" s="5" t="str" cm="1">
        <f t="array" ref="I1200">sentimentCategory(H1200)</f>
        <v>Neutral</v>
      </c>
    </row>
    <row r="1201" spans="1:9" x14ac:dyDescent="0.2">
      <c r="A1201" s="3">
        <v>46166.921492997688</v>
      </c>
      <c r="B1201" t="s">
        <v>229</v>
      </c>
      <c r="C1201" t="s">
        <v>33</v>
      </c>
      <c r="D1201" t="s">
        <v>34</v>
      </c>
      <c r="E1201">
        <v>0</v>
      </c>
      <c r="F1201">
        <v>0</v>
      </c>
      <c r="G1201" t="s">
        <v>2</v>
      </c>
      <c r="H1201" cm="1">
        <f t="array" ref="H1201">sentimentCalc(B1201)</f>
        <v>0</v>
      </c>
      <c r="I1201" s="5" t="str" cm="1">
        <f t="array" ref="I1201">sentimentCategory(H1201)</f>
        <v>Neutral</v>
      </c>
    </row>
    <row r="1202" spans="1:9" x14ac:dyDescent="0.2">
      <c r="A1202" s="3">
        <v>46167.921492997688</v>
      </c>
      <c r="B1202" t="s">
        <v>227</v>
      </c>
      <c r="C1202" t="s">
        <v>33</v>
      </c>
      <c r="D1202" t="s">
        <v>34</v>
      </c>
      <c r="E1202">
        <v>0</v>
      </c>
      <c r="F1202">
        <v>0</v>
      </c>
      <c r="G1202" t="s">
        <v>2</v>
      </c>
      <c r="H1202" cm="1">
        <f t="array" ref="H1202">sentimentCalc(B1202)</f>
        <v>0</v>
      </c>
      <c r="I1202" s="5" t="str" cm="1">
        <f t="array" ref="I1202">sentimentCategory(H1202)</f>
        <v>Neutral</v>
      </c>
    </row>
    <row r="1203" spans="1:9" x14ac:dyDescent="0.2">
      <c r="A1203" s="3">
        <v>46168.921492997688</v>
      </c>
      <c r="B1203" t="s">
        <v>224</v>
      </c>
      <c r="C1203" t="s">
        <v>33</v>
      </c>
      <c r="D1203" t="s">
        <v>34</v>
      </c>
      <c r="E1203">
        <v>0</v>
      </c>
      <c r="F1203">
        <v>0</v>
      </c>
      <c r="G1203" t="s">
        <v>2</v>
      </c>
      <c r="H1203" cm="1">
        <f t="array" ref="H1203">sentimentCalc(B1203)</f>
        <v>10</v>
      </c>
      <c r="I1203" s="5" t="str" cm="1">
        <f t="array" ref="I1203">sentimentCategory(H1203)</f>
        <v>Positive</v>
      </c>
    </row>
    <row r="1204" spans="1:9" x14ac:dyDescent="0.2">
      <c r="A1204" s="3">
        <v>46169.921492997688</v>
      </c>
      <c r="B1204" t="s">
        <v>230</v>
      </c>
      <c r="C1204" t="s">
        <v>33</v>
      </c>
      <c r="D1204" t="s">
        <v>34</v>
      </c>
      <c r="E1204">
        <v>0</v>
      </c>
      <c r="F1204">
        <v>0</v>
      </c>
      <c r="G1204" t="s">
        <v>2</v>
      </c>
      <c r="H1204" cm="1">
        <f t="array" ref="H1204">sentimentCalc(B1204)</f>
        <v>0</v>
      </c>
      <c r="I1204" s="5" t="str" cm="1">
        <f t="array" ref="I1204">sentimentCategory(H1204)</f>
        <v>Neutral</v>
      </c>
    </row>
    <row r="1205" spans="1:9" x14ac:dyDescent="0.2">
      <c r="A1205" s="3">
        <v>46170.921492997688</v>
      </c>
      <c r="B1205" t="s">
        <v>1408</v>
      </c>
      <c r="C1205" t="s">
        <v>1124</v>
      </c>
      <c r="D1205" t="s">
        <v>1409</v>
      </c>
      <c r="E1205">
        <v>0</v>
      </c>
      <c r="F1205">
        <v>3</v>
      </c>
      <c r="G1205" t="s">
        <v>2</v>
      </c>
      <c r="H1205" cm="1">
        <f t="array" ref="H1205">sentimentCalc(B1205)</f>
        <v>0</v>
      </c>
      <c r="I1205" s="5" t="str" cm="1">
        <f t="array" ref="I1205">sentimentCategory(H1205)</f>
        <v>Neutral</v>
      </c>
    </row>
    <row r="1206" spans="1:9" x14ac:dyDescent="0.2">
      <c r="A1206" s="3">
        <v>46171.921492997688</v>
      </c>
      <c r="B1206" t="s">
        <v>1410</v>
      </c>
      <c r="C1206" t="s">
        <v>1411</v>
      </c>
      <c r="E1206">
        <v>1</v>
      </c>
      <c r="F1206">
        <v>1</v>
      </c>
      <c r="G1206" t="s">
        <v>2</v>
      </c>
      <c r="H1206" cm="1">
        <f t="array" ref="H1206">sentimentCalc(B1206)</f>
        <v>0</v>
      </c>
      <c r="I1206" s="5" t="str" cm="1">
        <f t="array" ref="I1206">sentimentCategory(H1206)</f>
        <v>Neutral</v>
      </c>
    </row>
    <row r="1207" spans="1:9" x14ac:dyDescent="0.2">
      <c r="A1207" s="3">
        <v>46172.921492997688</v>
      </c>
      <c r="B1207" t="s">
        <v>1412</v>
      </c>
      <c r="C1207" t="s">
        <v>1413</v>
      </c>
      <c r="D1207" t="s">
        <v>203</v>
      </c>
      <c r="E1207">
        <v>0</v>
      </c>
      <c r="F1207">
        <v>1</v>
      </c>
      <c r="G1207" t="s">
        <v>2</v>
      </c>
      <c r="H1207" cm="1">
        <f t="array" ref="H1207">sentimentCalc(B1207)</f>
        <v>0</v>
      </c>
      <c r="I1207" s="5" t="str" cm="1">
        <f t="array" ref="I1207">sentimentCategory(H1207)</f>
        <v>Neutral</v>
      </c>
    </row>
    <row r="1208" spans="1:9" x14ac:dyDescent="0.2">
      <c r="A1208" s="3">
        <v>46173.921492997688</v>
      </c>
      <c r="B1208" t="s">
        <v>1414</v>
      </c>
      <c r="C1208" t="s">
        <v>1415</v>
      </c>
      <c r="D1208" t="s">
        <v>1416</v>
      </c>
      <c r="E1208">
        <v>0</v>
      </c>
      <c r="F1208">
        <v>0</v>
      </c>
      <c r="G1208" t="s">
        <v>2</v>
      </c>
      <c r="H1208" cm="1">
        <f t="array" ref="H1208">sentimentCalc(B1208)</f>
        <v>0</v>
      </c>
      <c r="I1208" s="5" t="str" cm="1">
        <f t="array" ref="I1208">sentimentCategory(H1208)</f>
        <v>Neutral</v>
      </c>
    </row>
    <row r="1209" spans="1:9" x14ac:dyDescent="0.2">
      <c r="A1209" s="3">
        <v>46174.921492997688</v>
      </c>
      <c r="B1209" t="s">
        <v>1417</v>
      </c>
      <c r="C1209" t="s">
        <v>640</v>
      </c>
      <c r="D1209" t="s">
        <v>55</v>
      </c>
      <c r="E1209">
        <v>0</v>
      </c>
      <c r="F1209">
        <v>2</v>
      </c>
      <c r="G1209" t="s">
        <v>2</v>
      </c>
      <c r="H1209" cm="1">
        <f t="array" ref="H1209">sentimentCalc(B1209)</f>
        <v>0</v>
      </c>
      <c r="I1209" s="5" t="str" cm="1">
        <f t="array" ref="I1209">sentimentCategory(H1209)</f>
        <v>Neutral</v>
      </c>
    </row>
    <row r="1210" spans="1:9" x14ac:dyDescent="0.2">
      <c r="A1210" s="3">
        <v>46175.921492997688</v>
      </c>
      <c r="B1210" t="s">
        <v>3</v>
      </c>
      <c r="C1210" t="s">
        <v>4</v>
      </c>
      <c r="D1210" t="s">
        <v>5</v>
      </c>
      <c r="E1210">
        <v>0</v>
      </c>
      <c r="F1210">
        <v>0</v>
      </c>
      <c r="G1210" t="s">
        <v>2</v>
      </c>
      <c r="H1210" cm="1">
        <f t="array" ref="H1210">sentimentCalc(B1210)</f>
        <v>0</v>
      </c>
      <c r="I1210" s="5" t="str" cm="1">
        <f t="array" ref="I1210">sentimentCategory(H1210)</f>
        <v>Neutral</v>
      </c>
    </row>
    <row r="1211" spans="1:9" x14ac:dyDescent="0.2">
      <c r="A1211" s="3">
        <v>46176.921492997688</v>
      </c>
      <c r="B1211" t="s">
        <v>1418</v>
      </c>
      <c r="C1211" t="s">
        <v>1043</v>
      </c>
      <c r="D1211" t="s">
        <v>1381</v>
      </c>
      <c r="E1211">
        <v>0</v>
      </c>
      <c r="F1211">
        <v>1</v>
      </c>
      <c r="G1211" t="s">
        <v>2</v>
      </c>
      <c r="H1211" cm="1">
        <f t="array" ref="H1211">sentimentCalc(B1211)</f>
        <v>30</v>
      </c>
      <c r="I1211" s="5" t="str" cm="1">
        <f t="array" ref="I1211">sentimentCategory(H1211)</f>
        <v>Positive</v>
      </c>
    </row>
    <row r="1212" spans="1:9" x14ac:dyDescent="0.2">
      <c r="A1212" s="3">
        <v>46177.921492997688</v>
      </c>
      <c r="B1212" t="s">
        <v>1419</v>
      </c>
      <c r="C1212" t="s">
        <v>887</v>
      </c>
      <c r="E1212">
        <v>0</v>
      </c>
      <c r="F1212">
        <v>0</v>
      </c>
      <c r="G1212" t="s">
        <v>2</v>
      </c>
      <c r="H1212" cm="1">
        <f t="array" ref="H1212">sentimentCalc(B1212)</f>
        <v>0</v>
      </c>
      <c r="I1212" s="5" t="str" cm="1">
        <f t="array" ref="I1212">sentimentCategory(H1212)</f>
        <v>Neutral</v>
      </c>
    </row>
    <row r="1213" spans="1:9" x14ac:dyDescent="0.2">
      <c r="A1213" s="3">
        <v>46178.921492997688</v>
      </c>
      <c r="B1213" t="s">
        <v>1420</v>
      </c>
      <c r="C1213" t="s">
        <v>891</v>
      </c>
      <c r="D1213" t="s">
        <v>892</v>
      </c>
      <c r="E1213">
        <v>0</v>
      </c>
      <c r="F1213">
        <v>0</v>
      </c>
      <c r="G1213" t="s">
        <v>2</v>
      </c>
      <c r="H1213" cm="1">
        <f t="array" ref="H1213">sentimentCalc(B1213)</f>
        <v>0</v>
      </c>
      <c r="I1213" s="5" t="str" cm="1">
        <f t="array" ref="I1213">sentimentCategory(H1213)</f>
        <v>Neutral</v>
      </c>
    </row>
    <row r="1214" spans="1:9" x14ac:dyDescent="0.2">
      <c r="A1214" s="3">
        <v>46179.921492997688</v>
      </c>
      <c r="B1214" t="s">
        <v>1421</v>
      </c>
      <c r="C1214" t="s">
        <v>1422</v>
      </c>
      <c r="D1214" t="s">
        <v>1423</v>
      </c>
      <c r="E1214">
        <v>1</v>
      </c>
      <c r="F1214">
        <v>2</v>
      </c>
      <c r="G1214" t="s">
        <v>2</v>
      </c>
      <c r="H1214" cm="1">
        <f t="array" ref="H1214">sentimentCalc(B1214)</f>
        <v>0</v>
      </c>
      <c r="I1214" s="5" t="str" cm="1">
        <f t="array" ref="I1214">sentimentCategory(H1214)</f>
        <v>Neutral</v>
      </c>
    </row>
    <row r="1215" spans="1:9" x14ac:dyDescent="0.2">
      <c r="A1215" s="3">
        <v>46180.921492997688</v>
      </c>
      <c r="B1215" t="s">
        <v>1424</v>
      </c>
      <c r="C1215" t="s">
        <v>1364</v>
      </c>
      <c r="D1215" t="s">
        <v>1365</v>
      </c>
      <c r="E1215">
        <v>0</v>
      </c>
      <c r="F1215">
        <v>0</v>
      </c>
      <c r="G1215" t="s">
        <v>2</v>
      </c>
      <c r="H1215" cm="1">
        <f t="array" ref="H1215">sentimentCalc(B1215)</f>
        <v>0</v>
      </c>
      <c r="I1215" s="5" t="str" cm="1">
        <f t="array" ref="I1215">sentimentCategory(H1215)</f>
        <v>Neutral</v>
      </c>
    </row>
    <row r="1216" spans="1:9" x14ac:dyDescent="0.2">
      <c r="A1216" s="3">
        <v>46181.921492997688</v>
      </c>
      <c r="B1216" t="s">
        <v>1425</v>
      </c>
      <c r="C1216" t="s">
        <v>128</v>
      </c>
      <c r="D1216" t="s">
        <v>129</v>
      </c>
      <c r="E1216">
        <v>0</v>
      </c>
      <c r="F1216">
        <v>0</v>
      </c>
      <c r="G1216" t="s">
        <v>2</v>
      </c>
      <c r="H1216" cm="1">
        <f t="array" ref="H1216">sentimentCalc(B1216)</f>
        <v>-10</v>
      </c>
      <c r="I1216" s="5" t="str" cm="1">
        <f t="array" ref="I1216">sentimentCategory(H1216)</f>
        <v>Negative</v>
      </c>
    </row>
    <row r="1217" spans="1:9" x14ac:dyDescent="0.2">
      <c r="A1217" s="3">
        <v>46182.921492997688</v>
      </c>
      <c r="B1217" t="s">
        <v>1426</v>
      </c>
      <c r="C1217" t="s">
        <v>1427</v>
      </c>
      <c r="D1217" t="s">
        <v>1428</v>
      </c>
      <c r="E1217">
        <v>0</v>
      </c>
      <c r="F1217">
        <v>0</v>
      </c>
      <c r="G1217" t="s">
        <v>2</v>
      </c>
      <c r="H1217" cm="1">
        <f t="array" ref="H1217">sentimentCalc(B1217)</f>
        <v>-10</v>
      </c>
      <c r="I1217" s="5" t="str" cm="1">
        <f t="array" ref="I1217">sentimentCategory(H1217)</f>
        <v>Negative</v>
      </c>
    </row>
    <row r="1218" spans="1:9" x14ac:dyDescent="0.2">
      <c r="A1218" s="3">
        <v>46183.921492997688</v>
      </c>
      <c r="B1218" t="s">
        <v>1429</v>
      </c>
      <c r="C1218" t="s">
        <v>1430</v>
      </c>
      <c r="E1218">
        <v>0</v>
      </c>
      <c r="F1218">
        <v>0</v>
      </c>
      <c r="G1218" t="s">
        <v>2</v>
      </c>
      <c r="H1218" cm="1">
        <f t="array" ref="H1218">sentimentCalc(B1218)</f>
        <v>0</v>
      </c>
      <c r="I1218" s="5" t="str" cm="1">
        <f t="array" ref="I1218">sentimentCategory(H1218)</f>
        <v>Neutral</v>
      </c>
    </row>
    <row r="1219" spans="1:9" x14ac:dyDescent="0.2">
      <c r="A1219" s="3">
        <v>46184.921492997688</v>
      </c>
      <c r="B1219" t="s">
        <v>1431</v>
      </c>
      <c r="C1219" t="s">
        <v>1069</v>
      </c>
      <c r="E1219">
        <v>0</v>
      </c>
      <c r="F1219">
        <v>1</v>
      </c>
      <c r="G1219" t="s">
        <v>2</v>
      </c>
      <c r="H1219" cm="1">
        <f t="array" ref="H1219">sentimentCalc(B1219)</f>
        <v>10</v>
      </c>
      <c r="I1219" s="5" t="str" cm="1">
        <f t="array" ref="I1219">sentimentCategory(H1219)</f>
        <v>Positive</v>
      </c>
    </row>
    <row r="1220" spans="1:9" x14ac:dyDescent="0.2">
      <c r="A1220" s="3">
        <v>46185.921492997688</v>
      </c>
      <c r="B1220" t="s">
        <v>1432</v>
      </c>
      <c r="C1220" t="s">
        <v>1364</v>
      </c>
      <c r="D1220" t="s">
        <v>1365</v>
      </c>
      <c r="E1220">
        <v>0</v>
      </c>
      <c r="F1220">
        <v>0</v>
      </c>
      <c r="G1220" t="s">
        <v>2</v>
      </c>
      <c r="H1220" cm="1">
        <f t="array" ref="H1220">sentimentCalc(B1220)</f>
        <v>0</v>
      </c>
      <c r="I1220" s="5" t="str" cm="1">
        <f t="array" ref="I1220">sentimentCategory(H1220)</f>
        <v>Neutral</v>
      </c>
    </row>
    <row r="1221" spans="1:9" x14ac:dyDescent="0.2">
      <c r="A1221" s="3"/>
      <c r="H1221" cm="1">
        <f t="array" ref="H1221">sentimentCalc(B1221)</f>
        <v>0</v>
      </c>
      <c r="I1221" s="5" t="str" cm="1">
        <f t="array" ref="I1221">sentimentCategory(H1221)</f>
        <v>Neutral</v>
      </c>
    </row>
    <row r="1222" spans="1:9" x14ac:dyDescent="0.2">
      <c r="A1222" s="3">
        <v>46187.921492997688</v>
      </c>
      <c r="B1222" t="s">
        <v>396</v>
      </c>
      <c r="C1222" t="s">
        <v>128</v>
      </c>
      <c r="D1222" t="s">
        <v>129</v>
      </c>
      <c r="E1222">
        <v>0</v>
      </c>
      <c r="F1222">
        <v>0</v>
      </c>
      <c r="G1222" t="s">
        <v>2</v>
      </c>
      <c r="H1222" cm="1">
        <f t="array" ref="H1222">sentimentCalc(B1222)</f>
        <v>0</v>
      </c>
      <c r="I1222" s="5" t="str" cm="1">
        <f t="array" ref="I1222">sentimentCategory(H1222)</f>
        <v>Neutral</v>
      </c>
    </row>
    <row r="1223" spans="1:9" x14ac:dyDescent="0.2">
      <c r="A1223" s="3">
        <v>46188.921492997688</v>
      </c>
      <c r="B1223" t="s">
        <v>37</v>
      </c>
      <c r="C1223" t="s">
        <v>33</v>
      </c>
      <c r="D1223" t="s">
        <v>34</v>
      </c>
      <c r="E1223">
        <v>0</v>
      </c>
      <c r="F1223">
        <v>0</v>
      </c>
      <c r="G1223" t="s">
        <v>2</v>
      </c>
      <c r="H1223" cm="1">
        <f t="array" ref="H1223">sentimentCalc(B1223)</f>
        <v>0</v>
      </c>
      <c r="I1223" s="5" t="str" cm="1">
        <f t="array" ref="I1223">sentimentCategory(H1223)</f>
        <v>Neutral</v>
      </c>
    </row>
    <row r="1224" spans="1:9" x14ac:dyDescent="0.2">
      <c r="A1224" s="3">
        <v>46189.921492997688</v>
      </c>
      <c r="B1224" t="s">
        <v>36</v>
      </c>
      <c r="C1224" t="s">
        <v>33</v>
      </c>
      <c r="D1224" t="s">
        <v>34</v>
      </c>
      <c r="E1224">
        <v>0</v>
      </c>
      <c r="F1224">
        <v>0</v>
      </c>
      <c r="G1224" t="s">
        <v>2</v>
      </c>
      <c r="H1224" cm="1">
        <f t="array" ref="H1224">sentimentCalc(B1224)</f>
        <v>10</v>
      </c>
      <c r="I1224" s="5" t="str" cm="1">
        <f t="array" ref="I1224">sentimentCategory(H1224)</f>
        <v>Positive</v>
      </c>
    </row>
    <row r="1225" spans="1:9" x14ac:dyDescent="0.2">
      <c r="A1225" s="3">
        <v>46190.921492997688</v>
      </c>
      <c r="B1225" t="s">
        <v>1433</v>
      </c>
      <c r="C1225" t="s">
        <v>33</v>
      </c>
      <c r="D1225" t="s">
        <v>34</v>
      </c>
      <c r="E1225">
        <v>0</v>
      </c>
      <c r="F1225">
        <v>0</v>
      </c>
      <c r="G1225" t="s">
        <v>2</v>
      </c>
      <c r="H1225" cm="1">
        <f t="array" ref="H1225">sentimentCalc(B1225)</f>
        <v>0</v>
      </c>
      <c r="I1225" s="5" t="str" cm="1">
        <f t="array" ref="I1225">sentimentCategory(H1225)</f>
        <v>Neutral</v>
      </c>
    </row>
    <row r="1226" spans="1:9" x14ac:dyDescent="0.2">
      <c r="A1226" s="3">
        <v>46191.921492997688</v>
      </c>
      <c r="B1226" t="s">
        <v>35</v>
      </c>
      <c r="C1226" t="s">
        <v>33</v>
      </c>
      <c r="D1226" t="s">
        <v>34</v>
      </c>
      <c r="E1226">
        <v>0</v>
      </c>
      <c r="F1226">
        <v>0</v>
      </c>
      <c r="G1226" t="s">
        <v>2</v>
      </c>
      <c r="H1226" cm="1">
        <f t="array" ref="H1226">sentimentCalc(B1226)</f>
        <v>0</v>
      </c>
      <c r="I1226" s="5" t="str" cm="1">
        <f t="array" ref="I1226">sentimentCategory(H1226)</f>
        <v>Neutral</v>
      </c>
    </row>
    <row r="1227" spans="1:9" x14ac:dyDescent="0.2">
      <c r="A1227" s="3">
        <v>46192.921492997688</v>
      </c>
      <c r="B1227" t="s">
        <v>1434</v>
      </c>
      <c r="C1227" t="s">
        <v>1435</v>
      </c>
      <c r="E1227">
        <v>0</v>
      </c>
      <c r="F1227">
        <v>0</v>
      </c>
      <c r="G1227" t="s">
        <v>2</v>
      </c>
      <c r="H1227" cm="1">
        <f t="array" ref="H1227">sentimentCalc(B1227)</f>
        <v>10</v>
      </c>
      <c r="I1227" s="5" t="str" cm="1">
        <f t="array" ref="I1227">sentimentCategory(H1227)</f>
        <v>Positive</v>
      </c>
    </row>
    <row r="1228" spans="1:9" x14ac:dyDescent="0.2">
      <c r="A1228" s="3">
        <v>46193.921492997688</v>
      </c>
      <c r="B1228" t="s">
        <v>1436</v>
      </c>
      <c r="C1228" t="s">
        <v>487</v>
      </c>
      <c r="D1228" t="s">
        <v>783</v>
      </c>
      <c r="E1228">
        <v>0</v>
      </c>
      <c r="F1228">
        <v>7</v>
      </c>
      <c r="G1228" t="s">
        <v>2</v>
      </c>
      <c r="H1228" cm="1">
        <f t="array" ref="H1228">sentimentCalc(B1228)</f>
        <v>0</v>
      </c>
      <c r="I1228" s="5" t="str" cm="1">
        <f t="array" ref="I1228">sentimentCategory(H1228)</f>
        <v>Neutral</v>
      </c>
    </row>
    <row r="1229" spans="1:9" x14ac:dyDescent="0.2">
      <c r="A1229" s="3">
        <v>46194.921492997688</v>
      </c>
      <c r="B1229" t="s">
        <v>1437</v>
      </c>
      <c r="C1229" t="s">
        <v>7</v>
      </c>
      <c r="E1229">
        <v>0</v>
      </c>
      <c r="F1229">
        <v>0</v>
      </c>
      <c r="G1229" t="s">
        <v>2</v>
      </c>
      <c r="H1229" cm="1">
        <f t="array" ref="H1229">sentimentCalc(B1229)</f>
        <v>0</v>
      </c>
      <c r="I1229" s="5" t="str" cm="1">
        <f t="array" ref="I1229">sentimentCategory(H1229)</f>
        <v>Neutral</v>
      </c>
    </row>
    <row r="1230" spans="1:9" x14ac:dyDescent="0.2">
      <c r="A1230" s="3">
        <v>46195.921492997688</v>
      </c>
      <c r="B1230" t="s">
        <v>408</v>
      </c>
      <c r="C1230" t="s">
        <v>312</v>
      </c>
      <c r="D1230" t="s">
        <v>1438</v>
      </c>
      <c r="E1230">
        <v>2</v>
      </c>
      <c r="F1230">
        <v>1</v>
      </c>
      <c r="G1230" t="s">
        <v>2</v>
      </c>
      <c r="H1230" cm="1">
        <f t="array" ref="H1230">sentimentCalc(B1230)</f>
        <v>0</v>
      </c>
      <c r="I1230" s="5" t="str" cm="1">
        <f t="array" ref="I1230">sentimentCategory(H1230)</f>
        <v>Neutral</v>
      </c>
    </row>
    <row r="1231" spans="1:9" x14ac:dyDescent="0.2">
      <c r="A1231" s="3">
        <v>46196.921492997688</v>
      </c>
      <c r="B1231" t="s">
        <v>1439</v>
      </c>
      <c r="C1231" t="s">
        <v>1440</v>
      </c>
      <c r="D1231" t="s">
        <v>121</v>
      </c>
      <c r="E1231">
        <v>0</v>
      </c>
      <c r="F1231">
        <v>0</v>
      </c>
      <c r="G1231" t="s">
        <v>2</v>
      </c>
      <c r="H1231" cm="1">
        <f t="array" ref="H1231">sentimentCalc(B1231)</f>
        <v>0</v>
      </c>
      <c r="I1231" s="5" t="str" cm="1">
        <f t="array" ref="I1231">sentimentCategory(H1231)</f>
        <v>Neutral</v>
      </c>
    </row>
    <row r="1232" spans="1:9" x14ac:dyDescent="0.2">
      <c r="A1232" s="3">
        <v>46197.921492997688</v>
      </c>
      <c r="B1232" t="s">
        <v>1441</v>
      </c>
      <c r="C1232" t="s">
        <v>1442</v>
      </c>
      <c r="E1232">
        <v>0</v>
      </c>
      <c r="F1232">
        <v>1</v>
      </c>
      <c r="G1232" t="s">
        <v>2</v>
      </c>
      <c r="H1232" cm="1">
        <f t="array" ref="H1232">sentimentCalc(B1232)</f>
        <v>0</v>
      </c>
      <c r="I1232" s="5" t="str" cm="1">
        <f t="array" ref="I1232">sentimentCategory(H1232)</f>
        <v>Neutral</v>
      </c>
    </row>
    <row r="1233" spans="1:9" x14ac:dyDescent="0.2">
      <c r="A1233" s="3">
        <v>46198.921492997688</v>
      </c>
      <c r="B1233" t="s">
        <v>1443</v>
      </c>
      <c r="C1233" t="s">
        <v>1444</v>
      </c>
      <c r="D1233" t="s">
        <v>55</v>
      </c>
      <c r="E1233">
        <v>0</v>
      </c>
      <c r="F1233">
        <v>0</v>
      </c>
      <c r="G1233" t="s">
        <v>2</v>
      </c>
      <c r="H1233" cm="1">
        <f t="array" ref="H1233">sentimentCalc(B1233)</f>
        <v>10</v>
      </c>
      <c r="I1233" s="5" t="str" cm="1">
        <f t="array" ref="I1233">sentimentCategory(H1233)</f>
        <v>Positive</v>
      </c>
    </row>
    <row r="1234" spans="1:9" x14ac:dyDescent="0.2">
      <c r="A1234" s="3">
        <v>46199.921492997688</v>
      </c>
      <c r="B1234" t="s">
        <v>1445</v>
      </c>
      <c r="C1234" t="s">
        <v>1446</v>
      </c>
      <c r="D1234" t="s">
        <v>1447</v>
      </c>
      <c r="E1234">
        <v>0</v>
      </c>
      <c r="F1234">
        <v>0</v>
      </c>
      <c r="G1234" t="s">
        <v>2</v>
      </c>
      <c r="H1234" cm="1">
        <f t="array" ref="H1234">sentimentCalc(B1234)</f>
        <v>20</v>
      </c>
      <c r="I1234" s="5" t="str" cm="1">
        <f t="array" ref="I1234">sentimentCategory(H1234)</f>
        <v>Positive</v>
      </c>
    </row>
    <row r="1235" spans="1:9" x14ac:dyDescent="0.2">
      <c r="A1235" s="3">
        <v>46200.921492997688</v>
      </c>
      <c r="B1235" t="s">
        <v>1448</v>
      </c>
      <c r="C1235" t="s">
        <v>941</v>
      </c>
      <c r="D1235" t="s">
        <v>1449</v>
      </c>
      <c r="E1235">
        <v>0</v>
      </c>
      <c r="F1235">
        <v>11</v>
      </c>
      <c r="G1235" t="s">
        <v>2</v>
      </c>
      <c r="H1235" cm="1">
        <f t="array" ref="H1235">sentimentCalc(B1235)</f>
        <v>0</v>
      </c>
      <c r="I1235" s="5" t="str" cm="1">
        <f t="array" ref="I1235">sentimentCategory(H1235)</f>
        <v>Neutral</v>
      </c>
    </row>
    <row r="1236" spans="1:9" x14ac:dyDescent="0.2">
      <c r="A1236" s="3">
        <v>46201.921492997688</v>
      </c>
      <c r="B1236" t="s">
        <v>1450</v>
      </c>
      <c r="C1236" t="s">
        <v>134</v>
      </c>
      <c r="E1236">
        <v>0</v>
      </c>
      <c r="F1236">
        <v>0</v>
      </c>
      <c r="G1236" t="s">
        <v>2</v>
      </c>
      <c r="H1236" cm="1">
        <f t="array" ref="H1236">sentimentCalc(B1236)</f>
        <v>0</v>
      </c>
      <c r="I1236" s="5" t="str" cm="1">
        <f t="array" ref="I1236">sentimentCategory(H1236)</f>
        <v>Neutral</v>
      </c>
    </row>
    <row r="1237" spans="1:9" x14ac:dyDescent="0.2">
      <c r="A1237" s="3">
        <v>46202.921492997688</v>
      </c>
      <c r="B1237" t="s">
        <v>1451</v>
      </c>
      <c r="C1237" t="s">
        <v>12</v>
      </c>
      <c r="D1237" t="s">
        <v>13</v>
      </c>
      <c r="E1237">
        <v>0</v>
      </c>
      <c r="F1237">
        <v>0</v>
      </c>
      <c r="G1237" t="s">
        <v>2</v>
      </c>
      <c r="H1237" cm="1">
        <f t="array" ref="H1237">sentimentCalc(B1237)</f>
        <v>0</v>
      </c>
      <c r="I1237" s="5" t="str" cm="1">
        <f t="array" ref="I1237">sentimentCategory(H1237)</f>
        <v>Neutral</v>
      </c>
    </row>
    <row r="1238" spans="1:9" x14ac:dyDescent="0.2">
      <c r="A1238" s="3">
        <v>46203.921492997688</v>
      </c>
      <c r="B1238" t="s">
        <v>1452</v>
      </c>
      <c r="C1238" t="s">
        <v>1453</v>
      </c>
      <c r="D1238" t="s">
        <v>69</v>
      </c>
      <c r="E1238">
        <v>0</v>
      </c>
      <c r="F1238">
        <v>0</v>
      </c>
      <c r="G1238" t="s">
        <v>2</v>
      </c>
      <c r="H1238" cm="1">
        <f t="array" ref="H1238">sentimentCalc(B1238)</f>
        <v>0</v>
      </c>
      <c r="I1238" s="5" t="str" cm="1">
        <f t="array" ref="I1238">sentimentCategory(H1238)</f>
        <v>Neutral</v>
      </c>
    </row>
    <row r="1239" spans="1:9" x14ac:dyDescent="0.2">
      <c r="A1239" s="3">
        <v>46204.921492997688</v>
      </c>
      <c r="B1239" t="s">
        <v>194</v>
      </c>
      <c r="C1239" t="s">
        <v>128</v>
      </c>
      <c r="D1239" t="s">
        <v>129</v>
      </c>
      <c r="E1239">
        <v>0</v>
      </c>
      <c r="F1239">
        <v>0</v>
      </c>
      <c r="G1239" t="s">
        <v>2</v>
      </c>
      <c r="H1239" cm="1">
        <f t="array" ref="H1239">sentimentCalc(B1239)</f>
        <v>-10</v>
      </c>
      <c r="I1239" s="5" t="str" cm="1">
        <f t="array" ref="I1239">sentimentCategory(H1239)</f>
        <v>Negative</v>
      </c>
    </row>
    <row r="1240" spans="1:9" x14ac:dyDescent="0.2">
      <c r="A1240" s="3"/>
      <c r="H1240" cm="1">
        <f t="array" ref="H1240">sentimentCalc(B1240)</f>
        <v>0</v>
      </c>
      <c r="I1240" s="5" t="str" cm="1">
        <f t="array" ref="I1240">sentimentCategory(H1240)</f>
        <v>Neutral</v>
      </c>
    </row>
    <row r="1241" spans="1:9" x14ac:dyDescent="0.2">
      <c r="A1241" s="3"/>
      <c r="H1241" cm="1">
        <f t="array" ref="H1241">sentimentCalc(B1241)</f>
        <v>0</v>
      </c>
      <c r="I1241" s="5" t="str" cm="1">
        <f t="array" ref="I1241">sentimentCategory(H1241)</f>
        <v>Neutral</v>
      </c>
    </row>
    <row r="1242" spans="1:9" x14ac:dyDescent="0.2">
      <c r="A1242" s="3">
        <v>46207.921492997688</v>
      </c>
      <c r="B1242" t="s">
        <v>450</v>
      </c>
      <c r="C1242" t="s">
        <v>128</v>
      </c>
      <c r="D1242" t="s">
        <v>129</v>
      </c>
      <c r="E1242">
        <v>0</v>
      </c>
      <c r="F1242">
        <v>0</v>
      </c>
      <c r="G1242" t="s">
        <v>2</v>
      </c>
      <c r="H1242" cm="1">
        <f t="array" ref="H1242">sentimentCalc(B1242)</f>
        <v>-10</v>
      </c>
      <c r="I1242" s="5" t="str" cm="1">
        <f t="array" ref="I1242">sentimentCategory(H1242)</f>
        <v>Negative</v>
      </c>
    </row>
    <row r="1243" spans="1:9" x14ac:dyDescent="0.2">
      <c r="A1243" s="3">
        <v>46208.921492997688</v>
      </c>
      <c r="B1243" t="s">
        <v>1455</v>
      </c>
      <c r="C1243" t="s">
        <v>7</v>
      </c>
      <c r="E1243">
        <v>0</v>
      </c>
      <c r="F1243">
        <v>0</v>
      </c>
      <c r="G1243" t="s">
        <v>2</v>
      </c>
      <c r="H1243" cm="1">
        <f t="array" ref="H1243">sentimentCalc(B1243)</f>
        <v>0</v>
      </c>
      <c r="I1243" s="5" t="str" cm="1">
        <f t="array" ref="I1243">sentimentCategory(H1243)</f>
        <v>Neutral</v>
      </c>
    </row>
    <row r="1244" spans="1:9" x14ac:dyDescent="0.2">
      <c r="A1244" s="3">
        <v>46209.921492997688</v>
      </c>
      <c r="B1244" t="s">
        <v>1456</v>
      </c>
      <c r="C1244" t="s">
        <v>1457</v>
      </c>
      <c r="D1244" t="s">
        <v>1458</v>
      </c>
      <c r="E1244">
        <v>0</v>
      </c>
      <c r="F1244">
        <v>0</v>
      </c>
      <c r="G1244" t="s">
        <v>2</v>
      </c>
      <c r="H1244" cm="1">
        <f t="array" ref="H1244">sentimentCalc(B1244)</f>
        <v>0</v>
      </c>
      <c r="I1244" s="5" t="str" cm="1">
        <f t="array" ref="I1244">sentimentCategory(H1244)</f>
        <v>Neutral</v>
      </c>
    </row>
    <row r="1245" spans="1:9" x14ac:dyDescent="0.2">
      <c r="A1245" s="3">
        <v>46210.921492997688</v>
      </c>
      <c r="B1245" t="s">
        <v>1459</v>
      </c>
      <c r="C1245" t="s">
        <v>128</v>
      </c>
      <c r="D1245" t="s">
        <v>129</v>
      </c>
      <c r="E1245">
        <v>0</v>
      </c>
      <c r="F1245">
        <v>0</v>
      </c>
      <c r="G1245" t="s">
        <v>2</v>
      </c>
      <c r="H1245" cm="1">
        <f t="array" ref="H1245">sentimentCalc(B1245)</f>
        <v>-10</v>
      </c>
      <c r="I1245" s="5" t="str" cm="1">
        <f t="array" ref="I1245">sentimentCategory(H1245)</f>
        <v>Negative</v>
      </c>
    </row>
    <row r="1246" spans="1:9" x14ac:dyDescent="0.2">
      <c r="A1246" s="3">
        <v>46211.921492997688</v>
      </c>
      <c r="B1246" t="s">
        <v>1460</v>
      </c>
      <c r="C1246" t="s">
        <v>134</v>
      </c>
      <c r="E1246">
        <v>0</v>
      </c>
      <c r="F1246">
        <v>0</v>
      </c>
      <c r="G1246" t="s">
        <v>2</v>
      </c>
      <c r="H1246" cm="1">
        <f t="array" ref="H1246">sentimentCalc(B1246)</f>
        <v>0</v>
      </c>
      <c r="I1246" s="5" t="str" cm="1">
        <f t="array" ref="I1246">sentimentCategory(H1246)</f>
        <v>Neutral</v>
      </c>
    </row>
    <row r="1247" spans="1:9" x14ac:dyDescent="0.2">
      <c r="A1247" s="3"/>
      <c r="H1247" cm="1">
        <f t="array" ref="H1247">sentimentCalc(B1247)</f>
        <v>0</v>
      </c>
      <c r="I1247" s="5" t="str" cm="1">
        <f t="array" ref="I1247">sentimentCategory(H1247)</f>
        <v>Neutral</v>
      </c>
    </row>
    <row r="1248" spans="1:9" x14ac:dyDescent="0.2">
      <c r="A1248" s="3">
        <v>46213.921492997688</v>
      </c>
      <c r="B1248" t="s">
        <v>397</v>
      </c>
      <c r="C1248" t="s">
        <v>128</v>
      </c>
      <c r="D1248" t="s">
        <v>129</v>
      </c>
      <c r="E1248">
        <v>0</v>
      </c>
      <c r="F1248">
        <v>0</v>
      </c>
      <c r="G1248" t="s">
        <v>2</v>
      </c>
      <c r="H1248" cm="1">
        <f t="array" ref="H1248">sentimentCalc(B1248)</f>
        <v>-10</v>
      </c>
      <c r="I1248" s="5" t="str" cm="1">
        <f t="array" ref="I1248">sentimentCategory(H1248)</f>
        <v>Negative</v>
      </c>
    </row>
    <row r="1249" spans="1:9" x14ac:dyDescent="0.2">
      <c r="A1249" s="3">
        <v>46214.921492997688</v>
      </c>
      <c r="B1249" t="s">
        <v>1461</v>
      </c>
      <c r="C1249" t="s">
        <v>1329</v>
      </c>
      <c r="E1249">
        <v>0</v>
      </c>
      <c r="F1249">
        <v>0</v>
      </c>
      <c r="G1249" t="s">
        <v>2</v>
      </c>
      <c r="H1249" cm="1">
        <f t="array" ref="H1249">sentimentCalc(B1249)</f>
        <v>0</v>
      </c>
      <c r="I1249" s="5" t="str" cm="1">
        <f t="array" ref="I1249">sentimentCategory(H1249)</f>
        <v>Neutral</v>
      </c>
    </row>
    <row r="1250" spans="1:9" x14ac:dyDescent="0.2">
      <c r="A1250" s="3">
        <v>46215.921492997688</v>
      </c>
      <c r="B1250" t="s">
        <v>1462</v>
      </c>
      <c r="C1250" t="s">
        <v>1284</v>
      </c>
      <c r="E1250">
        <v>0</v>
      </c>
      <c r="F1250">
        <v>0</v>
      </c>
      <c r="G1250" t="s">
        <v>2</v>
      </c>
      <c r="H1250" cm="1">
        <f t="array" ref="H1250">sentimentCalc(B1250)</f>
        <v>0</v>
      </c>
      <c r="I1250" s="5" t="str" cm="1">
        <f t="array" ref="I1250">sentimentCategory(H1250)</f>
        <v>Neutral</v>
      </c>
    </row>
    <row r="1251" spans="1:9" x14ac:dyDescent="0.2">
      <c r="A1251" s="3">
        <v>46216.921492997688</v>
      </c>
      <c r="B1251" t="s">
        <v>1463</v>
      </c>
      <c r="C1251" t="s">
        <v>128</v>
      </c>
      <c r="D1251" t="s">
        <v>129</v>
      </c>
      <c r="E1251">
        <v>0</v>
      </c>
      <c r="F1251">
        <v>0</v>
      </c>
      <c r="G1251" t="s">
        <v>2</v>
      </c>
      <c r="H1251" cm="1">
        <f t="array" ref="H1251">sentimentCalc(B1251)</f>
        <v>-10</v>
      </c>
      <c r="I1251" s="5" t="str" cm="1">
        <f t="array" ref="I1251">sentimentCategory(H1251)</f>
        <v>Negative</v>
      </c>
    </row>
    <row r="1252" spans="1:9" x14ac:dyDescent="0.2">
      <c r="A1252" s="3"/>
      <c r="H1252" cm="1">
        <f t="array" ref="H1252">sentimentCalc(B1252)</f>
        <v>0</v>
      </c>
      <c r="I1252" s="5" t="str" cm="1">
        <f t="array" ref="I1252">sentimentCategory(H1252)</f>
        <v>Neutral</v>
      </c>
    </row>
    <row r="1253" spans="1:9" x14ac:dyDescent="0.2">
      <c r="A1253" s="3">
        <v>46218.921492997688</v>
      </c>
      <c r="B1253" t="s">
        <v>339</v>
      </c>
      <c r="C1253" t="s">
        <v>143</v>
      </c>
      <c r="D1253" t="s">
        <v>129</v>
      </c>
      <c r="E1253">
        <v>0</v>
      </c>
      <c r="F1253">
        <v>0</v>
      </c>
      <c r="G1253" t="s">
        <v>2</v>
      </c>
      <c r="H1253" cm="1">
        <f t="array" ref="H1253">sentimentCalc(B1253)</f>
        <v>-10</v>
      </c>
      <c r="I1253" s="5" t="str" cm="1">
        <f t="array" ref="I1253">sentimentCategory(H1253)</f>
        <v>Negative</v>
      </c>
    </row>
    <row r="1254" spans="1:9" x14ac:dyDescent="0.2">
      <c r="A1254" s="3">
        <v>46219.921492997688</v>
      </c>
      <c r="B1254" t="s">
        <v>1464</v>
      </c>
      <c r="C1254" t="s">
        <v>1465</v>
      </c>
      <c r="D1254" t="s">
        <v>1466</v>
      </c>
      <c r="E1254">
        <v>0</v>
      </c>
      <c r="F1254">
        <v>0</v>
      </c>
      <c r="G1254" t="s">
        <v>2</v>
      </c>
      <c r="H1254" cm="1">
        <f t="array" ref="H1254">sentimentCalc(B1254)</f>
        <v>10</v>
      </c>
      <c r="I1254" s="5" t="str" cm="1">
        <f t="array" ref="I1254">sentimentCategory(H1254)</f>
        <v>Positive</v>
      </c>
    </row>
    <row r="1255" spans="1:9" x14ac:dyDescent="0.2">
      <c r="A1255" s="3">
        <v>46220.921492997688</v>
      </c>
      <c r="B1255" t="s">
        <v>1467</v>
      </c>
      <c r="C1255" t="s">
        <v>7</v>
      </c>
      <c r="E1255">
        <v>0</v>
      </c>
      <c r="F1255">
        <v>0</v>
      </c>
      <c r="G1255" t="s">
        <v>2</v>
      </c>
      <c r="H1255" cm="1">
        <f t="array" ref="H1255">sentimentCalc(B1255)</f>
        <v>0</v>
      </c>
      <c r="I1255" s="5" t="str" cm="1">
        <f t="array" ref="I1255">sentimentCategory(H1255)</f>
        <v>Neutral</v>
      </c>
    </row>
    <row r="1256" spans="1:9" x14ac:dyDescent="0.2">
      <c r="A1256" s="3"/>
      <c r="H1256" cm="1">
        <f t="array" ref="H1256">sentimentCalc(B1256)</f>
        <v>0</v>
      </c>
      <c r="I1256" s="5" t="str" cm="1">
        <f t="array" ref="I1256">sentimentCategory(H1256)</f>
        <v>Neutral</v>
      </c>
    </row>
    <row r="1257" spans="1:9" x14ac:dyDescent="0.2">
      <c r="A1257" s="3">
        <v>46222.921492997688</v>
      </c>
      <c r="B1257" t="s">
        <v>1255</v>
      </c>
      <c r="C1257" t="s">
        <v>128</v>
      </c>
      <c r="D1257" t="s">
        <v>129</v>
      </c>
      <c r="E1257">
        <v>0</v>
      </c>
      <c r="F1257">
        <v>0</v>
      </c>
      <c r="G1257" t="s">
        <v>2</v>
      </c>
      <c r="H1257" cm="1">
        <f t="array" ref="H1257">sentimentCalc(B1257)</f>
        <v>-10</v>
      </c>
      <c r="I1257" s="5" t="str" cm="1">
        <f t="array" ref="I1257">sentimentCategory(H1257)</f>
        <v>Negative</v>
      </c>
    </row>
    <row r="1258" spans="1:9" x14ac:dyDescent="0.2">
      <c r="A1258" s="3"/>
      <c r="H1258" cm="1">
        <f t="array" ref="H1258">sentimentCalc(B1258)</f>
        <v>0</v>
      </c>
      <c r="I1258" s="5" t="str" cm="1">
        <f t="array" ref="I1258">sentimentCategory(H1258)</f>
        <v>Neutral</v>
      </c>
    </row>
    <row r="1259" spans="1:9" x14ac:dyDescent="0.2">
      <c r="A1259" s="3">
        <v>46224.921492997688</v>
      </c>
      <c r="B1259" t="s">
        <v>398</v>
      </c>
      <c r="C1259" t="s">
        <v>128</v>
      </c>
      <c r="D1259" t="s">
        <v>129</v>
      </c>
      <c r="E1259">
        <v>0</v>
      </c>
      <c r="F1259">
        <v>0</v>
      </c>
      <c r="G1259" t="s">
        <v>2</v>
      </c>
      <c r="H1259" cm="1">
        <f t="array" ref="H1259">sentimentCalc(B1259)</f>
        <v>0</v>
      </c>
      <c r="I1259" s="5" t="str" cm="1">
        <f t="array" ref="I1259">sentimentCategory(H1259)</f>
        <v>Neutral</v>
      </c>
    </row>
    <row r="1260" spans="1:9" x14ac:dyDescent="0.2">
      <c r="A1260" s="3"/>
      <c r="H1260" cm="1">
        <f t="array" ref="H1260">sentimentCalc(B1260)</f>
        <v>0</v>
      </c>
      <c r="I1260" s="5" t="str" cm="1">
        <f t="array" ref="I1260">sentimentCategory(H1260)</f>
        <v>Neutral</v>
      </c>
    </row>
    <row r="1261" spans="1:9" x14ac:dyDescent="0.2">
      <c r="A1261" s="3">
        <v>46226.921492997688</v>
      </c>
      <c r="B1261" t="s">
        <v>336</v>
      </c>
      <c r="C1261" t="s">
        <v>128</v>
      </c>
      <c r="D1261" t="s">
        <v>129</v>
      </c>
      <c r="E1261">
        <v>0</v>
      </c>
      <c r="F1261">
        <v>0</v>
      </c>
      <c r="G1261" t="s">
        <v>2</v>
      </c>
      <c r="H1261" cm="1">
        <f t="array" ref="H1261">sentimentCalc(B1261)</f>
        <v>0</v>
      </c>
      <c r="I1261" s="5" t="str" cm="1">
        <f t="array" ref="I1261">sentimentCategory(H1261)</f>
        <v>Neutral</v>
      </c>
    </row>
    <row r="1262" spans="1:9" x14ac:dyDescent="0.2">
      <c r="A1262" s="3">
        <v>46227.921492997688</v>
      </c>
      <c r="B1262" t="s">
        <v>848</v>
      </c>
      <c r="C1262" t="s">
        <v>128</v>
      </c>
      <c r="D1262" t="s">
        <v>129</v>
      </c>
      <c r="E1262">
        <v>0</v>
      </c>
      <c r="F1262">
        <v>0</v>
      </c>
      <c r="G1262" t="s">
        <v>2</v>
      </c>
      <c r="H1262" cm="1">
        <f t="array" ref="H1262">sentimentCalc(B1262)</f>
        <v>-10</v>
      </c>
      <c r="I1262" s="5" t="str" cm="1">
        <f t="array" ref="I1262">sentimentCategory(H1262)</f>
        <v>Negative</v>
      </c>
    </row>
    <row r="1263" spans="1:9" x14ac:dyDescent="0.2">
      <c r="A1263" s="3"/>
      <c r="H1263" cm="1">
        <f t="array" ref="H1263">sentimentCalc(B1263)</f>
        <v>0</v>
      </c>
      <c r="I1263" s="5" t="str" cm="1">
        <f t="array" ref="I1263">sentimentCategory(H1263)</f>
        <v>Neutral</v>
      </c>
    </row>
    <row r="1264" spans="1:9" x14ac:dyDescent="0.2">
      <c r="A1264" s="3">
        <v>46229.921492997688</v>
      </c>
      <c r="B1264" t="s">
        <v>192</v>
      </c>
      <c r="C1264" t="s">
        <v>128</v>
      </c>
      <c r="D1264" t="s">
        <v>129</v>
      </c>
      <c r="E1264">
        <v>0</v>
      </c>
      <c r="F1264">
        <v>0</v>
      </c>
      <c r="G1264" t="s">
        <v>2</v>
      </c>
      <c r="H1264" cm="1">
        <f t="array" ref="H1264">sentimentCalc(B1264)</f>
        <v>-10</v>
      </c>
      <c r="I1264" s="5" t="str" cm="1">
        <f t="array" ref="I1264">sentimentCategory(H1264)</f>
        <v>Negative</v>
      </c>
    </row>
    <row r="1265" spans="1:9" x14ac:dyDescent="0.2">
      <c r="A1265" s="3"/>
      <c r="H1265" cm="1">
        <f t="array" ref="H1265">sentimentCalc(B1265)</f>
        <v>0</v>
      </c>
      <c r="I1265" s="5" t="str" cm="1">
        <f t="array" ref="I1265">sentimentCategory(H1265)</f>
        <v>Neutral</v>
      </c>
    </row>
    <row r="1266" spans="1:9" x14ac:dyDescent="0.2">
      <c r="A1266" s="3">
        <v>46231.921492997688</v>
      </c>
      <c r="B1266" t="s">
        <v>1278</v>
      </c>
      <c r="C1266" t="s">
        <v>143</v>
      </c>
      <c r="D1266" t="s">
        <v>129</v>
      </c>
      <c r="E1266">
        <v>0</v>
      </c>
      <c r="F1266">
        <v>0</v>
      </c>
      <c r="G1266" t="s">
        <v>2</v>
      </c>
      <c r="H1266" cm="1">
        <f t="array" ref="H1266">sentimentCalc(B1266)</f>
        <v>-10</v>
      </c>
      <c r="I1266" s="5" t="str" cm="1">
        <f t="array" ref="I1266">sentimentCategory(H1266)</f>
        <v>Negative</v>
      </c>
    </row>
    <row r="1267" spans="1:9" x14ac:dyDescent="0.2">
      <c r="A1267" s="3"/>
      <c r="H1267" cm="1">
        <f t="array" ref="H1267">sentimentCalc(B1267)</f>
        <v>0</v>
      </c>
      <c r="I1267" s="5" t="str" cm="1">
        <f t="array" ref="I1267">sentimentCategory(H1267)</f>
        <v>Neutral</v>
      </c>
    </row>
    <row r="1268" spans="1:9" x14ac:dyDescent="0.2">
      <c r="A1268" s="3">
        <v>46233.921492997688</v>
      </c>
      <c r="B1268" t="s">
        <v>396</v>
      </c>
      <c r="C1268" t="s">
        <v>128</v>
      </c>
      <c r="D1268" t="s">
        <v>129</v>
      </c>
      <c r="E1268">
        <v>0</v>
      </c>
      <c r="F1268">
        <v>0</v>
      </c>
      <c r="G1268" t="s">
        <v>2</v>
      </c>
      <c r="H1268" cm="1">
        <f t="array" ref="H1268">sentimentCalc(B1268)</f>
        <v>0</v>
      </c>
      <c r="I1268" s="5" t="str" cm="1">
        <f t="array" ref="I1268">sentimentCategory(H1268)</f>
        <v>Neutral</v>
      </c>
    </row>
    <row r="1269" spans="1:9" x14ac:dyDescent="0.2">
      <c r="A1269" s="3">
        <v>46234.921492997688</v>
      </c>
      <c r="B1269" t="s">
        <v>3</v>
      </c>
      <c r="C1269" t="s">
        <v>4</v>
      </c>
      <c r="D1269" t="s">
        <v>5</v>
      </c>
      <c r="E1269">
        <v>0</v>
      </c>
      <c r="F1269">
        <v>0</v>
      </c>
      <c r="G1269" t="s">
        <v>2</v>
      </c>
      <c r="H1269" cm="1">
        <f t="array" ref="H1269">sentimentCalc(B1269)</f>
        <v>0</v>
      </c>
      <c r="I1269" s="5" t="str" cm="1">
        <f t="array" ref="I1269">sentimentCategory(H1269)</f>
        <v>Neutral</v>
      </c>
    </row>
    <row r="1270" spans="1:9" x14ac:dyDescent="0.2">
      <c r="A1270" s="3"/>
      <c r="H1270" cm="1">
        <f t="array" ref="H1270">sentimentCalc(B1270)</f>
        <v>0</v>
      </c>
      <c r="I1270" s="5" t="str" cm="1">
        <f t="array" ref="I1270">sentimentCategory(H1270)</f>
        <v>Neutral</v>
      </c>
    </row>
    <row r="1271" spans="1:9" x14ac:dyDescent="0.2">
      <c r="A1271" s="3">
        <v>46236.921492997688</v>
      </c>
      <c r="B1271" t="s">
        <v>902</v>
      </c>
      <c r="C1271" t="s">
        <v>143</v>
      </c>
      <c r="D1271" t="s">
        <v>129</v>
      </c>
      <c r="E1271">
        <v>0</v>
      </c>
      <c r="F1271">
        <v>0</v>
      </c>
      <c r="G1271" t="s">
        <v>2</v>
      </c>
      <c r="H1271" cm="1">
        <f t="array" ref="H1271">sentimentCalc(B1271)</f>
        <v>-10</v>
      </c>
      <c r="I1271" s="5" t="str" cm="1">
        <f t="array" ref="I1271">sentimentCategory(H1271)</f>
        <v>Negative</v>
      </c>
    </row>
    <row r="1272" spans="1:9" x14ac:dyDescent="0.2">
      <c r="A1272" s="3">
        <v>46237.921492997688</v>
      </c>
      <c r="B1272" t="s">
        <v>179</v>
      </c>
      <c r="C1272" t="s">
        <v>128</v>
      </c>
      <c r="D1272" t="s">
        <v>129</v>
      </c>
      <c r="E1272">
        <v>0</v>
      </c>
      <c r="F1272">
        <v>0</v>
      </c>
      <c r="G1272" t="s">
        <v>2</v>
      </c>
      <c r="H1272" cm="1">
        <f t="array" ref="H1272">sentimentCalc(B1272)</f>
        <v>-10</v>
      </c>
      <c r="I1272" s="5" t="str" cm="1">
        <f t="array" ref="I1272">sentimentCategory(H1272)</f>
        <v>Negative</v>
      </c>
    </row>
    <row r="1273" spans="1:9" x14ac:dyDescent="0.2">
      <c r="A1273" s="3">
        <v>46238.921492997688</v>
      </c>
      <c r="B1273" t="s">
        <v>1468</v>
      </c>
      <c r="C1273" t="s">
        <v>12</v>
      </c>
      <c r="D1273" t="s">
        <v>13</v>
      </c>
      <c r="E1273">
        <v>0</v>
      </c>
      <c r="F1273">
        <v>0</v>
      </c>
      <c r="G1273" t="s">
        <v>2</v>
      </c>
      <c r="H1273" cm="1">
        <f t="array" ref="H1273">sentimentCalc(B1273)</f>
        <v>0</v>
      </c>
      <c r="I1273" s="5" t="str" cm="1">
        <f t="array" ref="I1273">sentimentCategory(H1273)</f>
        <v>Neutral</v>
      </c>
    </row>
    <row r="1274" spans="1:9" x14ac:dyDescent="0.2">
      <c r="A1274" s="3">
        <v>46239.921492997688</v>
      </c>
      <c r="B1274" t="s">
        <v>1469</v>
      </c>
      <c r="C1274" t="s">
        <v>1470</v>
      </c>
      <c r="D1274" t="s">
        <v>1471</v>
      </c>
      <c r="E1274">
        <v>1</v>
      </c>
      <c r="F1274">
        <v>2</v>
      </c>
      <c r="G1274" t="s">
        <v>2</v>
      </c>
      <c r="H1274" cm="1">
        <f t="array" ref="H1274">sentimentCalc(B1274)</f>
        <v>10</v>
      </c>
      <c r="I1274" s="5" t="str" cm="1">
        <f t="array" ref="I1274">sentimentCategory(H1274)</f>
        <v>Positive</v>
      </c>
    </row>
    <row r="1275" spans="1:9" x14ac:dyDescent="0.2">
      <c r="A1275" s="3">
        <v>46240.921492997688</v>
      </c>
      <c r="B1275" t="s">
        <v>1472</v>
      </c>
      <c r="C1275" t="s">
        <v>1473</v>
      </c>
      <c r="E1275">
        <v>0</v>
      </c>
      <c r="F1275">
        <v>0</v>
      </c>
      <c r="G1275" t="s">
        <v>2</v>
      </c>
      <c r="H1275" cm="1">
        <f t="array" ref="H1275">sentimentCalc(B1275)</f>
        <v>0</v>
      </c>
      <c r="I1275" s="5" t="str" cm="1">
        <f t="array" ref="I1275">sentimentCategory(H1275)</f>
        <v>Neutral</v>
      </c>
    </row>
    <row r="1276" spans="1:9" x14ac:dyDescent="0.2">
      <c r="A1276" s="3"/>
      <c r="H1276" cm="1">
        <f t="array" ref="H1276">sentimentCalc(B1276)</f>
        <v>0</v>
      </c>
      <c r="I1276" s="5" t="str" cm="1">
        <f t="array" ref="I1276">sentimentCategory(H1276)</f>
        <v>Neutral</v>
      </c>
    </row>
    <row r="1277" spans="1:9" x14ac:dyDescent="0.2">
      <c r="A1277" s="3">
        <v>46242.921492997688</v>
      </c>
      <c r="B1277" t="s">
        <v>169</v>
      </c>
      <c r="C1277" t="s">
        <v>128</v>
      </c>
      <c r="D1277" t="s">
        <v>129</v>
      </c>
      <c r="E1277">
        <v>0</v>
      </c>
      <c r="F1277">
        <v>0</v>
      </c>
      <c r="G1277" t="s">
        <v>2</v>
      </c>
      <c r="H1277" cm="1">
        <f t="array" ref="H1277">sentimentCalc(B1277)</f>
        <v>0</v>
      </c>
      <c r="I1277" s="5" t="str" cm="1">
        <f t="array" ref="I1277">sentimentCategory(H1277)</f>
        <v>Neutral</v>
      </c>
    </row>
    <row r="1278" spans="1:9" x14ac:dyDescent="0.2">
      <c r="A1278" s="3">
        <v>46243.921492997688</v>
      </c>
      <c r="B1278" t="s">
        <v>423</v>
      </c>
      <c r="C1278" t="s">
        <v>128</v>
      </c>
      <c r="D1278" t="s">
        <v>129</v>
      </c>
      <c r="E1278">
        <v>0</v>
      </c>
      <c r="F1278">
        <v>0</v>
      </c>
      <c r="G1278" t="s">
        <v>2</v>
      </c>
      <c r="H1278" cm="1">
        <f t="array" ref="H1278">sentimentCalc(B1278)</f>
        <v>-10</v>
      </c>
      <c r="I1278" s="5" t="str" cm="1">
        <f t="array" ref="I1278">sentimentCategory(H1278)</f>
        <v>Negative</v>
      </c>
    </row>
    <row r="1279" spans="1:9" x14ac:dyDescent="0.2">
      <c r="A1279" s="3"/>
      <c r="H1279" cm="1">
        <f t="array" ref="H1279">sentimentCalc(B1279)</f>
        <v>0</v>
      </c>
      <c r="I1279" s="5" t="str" cm="1">
        <f t="array" ref="I1279">sentimentCategory(H1279)</f>
        <v>Neutral</v>
      </c>
    </row>
    <row r="1280" spans="1:9" x14ac:dyDescent="0.2">
      <c r="A1280" s="3">
        <v>46245.921492997688</v>
      </c>
      <c r="B1280" t="s">
        <v>141</v>
      </c>
      <c r="C1280" t="s">
        <v>128</v>
      </c>
      <c r="D1280" t="s">
        <v>129</v>
      </c>
      <c r="E1280">
        <v>0</v>
      </c>
      <c r="F1280">
        <v>0</v>
      </c>
      <c r="G1280" t="s">
        <v>2</v>
      </c>
      <c r="H1280" cm="1">
        <f t="array" ref="H1280">sentimentCalc(B1280)</f>
        <v>0</v>
      </c>
      <c r="I1280" s="5" t="str" cm="1">
        <f t="array" ref="I1280">sentimentCategory(H1280)</f>
        <v>Neutral</v>
      </c>
    </row>
    <row r="1281" spans="1:9" x14ac:dyDescent="0.2">
      <c r="A1281" s="3"/>
      <c r="H1281" cm="1">
        <f t="array" ref="H1281">sentimentCalc(B1281)</f>
        <v>0</v>
      </c>
      <c r="I1281" s="5" t="str" cm="1">
        <f t="array" ref="I1281">sentimentCategory(H1281)</f>
        <v>Neutral</v>
      </c>
    </row>
    <row r="1282" spans="1:9" x14ac:dyDescent="0.2">
      <c r="A1282" s="3">
        <v>46247.921492997688</v>
      </c>
      <c r="B1282" t="s">
        <v>973</v>
      </c>
      <c r="C1282" t="s">
        <v>143</v>
      </c>
      <c r="D1282" t="s">
        <v>129</v>
      </c>
      <c r="E1282">
        <v>0</v>
      </c>
      <c r="F1282">
        <v>0</v>
      </c>
      <c r="G1282" t="s">
        <v>2</v>
      </c>
      <c r="H1282" cm="1">
        <f t="array" ref="H1282">sentimentCalc(B1282)</f>
        <v>-10</v>
      </c>
      <c r="I1282" s="5" t="str" cm="1">
        <f t="array" ref="I1282">sentimentCategory(H1282)</f>
        <v>Negative</v>
      </c>
    </row>
    <row r="1283" spans="1:9" x14ac:dyDescent="0.2">
      <c r="A1283" s="3">
        <v>46248.921492997688</v>
      </c>
      <c r="B1283" t="s">
        <v>1474</v>
      </c>
      <c r="C1283" t="s">
        <v>7</v>
      </c>
      <c r="E1283">
        <v>0</v>
      </c>
      <c r="F1283">
        <v>0</v>
      </c>
      <c r="G1283" t="s">
        <v>2</v>
      </c>
      <c r="H1283" cm="1">
        <f t="array" ref="H1283">sentimentCalc(B1283)</f>
        <v>0</v>
      </c>
      <c r="I1283" s="5" t="str" cm="1">
        <f t="array" ref="I1283">sentimentCategory(H1283)</f>
        <v>Neutral</v>
      </c>
    </row>
    <row r="1284" spans="1:9" x14ac:dyDescent="0.2">
      <c r="A1284" s="3"/>
      <c r="H1284" cm="1">
        <f t="array" ref="H1284">sentimentCalc(B1284)</f>
        <v>0</v>
      </c>
      <c r="I1284" s="5" t="str" cm="1">
        <f t="array" ref="I1284">sentimentCategory(H1284)</f>
        <v>Neutral</v>
      </c>
    </row>
    <row r="1285" spans="1:9" x14ac:dyDescent="0.2">
      <c r="A1285" s="3">
        <v>46250.921492997688</v>
      </c>
      <c r="B1285" t="s">
        <v>193</v>
      </c>
      <c r="C1285" t="s">
        <v>128</v>
      </c>
      <c r="D1285" t="s">
        <v>129</v>
      </c>
      <c r="E1285">
        <v>0</v>
      </c>
      <c r="F1285">
        <v>0</v>
      </c>
      <c r="G1285" t="s">
        <v>2</v>
      </c>
      <c r="H1285" cm="1">
        <f t="array" ref="H1285">sentimentCalc(B1285)</f>
        <v>0</v>
      </c>
      <c r="I1285" s="5" t="str" cm="1">
        <f t="array" ref="I1285">sentimentCategory(H1285)</f>
        <v>Neutral</v>
      </c>
    </row>
    <row r="1286" spans="1:9" x14ac:dyDescent="0.2">
      <c r="A1286" s="3">
        <v>46251.921492997688</v>
      </c>
      <c r="B1286" t="s">
        <v>1475</v>
      </c>
      <c r="C1286" t="s">
        <v>1476</v>
      </c>
      <c r="E1286">
        <v>0</v>
      </c>
      <c r="F1286">
        <v>0</v>
      </c>
      <c r="G1286" t="s">
        <v>2</v>
      </c>
      <c r="H1286" cm="1">
        <f t="array" ref="H1286">sentimentCalc(B1286)</f>
        <v>0</v>
      </c>
      <c r="I1286" s="5" t="str" cm="1">
        <f t="array" ref="I1286">sentimentCategory(H1286)</f>
        <v>Neutral</v>
      </c>
    </row>
    <row r="1287" spans="1:9" x14ac:dyDescent="0.2">
      <c r="A1287" s="3">
        <v>46252.921492997688</v>
      </c>
      <c r="B1287" t="s">
        <v>1477</v>
      </c>
      <c r="C1287" t="s">
        <v>1478</v>
      </c>
      <c r="E1287">
        <v>0</v>
      </c>
      <c r="F1287">
        <v>0</v>
      </c>
      <c r="G1287" t="s">
        <v>2</v>
      </c>
      <c r="H1287" cm="1">
        <f t="array" ref="H1287">sentimentCalc(B1287)</f>
        <v>0</v>
      </c>
      <c r="I1287" s="5" t="str" cm="1">
        <f t="array" ref="I1287">sentimentCategory(H1287)</f>
        <v>Neutral</v>
      </c>
    </row>
    <row r="1288" spans="1:9" x14ac:dyDescent="0.2">
      <c r="A1288" s="3"/>
      <c r="H1288" cm="1">
        <f t="array" ref="H1288">sentimentCalc(B1288)</f>
        <v>0</v>
      </c>
      <c r="I1288" s="5" t="str" cm="1">
        <f t="array" ref="I1288">sentimentCategory(H1288)</f>
        <v>Neutral</v>
      </c>
    </row>
    <row r="1289" spans="1:9" x14ac:dyDescent="0.2">
      <c r="A1289" s="3">
        <v>46254.921492997688</v>
      </c>
      <c r="B1289" t="s">
        <v>370</v>
      </c>
      <c r="C1289" t="s">
        <v>128</v>
      </c>
      <c r="D1289" t="s">
        <v>129</v>
      </c>
      <c r="E1289">
        <v>0</v>
      </c>
      <c r="F1289">
        <v>0</v>
      </c>
      <c r="G1289" t="s">
        <v>2</v>
      </c>
      <c r="H1289" cm="1">
        <f t="array" ref="H1289">sentimentCalc(B1289)</f>
        <v>-10</v>
      </c>
      <c r="I1289" s="5" t="str" cm="1">
        <f t="array" ref="I1289">sentimentCategory(H1289)</f>
        <v>Negative</v>
      </c>
    </row>
    <row r="1290" spans="1:9" x14ac:dyDescent="0.2">
      <c r="A1290" s="3">
        <v>46255.921492997688</v>
      </c>
      <c r="B1290" t="s">
        <v>21</v>
      </c>
      <c r="C1290" t="s">
        <v>22</v>
      </c>
      <c r="E1290">
        <v>0</v>
      </c>
      <c r="F1290">
        <v>0</v>
      </c>
      <c r="G1290" t="s">
        <v>2</v>
      </c>
      <c r="H1290" cm="1">
        <f t="array" ref="H1290">sentimentCalc(B1290)</f>
        <v>0</v>
      </c>
      <c r="I1290" s="5" t="str" cm="1">
        <f t="array" ref="I1290">sentimentCategory(H1290)</f>
        <v>Neutral</v>
      </c>
    </row>
    <row r="1291" spans="1:9" x14ac:dyDescent="0.2">
      <c r="A1291" s="3"/>
      <c r="H1291" cm="1">
        <f t="array" ref="H1291">sentimentCalc(B1291)</f>
        <v>0</v>
      </c>
      <c r="I1291" s="5" t="str" cm="1">
        <f t="array" ref="I1291">sentimentCategory(H1291)</f>
        <v>Neutral</v>
      </c>
    </row>
    <row r="1292" spans="1:9" x14ac:dyDescent="0.2">
      <c r="A1292" s="3">
        <v>46257.921492997688</v>
      </c>
      <c r="B1292" t="s">
        <v>1479</v>
      </c>
      <c r="C1292" t="s">
        <v>33</v>
      </c>
      <c r="D1292" t="s">
        <v>34</v>
      </c>
      <c r="E1292">
        <v>0</v>
      </c>
      <c r="F1292">
        <v>0</v>
      </c>
      <c r="G1292" t="s">
        <v>2</v>
      </c>
      <c r="H1292" cm="1">
        <f t="array" ref="H1292">sentimentCalc(B1292)</f>
        <v>0</v>
      </c>
      <c r="I1292" s="5" t="str" cm="1">
        <f t="array" ref="I1292">sentimentCategory(H1292)</f>
        <v>Neutral</v>
      </c>
    </row>
    <row r="1293" spans="1:9" x14ac:dyDescent="0.2">
      <c r="A1293" s="3">
        <v>46258.921492997688</v>
      </c>
      <c r="B1293" t="s">
        <v>36</v>
      </c>
      <c r="C1293" t="s">
        <v>33</v>
      </c>
      <c r="D1293" t="s">
        <v>34</v>
      </c>
      <c r="E1293">
        <v>0</v>
      </c>
      <c r="F1293">
        <v>0</v>
      </c>
      <c r="G1293" t="s">
        <v>2</v>
      </c>
      <c r="H1293" cm="1">
        <f t="array" ref="H1293">sentimentCalc(B1293)</f>
        <v>10</v>
      </c>
      <c r="I1293" s="5" t="str" cm="1">
        <f t="array" ref="I1293">sentimentCategory(H1293)</f>
        <v>Positive</v>
      </c>
    </row>
    <row r="1294" spans="1:9" x14ac:dyDescent="0.2">
      <c r="A1294" s="3">
        <v>46259.921492997688</v>
      </c>
      <c r="B1294" t="s">
        <v>37</v>
      </c>
      <c r="C1294" t="s">
        <v>33</v>
      </c>
      <c r="D1294" t="s">
        <v>34</v>
      </c>
      <c r="E1294">
        <v>0</v>
      </c>
      <c r="F1294">
        <v>0</v>
      </c>
      <c r="G1294" t="s">
        <v>2</v>
      </c>
      <c r="H1294" cm="1">
        <f t="array" ref="H1294">sentimentCalc(B1294)</f>
        <v>0</v>
      </c>
      <c r="I1294" s="5" t="str" cm="1">
        <f t="array" ref="I1294">sentimentCategory(H1294)</f>
        <v>Neutral</v>
      </c>
    </row>
    <row r="1295" spans="1:9" x14ac:dyDescent="0.2">
      <c r="A1295" s="3">
        <v>46260.921492997688</v>
      </c>
      <c r="B1295" t="s">
        <v>1480</v>
      </c>
      <c r="C1295" t="s">
        <v>1481</v>
      </c>
      <c r="D1295" t="s">
        <v>1482</v>
      </c>
      <c r="E1295">
        <v>0</v>
      </c>
      <c r="F1295">
        <v>1</v>
      </c>
      <c r="G1295" t="s">
        <v>2</v>
      </c>
      <c r="H1295" cm="1">
        <f t="array" ref="H1295">sentimentCalc(B1295)</f>
        <v>0</v>
      </c>
      <c r="I1295" s="5" t="str" cm="1">
        <f t="array" ref="I1295">sentimentCategory(H1295)</f>
        <v>Neutral</v>
      </c>
    </row>
    <row r="1296" spans="1:9" x14ac:dyDescent="0.2">
      <c r="A1296" s="3">
        <v>46261.921492997688</v>
      </c>
      <c r="B1296" t="s">
        <v>1483</v>
      </c>
      <c r="C1296" t="s">
        <v>7</v>
      </c>
      <c r="E1296">
        <v>0</v>
      </c>
      <c r="F1296">
        <v>0</v>
      </c>
      <c r="G1296" t="s">
        <v>2</v>
      </c>
      <c r="H1296" cm="1">
        <f t="array" ref="H1296">sentimentCalc(B1296)</f>
        <v>0</v>
      </c>
      <c r="I1296" s="5" t="str" cm="1">
        <f t="array" ref="I1296">sentimentCategory(H1296)</f>
        <v>Neutral</v>
      </c>
    </row>
    <row r="1297" spans="1:9" x14ac:dyDescent="0.2">
      <c r="A1297" s="3">
        <v>46262.921492997688</v>
      </c>
      <c r="B1297" t="s">
        <v>1484</v>
      </c>
      <c r="C1297" t="s">
        <v>15</v>
      </c>
      <c r="E1297">
        <v>0</v>
      </c>
      <c r="F1297">
        <v>0</v>
      </c>
      <c r="G1297" t="s">
        <v>2</v>
      </c>
      <c r="H1297" cm="1">
        <f t="array" ref="H1297">sentimentCalc(B1297)</f>
        <v>0</v>
      </c>
      <c r="I1297" s="5" t="str" cm="1">
        <f t="array" ref="I1297">sentimentCategory(H1297)</f>
        <v>Neutral</v>
      </c>
    </row>
    <row r="1298" spans="1:9" x14ac:dyDescent="0.2">
      <c r="A1298" s="3">
        <v>46263.921492997688</v>
      </c>
      <c r="B1298" t="s">
        <v>760</v>
      </c>
      <c r="C1298" t="s">
        <v>608</v>
      </c>
      <c r="E1298">
        <v>0</v>
      </c>
      <c r="F1298">
        <v>0</v>
      </c>
      <c r="G1298" t="s">
        <v>2</v>
      </c>
      <c r="H1298" cm="1">
        <f t="array" ref="H1298">sentimentCalc(B1298)</f>
        <v>0</v>
      </c>
      <c r="I1298" s="5" t="str" cm="1">
        <f t="array" ref="I1298">sentimentCategory(H1298)</f>
        <v>Neutral</v>
      </c>
    </row>
    <row r="1299" spans="1:9" x14ac:dyDescent="0.2">
      <c r="A1299" s="3">
        <v>46264.921492997688</v>
      </c>
      <c r="B1299" t="s">
        <v>1485</v>
      </c>
      <c r="C1299" t="s">
        <v>1486</v>
      </c>
      <c r="D1299" t="s">
        <v>69</v>
      </c>
      <c r="E1299">
        <v>3</v>
      </c>
      <c r="F1299">
        <v>27</v>
      </c>
      <c r="G1299" t="s">
        <v>2</v>
      </c>
      <c r="H1299" cm="1">
        <f t="array" ref="H1299">sentimentCalc(B1299)</f>
        <v>0</v>
      </c>
      <c r="I1299" s="5" t="str" cm="1">
        <f t="array" ref="I1299">sentimentCategory(H1299)</f>
        <v>Neutral</v>
      </c>
    </row>
    <row r="1300" spans="1:9" x14ac:dyDescent="0.2">
      <c r="A1300" s="3">
        <v>46265.921492997688</v>
      </c>
      <c r="B1300" t="s">
        <v>1487</v>
      </c>
      <c r="C1300" t="s">
        <v>1488</v>
      </c>
      <c r="D1300" t="s">
        <v>1489</v>
      </c>
      <c r="E1300">
        <v>0</v>
      </c>
      <c r="F1300">
        <v>0</v>
      </c>
      <c r="G1300" t="s">
        <v>2</v>
      </c>
      <c r="H1300" cm="1">
        <f t="array" ref="H1300">sentimentCalc(B1300)</f>
        <v>0</v>
      </c>
      <c r="I1300" s="5" t="str" cm="1">
        <f t="array" ref="I1300">sentimentCategory(H1300)</f>
        <v>Neutral</v>
      </c>
    </row>
    <row r="1301" spans="1:9" x14ac:dyDescent="0.2">
      <c r="A1301" s="3"/>
      <c r="H1301" cm="1">
        <f t="array" ref="H1301">sentimentCalc(B1301)</f>
        <v>0</v>
      </c>
      <c r="I1301" s="5" t="str" cm="1">
        <f t="array" ref="I1301">sentimentCategory(H1301)</f>
        <v>Neutral</v>
      </c>
    </row>
    <row r="1302" spans="1:9" x14ac:dyDescent="0.2">
      <c r="A1302" s="3"/>
      <c r="H1302" cm="1">
        <f t="array" ref="H1302">sentimentCalc(B1302)</f>
        <v>0</v>
      </c>
      <c r="I1302" s="5" t="str" cm="1">
        <f t="array" ref="I1302">sentimentCategory(H1302)</f>
        <v>Neutral</v>
      </c>
    </row>
    <row r="1303" spans="1:9" x14ac:dyDescent="0.2">
      <c r="A1303" s="3"/>
      <c r="H1303" cm="1">
        <f t="array" ref="H1303">sentimentCalc(B1303)</f>
        <v>0</v>
      </c>
      <c r="I1303" s="5" t="str" cm="1">
        <f t="array" ref="I1303">sentimentCategory(H1303)</f>
        <v>Neutral</v>
      </c>
    </row>
    <row r="1304" spans="1:9" x14ac:dyDescent="0.2">
      <c r="A1304" s="3"/>
      <c r="H1304" cm="1">
        <f t="array" ref="H1304">sentimentCalc(B1304)</f>
        <v>0</v>
      </c>
      <c r="I1304" s="5" t="str" cm="1">
        <f t="array" ref="I1304">sentimentCategory(H1304)</f>
        <v>Neutral</v>
      </c>
    </row>
    <row r="1305" spans="1:9" x14ac:dyDescent="0.2">
      <c r="A1305" s="3"/>
      <c r="H1305" cm="1">
        <f t="array" ref="H1305">sentimentCalc(B1305)</f>
        <v>0</v>
      </c>
      <c r="I1305" s="5" t="str" cm="1">
        <f t="array" ref="I1305">sentimentCategory(H1305)</f>
        <v>Neutral</v>
      </c>
    </row>
    <row r="1306" spans="1:9" x14ac:dyDescent="0.2">
      <c r="A1306" s="3">
        <v>46271.921492997688</v>
      </c>
      <c r="B1306" t="s">
        <v>429</v>
      </c>
      <c r="C1306" t="s">
        <v>128</v>
      </c>
      <c r="D1306" t="s">
        <v>129</v>
      </c>
      <c r="E1306">
        <v>0</v>
      </c>
      <c r="F1306">
        <v>0</v>
      </c>
      <c r="G1306" t="s">
        <v>2</v>
      </c>
      <c r="H1306" cm="1">
        <f t="array" ref="H1306">sentimentCalc(B1306)</f>
        <v>-10</v>
      </c>
      <c r="I1306" s="5" t="str" cm="1">
        <f t="array" ref="I1306">sentimentCategory(H1306)</f>
        <v>Negative</v>
      </c>
    </row>
    <row r="1307" spans="1:9" x14ac:dyDescent="0.2">
      <c r="A1307" s="3">
        <v>46272.921492997688</v>
      </c>
      <c r="B1307" t="s">
        <v>1490</v>
      </c>
      <c r="C1307" t="s">
        <v>1476</v>
      </c>
      <c r="E1307">
        <v>0</v>
      </c>
      <c r="F1307">
        <v>0</v>
      </c>
      <c r="G1307" t="s">
        <v>2</v>
      </c>
      <c r="H1307" cm="1">
        <f t="array" ref="H1307">sentimentCalc(B1307)</f>
        <v>0</v>
      </c>
      <c r="I1307" s="5" t="str" cm="1">
        <f t="array" ref="I1307">sentimentCategory(H1307)</f>
        <v>Neutral</v>
      </c>
    </row>
    <row r="1308" spans="1:9" x14ac:dyDescent="0.2">
      <c r="A1308" s="3">
        <v>46273.921492997688</v>
      </c>
      <c r="B1308" t="s">
        <v>1491</v>
      </c>
      <c r="C1308" t="s">
        <v>7</v>
      </c>
      <c r="E1308">
        <v>0</v>
      </c>
      <c r="F1308">
        <v>0</v>
      </c>
      <c r="G1308" t="s">
        <v>2</v>
      </c>
      <c r="H1308" cm="1">
        <f t="array" ref="H1308">sentimentCalc(B1308)</f>
        <v>0</v>
      </c>
      <c r="I1308" s="5" t="str" cm="1">
        <f t="array" ref="I1308">sentimentCategory(H1308)</f>
        <v>Neutral</v>
      </c>
    </row>
    <row r="1309" spans="1:9" x14ac:dyDescent="0.2">
      <c r="A1309" s="3">
        <v>46274.921492997688</v>
      </c>
      <c r="B1309" t="s">
        <v>1492</v>
      </c>
      <c r="C1309" t="s">
        <v>290</v>
      </c>
      <c r="D1309" t="s">
        <v>291</v>
      </c>
      <c r="E1309">
        <v>0</v>
      </c>
      <c r="F1309">
        <v>0</v>
      </c>
      <c r="G1309" t="s">
        <v>2</v>
      </c>
      <c r="H1309" cm="1">
        <f t="array" ref="H1309">sentimentCalc(B1309)</f>
        <v>0</v>
      </c>
      <c r="I1309" s="5" t="str" cm="1">
        <f t="array" ref="I1309">sentimentCategory(H1309)</f>
        <v>Neutral</v>
      </c>
    </row>
    <row r="1310" spans="1:9" x14ac:dyDescent="0.2">
      <c r="A1310" s="3">
        <v>46275.921492997688</v>
      </c>
      <c r="B1310" t="s">
        <v>1493</v>
      </c>
      <c r="C1310" t="s">
        <v>1494</v>
      </c>
      <c r="E1310">
        <v>0</v>
      </c>
      <c r="F1310">
        <v>0</v>
      </c>
      <c r="G1310" t="s">
        <v>2</v>
      </c>
      <c r="H1310" cm="1">
        <f t="array" ref="H1310">sentimentCalc(B1310)</f>
        <v>10</v>
      </c>
      <c r="I1310" s="5" t="str" cm="1">
        <f t="array" ref="I1310">sentimentCategory(H1310)</f>
        <v>Positive</v>
      </c>
    </row>
    <row r="1311" spans="1:9" x14ac:dyDescent="0.2">
      <c r="A1311" s="3">
        <v>46276.921492997688</v>
      </c>
      <c r="B1311" t="s">
        <v>1495</v>
      </c>
      <c r="C1311" t="s">
        <v>1496</v>
      </c>
      <c r="E1311">
        <v>0</v>
      </c>
      <c r="F1311">
        <v>0</v>
      </c>
      <c r="G1311" t="s">
        <v>2</v>
      </c>
      <c r="H1311" cm="1">
        <f t="array" ref="H1311">sentimentCalc(B1311)</f>
        <v>0</v>
      </c>
      <c r="I1311" s="5" t="str" cm="1">
        <f t="array" ref="I1311">sentimentCategory(H1311)</f>
        <v>Neutral</v>
      </c>
    </row>
    <row r="1312" spans="1:9" x14ac:dyDescent="0.2">
      <c r="A1312" s="3">
        <v>46277.921492997688</v>
      </c>
      <c r="B1312" t="s">
        <v>1497</v>
      </c>
      <c r="C1312" t="s">
        <v>1498</v>
      </c>
      <c r="D1312" t="s">
        <v>1499</v>
      </c>
      <c r="E1312">
        <v>0</v>
      </c>
      <c r="F1312">
        <v>0</v>
      </c>
      <c r="G1312" t="s">
        <v>2</v>
      </c>
      <c r="H1312" cm="1">
        <f t="array" ref="H1312">sentimentCalc(B1312)</f>
        <v>0</v>
      </c>
      <c r="I1312" s="5" t="str" cm="1">
        <f t="array" ref="I1312">sentimentCategory(H1312)</f>
        <v>Neutral</v>
      </c>
    </row>
    <row r="1313" spans="1:9" x14ac:dyDescent="0.2">
      <c r="A1313" s="3">
        <v>46278.921492997688</v>
      </c>
      <c r="B1313" t="s">
        <v>1500</v>
      </c>
      <c r="C1313" t="s">
        <v>7</v>
      </c>
      <c r="E1313">
        <v>0</v>
      </c>
      <c r="F1313">
        <v>0</v>
      </c>
      <c r="G1313" t="s">
        <v>2</v>
      </c>
      <c r="H1313" cm="1">
        <f t="array" ref="H1313">sentimentCalc(B1313)</f>
        <v>0</v>
      </c>
      <c r="I1313" s="5" t="str" cm="1">
        <f t="array" ref="I1313">sentimentCategory(H1313)</f>
        <v>Neutral</v>
      </c>
    </row>
    <row r="1314" spans="1:9" x14ac:dyDescent="0.2">
      <c r="A1314" s="3">
        <v>46279.921492997688</v>
      </c>
      <c r="B1314" t="s">
        <v>1501</v>
      </c>
      <c r="C1314" t="s">
        <v>7</v>
      </c>
      <c r="E1314">
        <v>0</v>
      </c>
      <c r="F1314">
        <v>0</v>
      </c>
      <c r="G1314" t="s">
        <v>2</v>
      </c>
      <c r="H1314" cm="1">
        <f t="array" ref="H1314">sentimentCalc(B1314)</f>
        <v>0</v>
      </c>
      <c r="I1314" s="5" t="str" cm="1">
        <f t="array" ref="I1314">sentimentCategory(H1314)</f>
        <v>Neutral</v>
      </c>
    </row>
    <row r="1315" spans="1:9" x14ac:dyDescent="0.2">
      <c r="A1315" s="3">
        <v>46280.921492997688</v>
      </c>
      <c r="B1315" t="s">
        <v>1502</v>
      </c>
      <c r="C1315" t="s">
        <v>695</v>
      </c>
      <c r="D1315" t="s">
        <v>158</v>
      </c>
      <c r="E1315">
        <v>6</v>
      </c>
      <c r="F1315">
        <v>2</v>
      </c>
      <c r="G1315" t="s">
        <v>2</v>
      </c>
      <c r="H1315" cm="1">
        <f t="array" ref="H1315">sentimentCalc(B1315)</f>
        <v>0</v>
      </c>
      <c r="I1315" s="5" t="str" cm="1">
        <f t="array" ref="I1315">sentimentCategory(H1315)</f>
        <v>Neutral</v>
      </c>
    </row>
    <row r="1316" spans="1:9" x14ac:dyDescent="0.2">
      <c r="A1316" s="3">
        <v>46281.921492997688</v>
      </c>
      <c r="B1316" t="s">
        <v>1503</v>
      </c>
      <c r="C1316" t="s">
        <v>1504</v>
      </c>
      <c r="E1316">
        <v>0</v>
      </c>
      <c r="F1316">
        <v>0</v>
      </c>
      <c r="G1316" t="s">
        <v>2</v>
      </c>
      <c r="H1316" cm="1">
        <f t="array" ref="H1316">sentimentCalc(B1316)</f>
        <v>0</v>
      </c>
      <c r="I1316" s="5" t="str" cm="1">
        <f t="array" ref="I1316">sentimentCategory(H1316)</f>
        <v>Neutral</v>
      </c>
    </row>
    <row r="1317" spans="1:9" x14ac:dyDescent="0.2">
      <c r="A1317" s="3">
        <v>46282.921492997688</v>
      </c>
      <c r="B1317" t="s">
        <v>1505</v>
      </c>
      <c r="C1317" t="s">
        <v>919</v>
      </c>
      <c r="D1317" t="s">
        <v>210</v>
      </c>
      <c r="E1317">
        <v>8</v>
      </c>
      <c r="F1317">
        <v>53</v>
      </c>
      <c r="G1317" t="s">
        <v>2</v>
      </c>
      <c r="H1317" cm="1">
        <f t="array" ref="H1317">sentimentCalc(B1317)</f>
        <v>0</v>
      </c>
      <c r="I1317" s="5" t="str" cm="1">
        <f t="array" ref="I1317">sentimentCategory(H1317)</f>
        <v>Neutral</v>
      </c>
    </row>
    <row r="1318" spans="1:9" x14ac:dyDescent="0.2">
      <c r="A1318" s="3">
        <v>46283.921492997688</v>
      </c>
      <c r="B1318" t="s">
        <v>1506</v>
      </c>
      <c r="C1318" t="s">
        <v>614</v>
      </c>
      <c r="D1318" t="s">
        <v>55</v>
      </c>
      <c r="E1318">
        <v>0</v>
      </c>
      <c r="F1318">
        <v>0</v>
      </c>
      <c r="G1318" t="s">
        <v>2</v>
      </c>
      <c r="H1318" cm="1">
        <f t="array" ref="H1318">sentimentCalc(B1318)</f>
        <v>-10</v>
      </c>
      <c r="I1318" s="5" t="str" cm="1">
        <f t="array" ref="I1318">sentimentCategory(H1318)</f>
        <v>Negative</v>
      </c>
    </row>
    <row r="1319" spans="1:9" x14ac:dyDescent="0.2">
      <c r="A1319" s="3">
        <v>46284.921492997688</v>
      </c>
      <c r="B1319" t="s">
        <v>325</v>
      </c>
      <c r="C1319" t="s">
        <v>143</v>
      </c>
      <c r="D1319" t="s">
        <v>129</v>
      </c>
      <c r="E1319">
        <v>0</v>
      </c>
      <c r="F1319">
        <v>1</v>
      </c>
      <c r="G1319" t="s">
        <v>2</v>
      </c>
      <c r="H1319" cm="1">
        <f t="array" ref="H1319">sentimentCalc(B1319)</f>
        <v>-10</v>
      </c>
      <c r="I1319" s="5" t="str" cm="1">
        <f t="array" ref="I1319">sentimentCategory(H1319)</f>
        <v>Negative</v>
      </c>
    </row>
    <row r="1320" spans="1:9" x14ac:dyDescent="0.2">
      <c r="A1320" s="3">
        <v>46285.921492997688</v>
      </c>
      <c r="B1320" t="s">
        <v>1507</v>
      </c>
      <c r="C1320" t="s">
        <v>1508</v>
      </c>
      <c r="D1320" t="s">
        <v>1409</v>
      </c>
      <c r="E1320">
        <v>0</v>
      </c>
      <c r="F1320">
        <v>0</v>
      </c>
      <c r="G1320" t="s">
        <v>2</v>
      </c>
      <c r="H1320" cm="1">
        <f t="array" ref="H1320">sentimentCalc(B1320)</f>
        <v>0</v>
      </c>
      <c r="I1320" s="5" t="str" cm="1">
        <f t="array" ref="I1320">sentimentCategory(H1320)</f>
        <v>Neutral</v>
      </c>
    </row>
    <row r="1321" spans="1:9" x14ac:dyDescent="0.2">
      <c r="A1321" s="3">
        <v>46286.921492997688</v>
      </c>
      <c r="B1321" t="s">
        <v>1509</v>
      </c>
      <c r="C1321" t="s">
        <v>7</v>
      </c>
      <c r="E1321">
        <v>0</v>
      </c>
      <c r="F1321">
        <v>0</v>
      </c>
      <c r="G1321" t="s">
        <v>2</v>
      </c>
      <c r="H1321" cm="1">
        <f t="array" ref="H1321">sentimentCalc(B1321)</f>
        <v>0</v>
      </c>
      <c r="I1321" s="5" t="str" cm="1">
        <f t="array" ref="I1321">sentimentCategory(H1321)</f>
        <v>Neutral</v>
      </c>
    </row>
    <row r="1322" spans="1:9" x14ac:dyDescent="0.2">
      <c r="A1322" s="3">
        <v>46287.921492997688</v>
      </c>
      <c r="B1322" t="s">
        <v>3</v>
      </c>
      <c r="C1322" t="s">
        <v>4</v>
      </c>
      <c r="D1322" t="s">
        <v>5</v>
      </c>
      <c r="E1322">
        <v>0</v>
      </c>
      <c r="F1322">
        <v>0</v>
      </c>
      <c r="G1322" t="s">
        <v>2</v>
      </c>
      <c r="H1322" cm="1">
        <f t="array" ref="H1322">sentimentCalc(B1322)</f>
        <v>0</v>
      </c>
      <c r="I1322" s="5" t="str" cm="1">
        <f t="array" ref="I1322">sentimentCategory(H1322)</f>
        <v>Neutral</v>
      </c>
    </row>
    <row r="1323" spans="1:9" x14ac:dyDescent="0.2">
      <c r="A1323" s="3">
        <v>46288.921492997688</v>
      </c>
      <c r="B1323" t="s">
        <v>1510</v>
      </c>
      <c r="C1323" t="s">
        <v>24</v>
      </c>
      <c r="E1323">
        <v>0</v>
      </c>
      <c r="F1323">
        <v>0</v>
      </c>
      <c r="G1323" t="s">
        <v>2</v>
      </c>
      <c r="H1323" cm="1">
        <f t="array" ref="H1323">sentimentCalc(B1323)</f>
        <v>0</v>
      </c>
      <c r="I1323" s="5" t="str" cm="1">
        <f t="array" ref="I1323">sentimentCategory(H1323)</f>
        <v>Neutral</v>
      </c>
    </row>
    <row r="1324" spans="1:9" x14ac:dyDescent="0.2">
      <c r="A1324" s="3">
        <v>46289.921492997688</v>
      </c>
      <c r="B1324" t="s">
        <v>408</v>
      </c>
      <c r="C1324" t="s">
        <v>480</v>
      </c>
      <c r="E1324">
        <v>1</v>
      </c>
      <c r="F1324">
        <v>4</v>
      </c>
      <c r="G1324" t="s">
        <v>2</v>
      </c>
      <c r="H1324" cm="1">
        <f t="array" ref="H1324">sentimentCalc(B1324)</f>
        <v>0</v>
      </c>
      <c r="I1324" s="5" t="str" cm="1">
        <f t="array" ref="I1324">sentimentCategory(H1324)</f>
        <v>Neutral</v>
      </c>
    </row>
    <row r="1325" spans="1:9" x14ac:dyDescent="0.2">
      <c r="A1325" s="3">
        <v>46290.921492997688</v>
      </c>
      <c r="B1325" t="s">
        <v>1511</v>
      </c>
      <c r="C1325" t="s">
        <v>98</v>
      </c>
      <c r="D1325" t="s">
        <v>13</v>
      </c>
      <c r="E1325">
        <v>0</v>
      </c>
      <c r="F1325">
        <v>0</v>
      </c>
      <c r="G1325" t="s">
        <v>2</v>
      </c>
      <c r="H1325" cm="1">
        <f t="array" ref="H1325">sentimentCalc(B1325)</f>
        <v>0</v>
      </c>
      <c r="I1325" s="5" t="str" cm="1">
        <f t="array" ref="I1325">sentimentCategory(H1325)</f>
        <v>Neutral</v>
      </c>
    </row>
    <row r="1326" spans="1:9" x14ac:dyDescent="0.2">
      <c r="A1326" s="3"/>
      <c r="H1326" cm="1">
        <f t="array" ref="H1326">sentimentCalc(B1326)</f>
        <v>0</v>
      </c>
      <c r="I1326" s="5" t="str" cm="1">
        <f t="array" ref="I1326">sentimentCategory(H1326)</f>
        <v>Neutral</v>
      </c>
    </row>
    <row r="1327" spans="1:9" x14ac:dyDescent="0.2">
      <c r="A1327" s="3">
        <v>46292.921492997688</v>
      </c>
      <c r="B1327" t="s">
        <v>889</v>
      </c>
      <c r="C1327" t="s">
        <v>1512</v>
      </c>
      <c r="D1327" t="s">
        <v>1513</v>
      </c>
      <c r="E1327">
        <v>0</v>
      </c>
      <c r="F1327">
        <v>0</v>
      </c>
      <c r="G1327" t="s">
        <v>2</v>
      </c>
      <c r="H1327" cm="1">
        <f t="array" ref="H1327">sentimentCalc(B1327)</f>
        <v>0</v>
      </c>
      <c r="I1327" s="5" t="str" cm="1">
        <f t="array" ref="I1327">sentimentCategory(H1327)</f>
        <v>Neutral</v>
      </c>
    </row>
    <row r="1328" spans="1:9" x14ac:dyDescent="0.2">
      <c r="A1328" s="3">
        <v>46293.921492997688</v>
      </c>
      <c r="B1328" t="s">
        <v>1514</v>
      </c>
      <c r="C1328" t="s">
        <v>1515</v>
      </c>
      <c r="D1328" t="s">
        <v>1516</v>
      </c>
      <c r="E1328">
        <v>0</v>
      </c>
      <c r="F1328">
        <v>0</v>
      </c>
      <c r="G1328" t="s">
        <v>2</v>
      </c>
      <c r="H1328" cm="1">
        <f t="array" ref="H1328">sentimentCalc(B1328)</f>
        <v>0</v>
      </c>
      <c r="I1328" s="5" t="str" cm="1">
        <f t="array" ref="I1328">sentimentCategory(H1328)</f>
        <v>Neutral</v>
      </c>
    </row>
    <row r="1329" spans="1:9" x14ac:dyDescent="0.2">
      <c r="A1329" s="3">
        <v>46294.921492997688</v>
      </c>
      <c r="B1329" t="s">
        <v>475</v>
      </c>
      <c r="C1329" t="s">
        <v>143</v>
      </c>
      <c r="D1329" t="s">
        <v>129</v>
      </c>
      <c r="E1329">
        <v>0</v>
      </c>
      <c r="F1329">
        <v>0</v>
      </c>
      <c r="G1329" t="s">
        <v>2</v>
      </c>
      <c r="H1329" cm="1">
        <f t="array" ref="H1329">sentimentCalc(B1329)</f>
        <v>-10</v>
      </c>
      <c r="I1329" s="5" t="str" cm="1">
        <f t="array" ref="I1329">sentimentCategory(H1329)</f>
        <v>Negative</v>
      </c>
    </row>
    <row r="1330" spans="1:9" x14ac:dyDescent="0.2">
      <c r="A1330" s="3">
        <v>46295.921492997688</v>
      </c>
      <c r="B1330" t="s">
        <v>1517</v>
      </c>
      <c r="C1330" t="s">
        <v>1518</v>
      </c>
      <c r="E1330">
        <v>0</v>
      </c>
      <c r="F1330">
        <v>2</v>
      </c>
      <c r="G1330" t="s">
        <v>2</v>
      </c>
      <c r="H1330" cm="1">
        <f t="array" ref="H1330">sentimentCalc(B1330)</f>
        <v>0</v>
      </c>
      <c r="I1330" s="5" t="str" cm="1">
        <f t="array" ref="I1330">sentimentCategory(H1330)</f>
        <v>Neutral</v>
      </c>
    </row>
    <row r="1331" spans="1:9" x14ac:dyDescent="0.2">
      <c r="A1331" s="3">
        <v>46296.921492997688</v>
      </c>
      <c r="B1331" t="s">
        <v>1519</v>
      </c>
      <c r="C1331" t="s">
        <v>7</v>
      </c>
      <c r="E1331">
        <v>0</v>
      </c>
      <c r="F1331">
        <v>0</v>
      </c>
      <c r="G1331" t="s">
        <v>2</v>
      </c>
      <c r="H1331" cm="1">
        <f t="array" ref="H1331">sentimentCalc(B1331)</f>
        <v>0</v>
      </c>
      <c r="I1331" s="5" t="str" cm="1">
        <f t="array" ref="I1331">sentimentCategory(H1331)</f>
        <v>Neutral</v>
      </c>
    </row>
    <row r="1332" spans="1:9" x14ac:dyDescent="0.2">
      <c r="A1332" s="3">
        <v>46297.921492997688</v>
      </c>
      <c r="B1332" t="s">
        <v>1520</v>
      </c>
      <c r="C1332" t="s">
        <v>1521</v>
      </c>
      <c r="E1332">
        <v>0</v>
      </c>
      <c r="F1332">
        <v>0</v>
      </c>
      <c r="G1332" t="s">
        <v>2</v>
      </c>
      <c r="H1332" cm="1">
        <f t="array" ref="H1332">sentimentCalc(B1332)</f>
        <v>0</v>
      </c>
      <c r="I1332" s="5" t="str" cm="1">
        <f t="array" ref="I1332">sentimentCategory(H1332)</f>
        <v>Neutral</v>
      </c>
    </row>
    <row r="1333" spans="1:9" x14ac:dyDescent="0.2">
      <c r="A1333" s="3">
        <v>46298.921492997688</v>
      </c>
      <c r="B1333" t="s">
        <v>1522</v>
      </c>
      <c r="C1333" t="s">
        <v>461</v>
      </c>
      <c r="D1333" t="s">
        <v>462</v>
      </c>
      <c r="E1333">
        <v>0</v>
      </c>
      <c r="F1333">
        <v>1</v>
      </c>
      <c r="G1333" t="s">
        <v>2</v>
      </c>
      <c r="H1333" cm="1">
        <f t="array" ref="H1333">sentimentCalc(B1333)</f>
        <v>0</v>
      </c>
      <c r="I1333" s="5" t="str" cm="1">
        <f t="array" ref="I1333">sentimentCategory(H1333)</f>
        <v>Neutral</v>
      </c>
    </row>
    <row r="1334" spans="1:9" x14ac:dyDescent="0.2">
      <c r="A1334" s="3">
        <v>46299.921492997688</v>
      </c>
      <c r="B1334" t="s">
        <v>1523</v>
      </c>
      <c r="C1334" t="s">
        <v>7</v>
      </c>
      <c r="E1334">
        <v>0</v>
      </c>
      <c r="F1334">
        <v>0</v>
      </c>
      <c r="G1334" t="s">
        <v>2</v>
      </c>
      <c r="H1334" cm="1">
        <f t="array" ref="H1334">sentimentCalc(B1334)</f>
        <v>0</v>
      </c>
      <c r="I1334" s="5" t="str" cm="1">
        <f t="array" ref="I1334">sentimentCategory(H1334)</f>
        <v>Neutral</v>
      </c>
    </row>
    <row r="1335" spans="1:9" x14ac:dyDescent="0.2">
      <c r="A1335" s="3">
        <v>46300.921492997688</v>
      </c>
      <c r="B1335" t="s">
        <v>476</v>
      </c>
      <c r="C1335" t="s">
        <v>143</v>
      </c>
      <c r="D1335" t="s">
        <v>129</v>
      </c>
      <c r="E1335">
        <v>0</v>
      </c>
      <c r="F1335">
        <v>0</v>
      </c>
      <c r="G1335" t="s">
        <v>2</v>
      </c>
      <c r="H1335" cm="1">
        <f t="array" ref="H1335">sentimentCalc(B1335)</f>
        <v>-10</v>
      </c>
      <c r="I1335" s="5" t="str" cm="1">
        <f t="array" ref="I1335">sentimentCategory(H1335)</f>
        <v>Negative</v>
      </c>
    </row>
    <row r="1336" spans="1:9" x14ac:dyDescent="0.2">
      <c r="A1336" s="3">
        <v>46301.921492997688</v>
      </c>
      <c r="B1336" t="s">
        <v>1524</v>
      </c>
      <c r="C1336" t="s">
        <v>400</v>
      </c>
      <c r="D1336" t="s">
        <v>103</v>
      </c>
      <c r="E1336">
        <v>3</v>
      </c>
      <c r="F1336">
        <v>18</v>
      </c>
      <c r="G1336" t="s">
        <v>2</v>
      </c>
      <c r="H1336" cm="1">
        <f t="array" ref="H1336">sentimentCalc(B1336)</f>
        <v>0</v>
      </c>
      <c r="I1336" s="5" t="str" cm="1">
        <f t="array" ref="I1336">sentimentCategory(H1336)</f>
        <v>Neutral</v>
      </c>
    </row>
    <row r="1337" spans="1:9" x14ac:dyDescent="0.2">
      <c r="A1337" s="3">
        <v>46302.921492997688</v>
      </c>
      <c r="B1337" t="s">
        <v>1525</v>
      </c>
      <c r="C1337" t="s">
        <v>7</v>
      </c>
      <c r="E1337">
        <v>0</v>
      </c>
      <c r="F1337">
        <v>0</v>
      </c>
      <c r="G1337" t="s">
        <v>2</v>
      </c>
      <c r="H1337" cm="1">
        <f t="array" ref="H1337">sentimentCalc(B1337)</f>
        <v>0</v>
      </c>
      <c r="I1337" s="5" t="str" cm="1">
        <f t="array" ref="I1337">sentimentCategory(H1337)</f>
        <v>Neutral</v>
      </c>
    </row>
    <row r="1338" spans="1:9" x14ac:dyDescent="0.2">
      <c r="A1338" s="3">
        <v>46303.921492997688</v>
      </c>
      <c r="B1338" t="s">
        <v>1526</v>
      </c>
      <c r="C1338" t="s">
        <v>1527</v>
      </c>
      <c r="E1338">
        <v>0</v>
      </c>
      <c r="F1338">
        <v>0</v>
      </c>
      <c r="G1338" t="s">
        <v>2</v>
      </c>
      <c r="H1338" cm="1">
        <f t="array" ref="H1338">sentimentCalc(B1338)</f>
        <v>0</v>
      </c>
      <c r="I1338" s="5" t="str" cm="1">
        <f t="array" ref="I1338">sentimentCategory(H1338)</f>
        <v>Neutral</v>
      </c>
    </row>
    <row r="1339" spans="1:9" x14ac:dyDescent="0.2">
      <c r="A1339" s="3"/>
      <c r="H1339" cm="1">
        <f t="array" ref="H1339">sentimentCalc(B1339)</f>
        <v>0</v>
      </c>
      <c r="I1339" s="5" t="str" cm="1">
        <f t="array" ref="I1339">sentimentCategory(H1339)</f>
        <v>Neutral</v>
      </c>
    </row>
    <row r="1340" spans="1:9" x14ac:dyDescent="0.2">
      <c r="A1340" s="3">
        <v>46305.921492997688</v>
      </c>
      <c r="B1340" t="s">
        <v>37</v>
      </c>
      <c r="C1340" t="s">
        <v>33</v>
      </c>
      <c r="D1340" t="s">
        <v>34</v>
      </c>
      <c r="E1340">
        <v>0</v>
      </c>
      <c r="F1340">
        <v>0</v>
      </c>
      <c r="G1340" t="s">
        <v>2</v>
      </c>
      <c r="H1340" cm="1">
        <f t="array" ref="H1340">sentimentCalc(B1340)</f>
        <v>0</v>
      </c>
      <c r="I1340" s="5" t="str" cm="1">
        <f t="array" ref="I1340">sentimentCategory(H1340)</f>
        <v>Neutral</v>
      </c>
    </row>
    <row r="1341" spans="1:9" x14ac:dyDescent="0.2">
      <c r="A1341" s="3">
        <v>46306.921492997688</v>
      </c>
      <c r="B1341" t="s">
        <v>36</v>
      </c>
      <c r="C1341" t="s">
        <v>33</v>
      </c>
      <c r="D1341" t="s">
        <v>34</v>
      </c>
      <c r="E1341">
        <v>0</v>
      </c>
      <c r="F1341">
        <v>0</v>
      </c>
      <c r="G1341" t="s">
        <v>2</v>
      </c>
      <c r="H1341" cm="1">
        <f t="array" ref="H1341">sentimentCalc(B1341)</f>
        <v>10</v>
      </c>
      <c r="I1341" s="5" t="str" cm="1">
        <f t="array" ref="I1341">sentimentCategory(H1341)</f>
        <v>Positive</v>
      </c>
    </row>
    <row r="1342" spans="1:9" x14ac:dyDescent="0.2">
      <c r="A1342" s="3">
        <v>46307.921492997688</v>
      </c>
      <c r="B1342" t="s">
        <v>1528</v>
      </c>
      <c r="C1342" t="s">
        <v>33</v>
      </c>
      <c r="D1342" t="s">
        <v>34</v>
      </c>
      <c r="E1342">
        <v>0</v>
      </c>
      <c r="F1342">
        <v>0</v>
      </c>
      <c r="G1342" t="s">
        <v>2</v>
      </c>
      <c r="H1342" cm="1">
        <f t="array" ref="H1342">sentimentCalc(B1342)</f>
        <v>0</v>
      </c>
      <c r="I1342" s="5" t="str" cm="1">
        <f t="array" ref="I1342">sentimentCategory(H1342)</f>
        <v>Neutral</v>
      </c>
    </row>
    <row r="1343" spans="1:9" x14ac:dyDescent="0.2">
      <c r="A1343" s="3"/>
      <c r="H1343" cm="1">
        <f t="array" ref="H1343">sentimentCalc(B1343)</f>
        <v>0</v>
      </c>
      <c r="I1343" s="5" t="str" cm="1">
        <f t="array" ref="I1343">sentimentCategory(H1343)</f>
        <v>Neutral</v>
      </c>
    </row>
    <row r="1344" spans="1:9" x14ac:dyDescent="0.2">
      <c r="A1344" s="3">
        <v>46309.921492997688</v>
      </c>
      <c r="B1344" t="s">
        <v>326</v>
      </c>
      <c r="C1344" t="s">
        <v>143</v>
      </c>
      <c r="D1344" t="s">
        <v>129</v>
      </c>
      <c r="E1344">
        <v>0</v>
      </c>
      <c r="F1344">
        <v>0</v>
      </c>
      <c r="G1344" t="s">
        <v>2</v>
      </c>
      <c r="H1344" cm="1">
        <f t="array" ref="H1344">sentimentCalc(B1344)</f>
        <v>-10</v>
      </c>
      <c r="I1344" s="5" t="str" cm="1">
        <f t="array" ref="I1344">sentimentCategory(H1344)</f>
        <v>Negative</v>
      </c>
    </row>
    <row r="1345" spans="1:9" x14ac:dyDescent="0.2">
      <c r="A1345" s="3">
        <v>46310.921492997688</v>
      </c>
      <c r="B1345" t="s">
        <v>1529</v>
      </c>
      <c r="C1345" t="s">
        <v>7</v>
      </c>
      <c r="E1345">
        <v>0</v>
      </c>
      <c r="F1345">
        <v>0</v>
      </c>
      <c r="G1345" t="s">
        <v>2</v>
      </c>
      <c r="H1345" cm="1">
        <f t="array" ref="H1345">sentimentCalc(B1345)</f>
        <v>0</v>
      </c>
      <c r="I1345" s="5" t="str" cm="1">
        <f t="array" ref="I1345">sentimentCategory(H1345)</f>
        <v>Neutral</v>
      </c>
    </row>
    <row r="1346" spans="1:9" x14ac:dyDescent="0.2">
      <c r="A1346" s="3">
        <v>46311.921492997688</v>
      </c>
      <c r="B1346" t="s">
        <v>1530</v>
      </c>
      <c r="C1346" t="s">
        <v>1531</v>
      </c>
      <c r="D1346" t="s">
        <v>1532</v>
      </c>
      <c r="E1346">
        <v>0</v>
      </c>
      <c r="F1346">
        <v>1</v>
      </c>
      <c r="G1346" t="s">
        <v>2</v>
      </c>
      <c r="H1346" cm="1">
        <f t="array" ref="H1346">sentimentCalc(B1346)</f>
        <v>-10</v>
      </c>
      <c r="I1346" s="5" t="str" cm="1">
        <f t="array" ref="I1346">sentimentCategory(H1346)</f>
        <v>Negative</v>
      </c>
    </row>
    <row r="1347" spans="1:9" x14ac:dyDescent="0.2">
      <c r="A1347" s="3">
        <v>46312.921492997688</v>
      </c>
      <c r="B1347" t="s">
        <v>1533</v>
      </c>
      <c r="C1347" t="s">
        <v>98</v>
      </c>
      <c r="D1347" t="s">
        <v>13</v>
      </c>
      <c r="E1347">
        <v>0</v>
      </c>
      <c r="F1347">
        <v>0</v>
      </c>
      <c r="G1347" t="s">
        <v>2</v>
      </c>
      <c r="H1347" cm="1">
        <f t="array" ref="H1347">sentimentCalc(B1347)</f>
        <v>0</v>
      </c>
      <c r="I1347" s="5" t="str" cm="1">
        <f t="array" ref="I1347">sentimentCategory(H1347)</f>
        <v>Neutral</v>
      </c>
    </row>
    <row r="1348" spans="1:9" x14ac:dyDescent="0.2">
      <c r="A1348" s="3">
        <v>46313.921492997688</v>
      </c>
      <c r="B1348" t="s">
        <v>336</v>
      </c>
      <c r="C1348" t="s">
        <v>143</v>
      </c>
      <c r="D1348" t="s">
        <v>129</v>
      </c>
      <c r="E1348">
        <v>0</v>
      </c>
      <c r="F1348">
        <v>0</v>
      </c>
      <c r="G1348" t="s">
        <v>2</v>
      </c>
      <c r="H1348" cm="1">
        <f t="array" ref="H1348">sentimentCalc(B1348)</f>
        <v>0</v>
      </c>
      <c r="I1348" s="5" t="str" cm="1">
        <f t="array" ref="I1348">sentimentCategory(H1348)</f>
        <v>Neutral</v>
      </c>
    </row>
    <row r="1349" spans="1:9" x14ac:dyDescent="0.2">
      <c r="A1349" s="3">
        <v>46314.921492997688</v>
      </c>
      <c r="B1349" t="s">
        <v>1534</v>
      </c>
      <c r="C1349" t="s">
        <v>7</v>
      </c>
      <c r="E1349">
        <v>0</v>
      </c>
      <c r="F1349">
        <v>0</v>
      </c>
      <c r="G1349" t="s">
        <v>2</v>
      </c>
      <c r="H1349" cm="1">
        <f t="array" ref="H1349">sentimentCalc(B1349)</f>
        <v>0</v>
      </c>
      <c r="I1349" s="5" t="str" cm="1">
        <f t="array" ref="I1349">sentimentCategory(H1349)</f>
        <v>Neutral</v>
      </c>
    </row>
    <row r="1350" spans="1:9" x14ac:dyDescent="0.2">
      <c r="A1350" s="3">
        <v>46315.921492997688</v>
      </c>
      <c r="B1350" t="s">
        <v>1535</v>
      </c>
      <c r="C1350" t="s">
        <v>699</v>
      </c>
      <c r="D1350" t="s">
        <v>1536</v>
      </c>
      <c r="E1350">
        <v>1</v>
      </c>
      <c r="F1350">
        <v>0</v>
      </c>
      <c r="G1350" t="s">
        <v>2</v>
      </c>
      <c r="H1350" cm="1">
        <f t="array" ref="H1350">sentimentCalc(B1350)</f>
        <v>10</v>
      </c>
      <c r="I1350" s="5" t="str" cm="1">
        <f t="array" ref="I1350">sentimentCategory(H1350)</f>
        <v>Positive</v>
      </c>
    </row>
    <row r="1351" spans="1:9" x14ac:dyDescent="0.2">
      <c r="A1351" s="3">
        <v>46316.921492997688</v>
      </c>
      <c r="B1351" t="s">
        <v>1537</v>
      </c>
      <c r="C1351" t="s">
        <v>1538</v>
      </c>
      <c r="E1351">
        <v>0</v>
      </c>
      <c r="F1351">
        <v>0</v>
      </c>
      <c r="G1351" t="s">
        <v>2</v>
      </c>
      <c r="H1351" cm="1">
        <f t="array" ref="H1351">sentimentCalc(B1351)</f>
        <v>0</v>
      </c>
      <c r="I1351" s="5" t="str" cm="1">
        <f t="array" ref="I1351">sentimentCategory(H1351)</f>
        <v>Neutral</v>
      </c>
    </row>
    <row r="1352" spans="1:9" x14ac:dyDescent="0.2">
      <c r="A1352" s="3">
        <v>46317.921492997688</v>
      </c>
      <c r="B1352" t="s">
        <v>1539</v>
      </c>
      <c r="C1352" t="s">
        <v>727</v>
      </c>
      <c r="E1352">
        <v>0</v>
      </c>
      <c r="F1352">
        <v>0</v>
      </c>
      <c r="G1352" t="s">
        <v>2</v>
      </c>
      <c r="H1352" cm="1">
        <f t="array" ref="H1352">sentimentCalc(B1352)</f>
        <v>0</v>
      </c>
      <c r="I1352" s="5" t="str" cm="1">
        <f t="array" ref="I1352">sentimentCategory(H1352)</f>
        <v>Neutral</v>
      </c>
    </row>
    <row r="1353" spans="1:9" x14ac:dyDescent="0.2">
      <c r="A1353" s="3">
        <v>46318.921492997688</v>
      </c>
      <c r="B1353" t="s">
        <v>646</v>
      </c>
      <c r="C1353" t="s">
        <v>143</v>
      </c>
      <c r="D1353" t="s">
        <v>129</v>
      </c>
      <c r="E1353">
        <v>0</v>
      </c>
      <c r="F1353">
        <v>0</v>
      </c>
      <c r="G1353" t="s">
        <v>2</v>
      </c>
      <c r="H1353" cm="1">
        <f t="array" ref="H1353">sentimentCalc(B1353)</f>
        <v>-10</v>
      </c>
      <c r="I1353" s="5" t="str" cm="1">
        <f t="array" ref="I1353">sentimentCategory(H1353)</f>
        <v>Negative</v>
      </c>
    </row>
    <row r="1354" spans="1:9" x14ac:dyDescent="0.2">
      <c r="A1354" s="3">
        <v>46319.921492997688</v>
      </c>
      <c r="B1354" t="s">
        <v>1540</v>
      </c>
      <c r="C1354" t="s">
        <v>57</v>
      </c>
      <c r="D1354" t="s">
        <v>69</v>
      </c>
      <c r="E1354">
        <v>0</v>
      </c>
      <c r="F1354">
        <v>0</v>
      </c>
      <c r="G1354" t="s">
        <v>2</v>
      </c>
      <c r="H1354" cm="1">
        <f t="array" ref="H1354">sentimentCalc(B1354)</f>
        <v>0</v>
      </c>
      <c r="I1354" s="5" t="str" cm="1">
        <f t="array" ref="I1354">sentimentCategory(H1354)</f>
        <v>Neutral</v>
      </c>
    </row>
    <row r="1355" spans="1:9" x14ac:dyDescent="0.2">
      <c r="A1355" s="3">
        <v>46320.921492997688</v>
      </c>
      <c r="B1355" t="s">
        <v>368</v>
      </c>
      <c r="C1355" t="s">
        <v>143</v>
      </c>
      <c r="D1355" t="s">
        <v>129</v>
      </c>
      <c r="E1355">
        <v>0</v>
      </c>
      <c r="F1355">
        <v>0</v>
      </c>
      <c r="G1355" t="s">
        <v>2</v>
      </c>
      <c r="H1355" cm="1">
        <f t="array" ref="H1355">sentimentCalc(B1355)</f>
        <v>-10</v>
      </c>
      <c r="I1355" s="5" t="str" cm="1">
        <f t="array" ref="I1355">sentimentCategory(H1355)</f>
        <v>Negative</v>
      </c>
    </row>
    <row r="1356" spans="1:9" x14ac:dyDescent="0.2">
      <c r="A1356" s="3">
        <v>46321.921492997688</v>
      </c>
      <c r="B1356" t="s">
        <v>1541</v>
      </c>
      <c r="C1356" t="s">
        <v>7</v>
      </c>
      <c r="E1356">
        <v>0</v>
      </c>
      <c r="F1356">
        <v>0</v>
      </c>
      <c r="G1356" t="s">
        <v>2</v>
      </c>
      <c r="H1356" cm="1">
        <f t="array" ref="H1356">sentimentCalc(B1356)</f>
        <v>0</v>
      </c>
      <c r="I1356" s="5" t="str" cm="1">
        <f t="array" ref="I1356">sentimentCategory(H1356)</f>
        <v>Neutral</v>
      </c>
    </row>
    <row r="1357" spans="1:9" x14ac:dyDescent="0.2">
      <c r="A1357" s="3">
        <v>46322.921492997688</v>
      </c>
      <c r="B1357" t="s">
        <v>1542</v>
      </c>
      <c r="C1357" t="s">
        <v>33</v>
      </c>
      <c r="E1357">
        <v>0</v>
      </c>
      <c r="F1357">
        <v>0</v>
      </c>
      <c r="G1357" t="s">
        <v>2</v>
      </c>
      <c r="H1357" cm="1">
        <f t="array" ref="H1357">sentimentCalc(B1357)</f>
        <v>0</v>
      </c>
      <c r="I1357" s="5" t="str" cm="1">
        <f t="array" ref="I1357">sentimentCategory(H1357)</f>
        <v>Neutral</v>
      </c>
    </row>
    <row r="1358" spans="1:9" x14ac:dyDescent="0.2">
      <c r="A1358" s="3">
        <v>46323.921492997688</v>
      </c>
      <c r="B1358" t="s">
        <v>1543</v>
      </c>
      <c r="C1358" t="s">
        <v>12</v>
      </c>
      <c r="D1358" t="s">
        <v>13</v>
      </c>
      <c r="E1358">
        <v>0</v>
      </c>
      <c r="F1358">
        <v>1</v>
      </c>
      <c r="G1358" t="s">
        <v>2</v>
      </c>
      <c r="H1358" cm="1">
        <f t="array" ref="H1358">sentimentCalc(B1358)</f>
        <v>0</v>
      </c>
      <c r="I1358" s="5" t="str" cm="1">
        <f t="array" ref="I1358">sentimentCategory(H1358)</f>
        <v>Neutral</v>
      </c>
    </row>
    <row r="1359" spans="1:9" x14ac:dyDescent="0.2">
      <c r="A1359" s="3">
        <v>46324.921492997688</v>
      </c>
      <c r="B1359" t="s">
        <v>1544</v>
      </c>
      <c r="C1359" t="s">
        <v>1120</v>
      </c>
      <c r="D1359" t="s">
        <v>1545</v>
      </c>
      <c r="E1359">
        <v>0</v>
      </c>
      <c r="F1359">
        <v>1</v>
      </c>
      <c r="G1359" t="s">
        <v>2</v>
      </c>
      <c r="H1359" cm="1">
        <f t="array" ref="H1359">sentimentCalc(B1359)</f>
        <v>0</v>
      </c>
      <c r="I1359" s="5" t="str" cm="1">
        <f t="array" ref="I1359">sentimentCategory(H1359)</f>
        <v>Neutral</v>
      </c>
    </row>
    <row r="1360" spans="1:9" x14ac:dyDescent="0.2">
      <c r="A1360" s="3">
        <v>46325.921492997688</v>
      </c>
      <c r="B1360" t="s">
        <v>3</v>
      </c>
      <c r="C1360" t="s">
        <v>4</v>
      </c>
      <c r="D1360" t="s">
        <v>5</v>
      </c>
      <c r="E1360">
        <v>0</v>
      </c>
      <c r="F1360">
        <v>0</v>
      </c>
      <c r="G1360" t="s">
        <v>2</v>
      </c>
      <c r="H1360" cm="1">
        <f t="array" ref="H1360">sentimentCalc(B1360)</f>
        <v>0</v>
      </c>
      <c r="I1360" s="5" t="str" cm="1">
        <f t="array" ref="I1360">sentimentCategory(H1360)</f>
        <v>Neutral</v>
      </c>
    </row>
    <row r="1361" spans="1:9" x14ac:dyDescent="0.2">
      <c r="A1361" s="3">
        <v>46326.921492997688</v>
      </c>
      <c r="B1361" t="s">
        <v>1546</v>
      </c>
      <c r="C1361" t="s">
        <v>1547</v>
      </c>
      <c r="E1361">
        <v>0</v>
      </c>
      <c r="F1361">
        <v>0</v>
      </c>
      <c r="G1361" t="s">
        <v>2</v>
      </c>
      <c r="H1361" cm="1">
        <f t="array" ref="H1361">sentimentCalc(B1361)</f>
        <v>0</v>
      </c>
      <c r="I1361" s="5" t="str" cm="1">
        <f t="array" ref="I1361">sentimentCategory(H1361)</f>
        <v>Neutral</v>
      </c>
    </row>
    <row r="1362" spans="1:9" x14ac:dyDescent="0.2">
      <c r="A1362" s="3">
        <v>46327.921492997688</v>
      </c>
      <c r="B1362" t="s">
        <v>1548</v>
      </c>
      <c r="C1362" t="s">
        <v>7</v>
      </c>
      <c r="E1362">
        <v>0</v>
      </c>
      <c r="F1362">
        <v>0</v>
      </c>
      <c r="G1362" t="s">
        <v>2</v>
      </c>
      <c r="H1362" cm="1">
        <f t="array" ref="H1362">sentimentCalc(B1362)</f>
        <v>0</v>
      </c>
      <c r="I1362" s="5" t="str" cm="1">
        <f t="array" ref="I1362">sentimentCategory(H1362)</f>
        <v>Neutral</v>
      </c>
    </row>
    <row r="1363" spans="1:9" x14ac:dyDescent="0.2">
      <c r="A1363" s="3">
        <v>46328.921492997688</v>
      </c>
      <c r="B1363" t="s">
        <v>1549</v>
      </c>
      <c r="C1363" t="s">
        <v>1550</v>
      </c>
      <c r="D1363" t="s">
        <v>1551</v>
      </c>
      <c r="E1363">
        <v>0</v>
      </c>
      <c r="F1363">
        <v>0</v>
      </c>
      <c r="G1363" t="s">
        <v>2</v>
      </c>
      <c r="H1363" cm="1">
        <f t="array" ref="H1363">sentimentCalc(B1363)</f>
        <v>0</v>
      </c>
      <c r="I1363" s="5" t="str" cm="1">
        <f t="array" ref="I1363">sentimentCategory(H1363)</f>
        <v>Neutral</v>
      </c>
    </row>
    <row r="1364" spans="1:9" x14ac:dyDescent="0.2">
      <c r="A1364" s="3">
        <v>46329.921492997688</v>
      </c>
      <c r="B1364" t="s">
        <v>337</v>
      </c>
      <c r="C1364" t="s">
        <v>143</v>
      </c>
      <c r="D1364" t="s">
        <v>129</v>
      </c>
      <c r="E1364">
        <v>0</v>
      </c>
      <c r="F1364">
        <v>0</v>
      </c>
      <c r="G1364" t="s">
        <v>2</v>
      </c>
      <c r="H1364" cm="1">
        <f t="array" ref="H1364">sentimentCalc(B1364)</f>
        <v>0</v>
      </c>
      <c r="I1364" s="5" t="str" cm="1">
        <f t="array" ref="I1364">sentimentCategory(H1364)</f>
        <v>Neutral</v>
      </c>
    </row>
    <row r="1365" spans="1:9" x14ac:dyDescent="0.2">
      <c r="A1365" s="3">
        <v>46330.921492997688</v>
      </c>
      <c r="B1365" t="s">
        <v>1552</v>
      </c>
      <c r="C1365" t="s">
        <v>7</v>
      </c>
      <c r="E1365">
        <v>0</v>
      </c>
      <c r="F1365">
        <v>0</v>
      </c>
      <c r="G1365" t="s">
        <v>2</v>
      </c>
      <c r="H1365" cm="1">
        <f t="array" ref="H1365">sentimentCalc(B1365)</f>
        <v>0</v>
      </c>
      <c r="I1365" s="5" t="str" cm="1">
        <f t="array" ref="I1365">sentimentCategory(H1365)</f>
        <v>Neutral</v>
      </c>
    </row>
    <row r="1366" spans="1:9" x14ac:dyDescent="0.2">
      <c r="A1366" s="3">
        <v>46331.921492997688</v>
      </c>
      <c r="B1366" t="s">
        <v>1553</v>
      </c>
      <c r="C1366" t="s">
        <v>1554</v>
      </c>
      <c r="D1366" t="s">
        <v>1555</v>
      </c>
      <c r="E1366">
        <v>0</v>
      </c>
      <c r="F1366">
        <v>3</v>
      </c>
      <c r="G1366" t="s">
        <v>2</v>
      </c>
      <c r="H1366" cm="1">
        <f t="array" ref="H1366">sentimentCalc(B1366)</f>
        <v>0</v>
      </c>
      <c r="I1366" s="5" t="str" cm="1">
        <f t="array" ref="I1366">sentimentCategory(H1366)</f>
        <v>Neutral</v>
      </c>
    </row>
    <row r="1367" spans="1:9" x14ac:dyDescent="0.2">
      <c r="A1367" s="3">
        <v>46332.921492997688</v>
      </c>
      <c r="B1367" t="s">
        <v>94</v>
      </c>
      <c r="C1367" t="s">
        <v>22</v>
      </c>
      <c r="E1367">
        <v>0</v>
      </c>
      <c r="F1367">
        <v>0</v>
      </c>
      <c r="G1367" t="s">
        <v>2</v>
      </c>
      <c r="H1367" cm="1">
        <f t="array" ref="H1367">sentimentCalc(B1367)</f>
        <v>0</v>
      </c>
      <c r="I1367" s="5" t="str" cm="1">
        <f t="array" ref="I1367">sentimentCategory(H1367)</f>
        <v>Neutral</v>
      </c>
    </row>
    <row r="1368" spans="1:9" x14ac:dyDescent="0.2">
      <c r="A1368" s="3">
        <v>46333.921492997688</v>
      </c>
      <c r="B1368" t="s">
        <v>1556</v>
      </c>
      <c r="C1368" t="s">
        <v>1557</v>
      </c>
      <c r="D1368" t="s">
        <v>1558</v>
      </c>
      <c r="E1368">
        <v>0</v>
      </c>
      <c r="F1368">
        <v>1</v>
      </c>
      <c r="G1368" t="s">
        <v>2</v>
      </c>
      <c r="H1368" cm="1">
        <f t="array" ref="H1368">sentimentCalc(B1368)</f>
        <v>0</v>
      </c>
      <c r="I1368" s="5" t="str" cm="1">
        <f t="array" ref="I1368">sentimentCategory(H1368)</f>
        <v>Neutral</v>
      </c>
    </row>
    <row r="1369" spans="1:9" x14ac:dyDescent="0.2">
      <c r="A1369" s="3">
        <v>46334.921492997688</v>
      </c>
      <c r="B1369" t="s">
        <v>1559</v>
      </c>
      <c r="C1369" t="s">
        <v>512</v>
      </c>
      <c r="E1369">
        <v>0</v>
      </c>
      <c r="F1369">
        <v>0</v>
      </c>
      <c r="G1369" t="s">
        <v>2</v>
      </c>
      <c r="H1369" cm="1">
        <f t="array" ref="H1369">sentimentCalc(B1369)</f>
        <v>10</v>
      </c>
      <c r="I1369" s="5" t="str" cm="1">
        <f t="array" ref="I1369">sentimentCategory(H1369)</f>
        <v>Positive</v>
      </c>
    </row>
    <row r="1370" spans="1:9" x14ac:dyDescent="0.2">
      <c r="A1370" s="3">
        <v>46335.921492997688</v>
      </c>
      <c r="B1370" t="s">
        <v>432</v>
      </c>
      <c r="C1370" t="s">
        <v>143</v>
      </c>
      <c r="D1370" t="s">
        <v>129</v>
      </c>
      <c r="E1370">
        <v>0</v>
      </c>
      <c r="F1370">
        <v>0</v>
      </c>
      <c r="G1370" t="s">
        <v>2</v>
      </c>
      <c r="H1370" cm="1">
        <f t="array" ref="H1370">sentimentCalc(B1370)</f>
        <v>-10</v>
      </c>
      <c r="I1370" s="5" t="str" cm="1">
        <f t="array" ref="I1370">sentimentCategory(H1370)</f>
        <v>Negative</v>
      </c>
    </row>
    <row r="1371" spans="1:9" x14ac:dyDescent="0.2">
      <c r="A1371" s="3">
        <v>46336.921492997688</v>
      </c>
      <c r="B1371" t="s">
        <v>396</v>
      </c>
      <c r="C1371" t="s">
        <v>143</v>
      </c>
      <c r="D1371" t="s">
        <v>129</v>
      </c>
      <c r="E1371">
        <v>0</v>
      </c>
      <c r="F1371">
        <v>0</v>
      </c>
      <c r="G1371" t="s">
        <v>2</v>
      </c>
      <c r="H1371" cm="1">
        <f t="array" ref="H1371">sentimentCalc(B1371)</f>
        <v>0</v>
      </c>
      <c r="I1371" s="5" t="str" cm="1">
        <f t="array" ref="I1371">sentimentCategory(H1371)</f>
        <v>Neutral</v>
      </c>
    </row>
    <row r="1372" spans="1:9" x14ac:dyDescent="0.2">
      <c r="A1372" s="3">
        <v>46337.921492997688</v>
      </c>
      <c r="B1372" t="s">
        <v>1560</v>
      </c>
      <c r="C1372" t="s">
        <v>1561</v>
      </c>
      <c r="D1372" t="s">
        <v>1562</v>
      </c>
      <c r="E1372">
        <v>0</v>
      </c>
      <c r="F1372">
        <v>0</v>
      </c>
      <c r="G1372" t="s">
        <v>2</v>
      </c>
      <c r="H1372" cm="1">
        <f t="array" ref="H1372">sentimentCalc(B1372)</f>
        <v>0</v>
      </c>
      <c r="I1372" s="5" t="str" cm="1">
        <f t="array" ref="I1372">sentimentCategory(H1372)</f>
        <v>Neutral</v>
      </c>
    </row>
    <row r="1373" spans="1:9" x14ac:dyDescent="0.2">
      <c r="A1373" s="3">
        <v>46338.921492997688</v>
      </c>
      <c r="B1373" t="s">
        <v>1563</v>
      </c>
      <c r="C1373" t="s">
        <v>1564</v>
      </c>
      <c r="E1373">
        <v>0</v>
      </c>
      <c r="F1373">
        <v>0</v>
      </c>
      <c r="G1373" t="s">
        <v>2</v>
      </c>
      <c r="H1373" cm="1">
        <f t="array" ref="H1373">sentimentCalc(B1373)</f>
        <v>10</v>
      </c>
      <c r="I1373" s="5" t="str" cm="1">
        <f t="array" ref="I1373">sentimentCategory(H1373)</f>
        <v>Positive</v>
      </c>
    </row>
    <row r="1374" spans="1:9" x14ac:dyDescent="0.2">
      <c r="A1374" s="3">
        <v>46339.921492997688</v>
      </c>
      <c r="B1374" t="s">
        <v>1565</v>
      </c>
      <c r="C1374" t="s">
        <v>1566</v>
      </c>
      <c r="D1374" t="s">
        <v>1567</v>
      </c>
      <c r="E1374">
        <v>0</v>
      </c>
      <c r="F1374">
        <v>0</v>
      </c>
      <c r="G1374" t="s">
        <v>2</v>
      </c>
      <c r="H1374" cm="1">
        <f t="array" ref="H1374">sentimentCalc(B1374)</f>
        <v>-10</v>
      </c>
      <c r="I1374" s="5" t="str" cm="1">
        <f t="array" ref="I1374">sentimentCategory(H1374)</f>
        <v>Negative</v>
      </c>
    </row>
    <row r="1375" spans="1:9" x14ac:dyDescent="0.2">
      <c r="A1375" s="3">
        <v>46340.921492997688</v>
      </c>
      <c r="B1375" t="s">
        <v>1568</v>
      </c>
      <c r="C1375" t="s">
        <v>106</v>
      </c>
      <c r="E1375">
        <v>0</v>
      </c>
      <c r="F1375">
        <v>0</v>
      </c>
      <c r="G1375" t="s">
        <v>2</v>
      </c>
      <c r="H1375" cm="1">
        <f t="array" ref="H1375">sentimentCalc(B1375)</f>
        <v>10</v>
      </c>
      <c r="I1375" s="5" t="str" cm="1">
        <f t="array" ref="I1375">sentimentCategory(H1375)</f>
        <v>Positive</v>
      </c>
    </row>
    <row r="1376" spans="1:9" x14ac:dyDescent="0.2">
      <c r="A1376" s="3">
        <v>46341.921492997688</v>
      </c>
      <c r="B1376" t="s">
        <v>1569</v>
      </c>
      <c r="C1376" t="s">
        <v>33</v>
      </c>
      <c r="D1376" t="s">
        <v>34</v>
      </c>
      <c r="E1376">
        <v>0</v>
      </c>
      <c r="F1376">
        <v>0</v>
      </c>
      <c r="G1376" t="s">
        <v>2</v>
      </c>
      <c r="H1376" cm="1">
        <f t="array" ref="H1376">sentimentCalc(B1376)</f>
        <v>0</v>
      </c>
      <c r="I1376" s="5" t="str" cm="1">
        <f t="array" ref="I1376">sentimentCategory(H1376)</f>
        <v>Neutral</v>
      </c>
    </row>
    <row r="1377" spans="1:9" x14ac:dyDescent="0.2">
      <c r="A1377" s="3">
        <v>46342.921492997688</v>
      </c>
      <c r="B1377" t="s">
        <v>36</v>
      </c>
      <c r="C1377" t="s">
        <v>33</v>
      </c>
      <c r="D1377" t="s">
        <v>34</v>
      </c>
      <c r="E1377">
        <v>0</v>
      </c>
      <c r="F1377">
        <v>0</v>
      </c>
      <c r="G1377" t="s">
        <v>2</v>
      </c>
      <c r="H1377" cm="1">
        <f t="array" ref="H1377">sentimentCalc(B1377)</f>
        <v>10</v>
      </c>
      <c r="I1377" s="5" t="str" cm="1">
        <f t="array" ref="I1377">sentimentCategory(H1377)</f>
        <v>Positive</v>
      </c>
    </row>
    <row r="1378" spans="1:9" x14ac:dyDescent="0.2">
      <c r="A1378" s="3"/>
      <c r="H1378" cm="1">
        <f t="array" ref="H1378">sentimentCalc(B1378)</f>
        <v>0</v>
      </c>
      <c r="I1378" s="5" t="str" cm="1">
        <f t="array" ref="I1378">sentimentCategory(H1378)</f>
        <v>Neutral</v>
      </c>
    </row>
    <row r="1379" spans="1:9" x14ac:dyDescent="0.2">
      <c r="A1379" s="3">
        <v>46344.921492997688</v>
      </c>
      <c r="B1379" t="s">
        <v>35</v>
      </c>
      <c r="C1379" t="s">
        <v>33</v>
      </c>
      <c r="D1379" t="s">
        <v>34</v>
      </c>
      <c r="E1379">
        <v>0</v>
      </c>
      <c r="F1379">
        <v>0</v>
      </c>
      <c r="G1379" t="s">
        <v>2</v>
      </c>
      <c r="H1379" cm="1">
        <f t="array" ref="H1379">sentimentCalc(B1379)</f>
        <v>0</v>
      </c>
      <c r="I1379" s="5" t="str" cm="1">
        <f t="array" ref="I1379">sentimentCategory(H1379)</f>
        <v>Neutral</v>
      </c>
    </row>
    <row r="1380" spans="1:9" x14ac:dyDescent="0.2">
      <c r="A1380" s="3">
        <v>46345.921492997688</v>
      </c>
      <c r="B1380" t="s">
        <v>1570</v>
      </c>
      <c r="C1380" t="s">
        <v>1276</v>
      </c>
      <c r="E1380">
        <v>0</v>
      </c>
      <c r="F1380">
        <v>0</v>
      </c>
      <c r="G1380" t="s">
        <v>2</v>
      </c>
      <c r="H1380" cm="1">
        <f t="array" ref="H1380">sentimentCalc(B1380)</f>
        <v>0</v>
      </c>
      <c r="I1380" s="5" t="str" cm="1">
        <f t="array" ref="I1380">sentimentCategory(H1380)</f>
        <v>Neutral</v>
      </c>
    </row>
    <row r="1381" spans="1:9" x14ac:dyDescent="0.2">
      <c r="A1381" s="3">
        <v>46346.921492997688</v>
      </c>
      <c r="B1381" t="s">
        <v>1571</v>
      </c>
      <c r="C1381" t="s">
        <v>7</v>
      </c>
      <c r="E1381">
        <v>0</v>
      </c>
      <c r="F1381">
        <v>0</v>
      </c>
      <c r="G1381" t="s">
        <v>2</v>
      </c>
      <c r="H1381" cm="1">
        <f t="array" ref="H1381">sentimentCalc(B1381)</f>
        <v>0</v>
      </c>
      <c r="I1381" s="5" t="str" cm="1">
        <f t="array" ref="I1381">sentimentCategory(H1381)</f>
        <v>Neutral</v>
      </c>
    </row>
    <row r="1382" spans="1:9" x14ac:dyDescent="0.2">
      <c r="A1382" s="3">
        <v>46347.921492997688</v>
      </c>
      <c r="B1382" t="s">
        <v>1572</v>
      </c>
      <c r="C1382" t="s">
        <v>1573</v>
      </c>
      <c r="D1382" t="s">
        <v>1574</v>
      </c>
      <c r="E1382">
        <v>0</v>
      </c>
      <c r="F1382">
        <v>0</v>
      </c>
      <c r="G1382" t="s">
        <v>2</v>
      </c>
      <c r="H1382" cm="1">
        <f t="array" ref="H1382">sentimentCalc(B1382)</f>
        <v>0</v>
      </c>
      <c r="I1382" s="5" t="str" cm="1">
        <f t="array" ref="I1382">sentimentCategory(H1382)</f>
        <v>Neutral</v>
      </c>
    </row>
    <row r="1383" spans="1:9" x14ac:dyDescent="0.2">
      <c r="A1383" s="3">
        <v>46348.921492997688</v>
      </c>
      <c r="B1383" t="s">
        <v>408</v>
      </c>
      <c r="C1383" t="s">
        <v>316</v>
      </c>
      <c r="D1383" t="s">
        <v>189</v>
      </c>
      <c r="E1383">
        <v>0</v>
      </c>
      <c r="F1383">
        <v>0</v>
      </c>
      <c r="G1383" t="s">
        <v>2</v>
      </c>
      <c r="H1383" cm="1">
        <f t="array" ref="H1383">sentimentCalc(B1383)</f>
        <v>0</v>
      </c>
      <c r="I1383" s="5" t="str" cm="1">
        <f t="array" ref="I1383">sentimentCategory(H1383)</f>
        <v>Neutral</v>
      </c>
    </row>
    <row r="1384" spans="1:9" x14ac:dyDescent="0.2">
      <c r="A1384" s="3">
        <v>46349.921492997688</v>
      </c>
      <c r="B1384" t="s">
        <v>1575</v>
      </c>
      <c r="C1384" t="s">
        <v>1576</v>
      </c>
      <c r="D1384" t="s">
        <v>1577</v>
      </c>
      <c r="E1384">
        <v>1</v>
      </c>
      <c r="F1384">
        <v>6</v>
      </c>
      <c r="G1384" t="s">
        <v>2</v>
      </c>
      <c r="H1384" cm="1">
        <f t="array" ref="H1384">sentimentCalc(B1384)</f>
        <v>0</v>
      </c>
      <c r="I1384" s="5" t="str" cm="1">
        <f t="array" ref="I1384">sentimentCategory(H1384)</f>
        <v>Neutral</v>
      </c>
    </row>
    <row r="1385" spans="1:9" x14ac:dyDescent="0.2">
      <c r="A1385" s="3">
        <v>46350.921492997688</v>
      </c>
      <c r="B1385" t="s">
        <v>23</v>
      </c>
      <c r="C1385" t="s">
        <v>1240</v>
      </c>
      <c r="E1385">
        <v>0</v>
      </c>
      <c r="F1385">
        <v>0</v>
      </c>
      <c r="G1385" t="s">
        <v>2</v>
      </c>
      <c r="H1385" cm="1">
        <f t="array" ref="H1385">sentimentCalc(B1385)</f>
        <v>0</v>
      </c>
      <c r="I1385" s="5" t="str" cm="1">
        <f t="array" ref="I1385">sentimentCategory(H1385)</f>
        <v>Neutral</v>
      </c>
    </row>
    <row r="1386" spans="1:9" x14ac:dyDescent="0.2">
      <c r="A1386" s="3">
        <v>46351.921492997688</v>
      </c>
      <c r="B1386" t="s">
        <v>1578</v>
      </c>
      <c r="C1386" t="s">
        <v>7</v>
      </c>
      <c r="E1386">
        <v>1</v>
      </c>
      <c r="F1386">
        <v>1</v>
      </c>
      <c r="G1386" t="s">
        <v>2</v>
      </c>
      <c r="H1386" cm="1">
        <f t="array" ref="H1386">sentimentCalc(B1386)</f>
        <v>0</v>
      </c>
      <c r="I1386" s="5" t="str" cm="1">
        <f t="array" ref="I1386">sentimentCategory(H1386)</f>
        <v>Neutral</v>
      </c>
    </row>
    <row r="1387" spans="1:9" x14ac:dyDescent="0.2">
      <c r="A1387" s="3">
        <v>46352.921492997688</v>
      </c>
      <c r="B1387" t="s">
        <v>1579</v>
      </c>
      <c r="C1387" t="s">
        <v>1580</v>
      </c>
      <c r="E1387">
        <v>0</v>
      </c>
      <c r="F1387">
        <v>0</v>
      </c>
      <c r="G1387" t="s">
        <v>2</v>
      </c>
      <c r="H1387" cm="1">
        <f t="array" ref="H1387">sentimentCalc(B1387)</f>
        <v>0</v>
      </c>
      <c r="I1387" s="5" t="str" cm="1">
        <f t="array" ref="I1387">sentimentCategory(H1387)</f>
        <v>Neutral</v>
      </c>
    </row>
    <row r="1388" spans="1:9" x14ac:dyDescent="0.2">
      <c r="A1388" s="3">
        <v>46353.921492997688</v>
      </c>
      <c r="B1388" t="s">
        <v>1581</v>
      </c>
      <c r="C1388" t="s">
        <v>1582</v>
      </c>
      <c r="D1388" t="s">
        <v>1583</v>
      </c>
      <c r="E1388">
        <v>0</v>
      </c>
      <c r="F1388">
        <v>0</v>
      </c>
      <c r="G1388" t="s">
        <v>2</v>
      </c>
      <c r="H1388" cm="1">
        <f t="array" ref="H1388">sentimentCalc(B1388)</f>
        <v>0</v>
      </c>
      <c r="I1388" s="5" t="str" cm="1">
        <f t="array" ref="I1388">sentimentCategory(H1388)</f>
        <v>Neutral</v>
      </c>
    </row>
    <row r="1389" spans="1:9" x14ac:dyDescent="0.2">
      <c r="A1389" s="3">
        <v>46354.921492997688</v>
      </c>
      <c r="B1389" t="s">
        <v>1584</v>
      </c>
      <c r="C1389" t="s">
        <v>1476</v>
      </c>
      <c r="E1389">
        <v>0</v>
      </c>
      <c r="F1389">
        <v>0</v>
      </c>
      <c r="G1389" t="s">
        <v>2</v>
      </c>
      <c r="H1389" cm="1">
        <f t="array" ref="H1389">sentimentCalc(B1389)</f>
        <v>10</v>
      </c>
      <c r="I1389" s="5" t="str" cm="1">
        <f t="array" ref="I1389">sentimentCategory(H1389)</f>
        <v>Positive</v>
      </c>
    </row>
    <row r="1390" spans="1:9" x14ac:dyDescent="0.2">
      <c r="A1390" s="3">
        <v>46355.921492997688</v>
      </c>
      <c r="B1390" t="s">
        <v>1585</v>
      </c>
      <c r="C1390" t="s">
        <v>1586</v>
      </c>
      <c r="E1390">
        <v>0</v>
      </c>
      <c r="F1390">
        <v>1</v>
      </c>
      <c r="G1390" t="s">
        <v>2</v>
      </c>
      <c r="H1390" cm="1">
        <f t="array" ref="H1390">sentimentCalc(B1390)</f>
        <v>10</v>
      </c>
      <c r="I1390" s="5" t="str" cm="1">
        <f t="array" ref="I1390">sentimentCategory(H1390)</f>
        <v>Positive</v>
      </c>
    </row>
    <row r="1391" spans="1:9" x14ac:dyDescent="0.2">
      <c r="A1391" s="3">
        <v>46356.921492997688</v>
      </c>
      <c r="B1391" t="s">
        <v>1587</v>
      </c>
      <c r="C1391" t="s">
        <v>290</v>
      </c>
      <c r="D1391" t="s">
        <v>291</v>
      </c>
      <c r="E1391">
        <v>0</v>
      </c>
      <c r="F1391">
        <v>0</v>
      </c>
      <c r="G1391" t="s">
        <v>2</v>
      </c>
      <c r="H1391" cm="1">
        <f t="array" ref="H1391">sentimentCalc(B1391)</f>
        <v>0</v>
      </c>
      <c r="I1391" s="5" t="str" cm="1">
        <f t="array" ref="I1391">sentimentCategory(H1391)</f>
        <v>Neutral</v>
      </c>
    </row>
    <row r="1392" spans="1:9" x14ac:dyDescent="0.2">
      <c r="A1392" s="3">
        <v>46357.921492997688</v>
      </c>
      <c r="B1392" t="s">
        <v>371</v>
      </c>
      <c r="C1392" t="s">
        <v>143</v>
      </c>
      <c r="D1392" t="s">
        <v>129</v>
      </c>
      <c r="E1392">
        <v>0</v>
      </c>
      <c r="F1392">
        <v>0</v>
      </c>
      <c r="G1392" t="s">
        <v>2</v>
      </c>
      <c r="H1392" cm="1">
        <f t="array" ref="H1392">sentimentCalc(B1392)</f>
        <v>-10</v>
      </c>
      <c r="I1392" s="5" t="str" cm="1">
        <f t="array" ref="I1392">sentimentCategory(H1392)</f>
        <v>Negative</v>
      </c>
    </row>
    <row r="1393" spans="1:9" x14ac:dyDescent="0.2">
      <c r="A1393" s="3">
        <v>46358.921492997688</v>
      </c>
      <c r="B1393" t="s">
        <v>1588</v>
      </c>
      <c r="C1393" t="s">
        <v>12</v>
      </c>
      <c r="D1393" t="s">
        <v>13</v>
      </c>
      <c r="E1393">
        <v>0</v>
      </c>
      <c r="F1393">
        <v>0</v>
      </c>
      <c r="G1393" t="s">
        <v>2</v>
      </c>
      <c r="H1393" cm="1">
        <f t="array" ref="H1393">sentimentCalc(B1393)</f>
        <v>0</v>
      </c>
      <c r="I1393" s="5" t="str" cm="1">
        <f t="array" ref="I1393">sentimentCategory(H1393)</f>
        <v>Neutral</v>
      </c>
    </row>
    <row r="1394" spans="1:9" x14ac:dyDescent="0.2">
      <c r="A1394" s="3">
        <v>46359.921492997688</v>
      </c>
      <c r="B1394" t="s">
        <v>1589</v>
      </c>
      <c r="C1394" t="s">
        <v>7</v>
      </c>
      <c r="E1394">
        <v>0</v>
      </c>
      <c r="F1394">
        <v>0</v>
      </c>
      <c r="G1394" t="s">
        <v>2</v>
      </c>
      <c r="H1394" cm="1">
        <f t="array" ref="H1394">sentimentCalc(B1394)</f>
        <v>0</v>
      </c>
      <c r="I1394" s="5" t="str" cm="1">
        <f t="array" ref="I1394">sentimentCategory(H1394)</f>
        <v>Neutral</v>
      </c>
    </row>
    <row r="1395" spans="1:9" x14ac:dyDescent="0.2">
      <c r="A1395" s="3">
        <v>46360.921492997688</v>
      </c>
      <c r="B1395" t="s">
        <v>1590</v>
      </c>
      <c r="C1395" t="s">
        <v>1591</v>
      </c>
      <c r="E1395">
        <v>0</v>
      </c>
      <c r="F1395">
        <v>0</v>
      </c>
      <c r="G1395" t="s">
        <v>2</v>
      </c>
      <c r="H1395" cm="1">
        <f t="array" ref="H1395">sentimentCalc(B1395)</f>
        <v>0</v>
      </c>
      <c r="I1395" s="5" t="str" cm="1">
        <f t="array" ref="I1395">sentimentCategory(H1395)</f>
        <v>Neutral</v>
      </c>
    </row>
    <row r="1396" spans="1:9" x14ac:dyDescent="0.2">
      <c r="A1396" s="3">
        <v>46361.921492997688</v>
      </c>
      <c r="B1396" t="s">
        <v>889</v>
      </c>
      <c r="C1396" t="s">
        <v>1592</v>
      </c>
      <c r="E1396">
        <v>0</v>
      </c>
      <c r="F1396">
        <v>0</v>
      </c>
      <c r="G1396" t="s">
        <v>2</v>
      </c>
      <c r="H1396" cm="1">
        <f t="array" ref="H1396">sentimentCalc(B1396)</f>
        <v>0</v>
      </c>
      <c r="I1396" s="5" t="str" cm="1">
        <f t="array" ref="I1396">sentimentCategory(H1396)</f>
        <v>Neutral</v>
      </c>
    </row>
    <row r="1397" spans="1:9" x14ac:dyDescent="0.2">
      <c r="A1397" s="3">
        <v>46362.921492997688</v>
      </c>
      <c r="B1397" t="s">
        <v>1593</v>
      </c>
      <c r="C1397" t="s">
        <v>1594</v>
      </c>
      <c r="D1397" t="s">
        <v>1390</v>
      </c>
      <c r="E1397">
        <v>0</v>
      </c>
      <c r="F1397">
        <v>0</v>
      </c>
      <c r="G1397" t="s">
        <v>2</v>
      </c>
      <c r="H1397" cm="1">
        <f t="array" ref="H1397">sentimentCalc(B1397)</f>
        <v>10</v>
      </c>
      <c r="I1397" s="5" t="str" cm="1">
        <f t="array" ref="I1397">sentimentCategory(H1397)</f>
        <v>Positive</v>
      </c>
    </row>
    <row r="1398" spans="1:9" x14ac:dyDescent="0.2">
      <c r="A1398" s="3">
        <v>46363.921492997688</v>
      </c>
      <c r="B1398" t="s">
        <v>431</v>
      </c>
      <c r="C1398" t="s">
        <v>143</v>
      </c>
      <c r="D1398" t="s">
        <v>129</v>
      </c>
      <c r="E1398">
        <v>0</v>
      </c>
      <c r="F1398">
        <v>0</v>
      </c>
      <c r="G1398" t="s">
        <v>2</v>
      </c>
      <c r="H1398" cm="1">
        <f t="array" ref="H1398">sentimentCalc(B1398)</f>
        <v>-10</v>
      </c>
      <c r="I1398" s="5" t="str" cm="1">
        <f t="array" ref="I1398">sentimentCategory(H1398)</f>
        <v>Negative</v>
      </c>
    </row>
    <row r="1399" spans="1:9" x14ac:dyDescent="0.2">
      <c r="A1399" s="3">
        <v>46364.921492997688</v>
      </c>
      <c r="B1399" t="s">
        <v>138</v>
      </c>
      <c r="C1399" t="s">
        <v>22</v>
      </c>
      <c r="E1399">
        <v>0</v>
      </c>
      <c r="F1399">
        <v>0</v>
      </c>
      <c r="G1399" t="s">
        <v>2</v>
      </c>
      <c r="H1399" cm="1">
        <f t="array" ref="H1399">sentimentCalc(B1399)</f>
        <v>0</v>
      </c>
      <c r="I1399" s="5" t="str" cm="1">
        <f t="array" ref="I1399">sentimentCategory(H1399)</f>
        <v>Neutral</v>
      </c>
    </row>
    <row r="1400" spans="1:9" x14ac:dyDescent="0.2">
      <c r="A1400" s="3">
        <v>46365.921492997688</v>
      </c>
      <c r="B1400" t="s">
        <v>193</v>
      </c>
      <c r="C1400" t="s">
        <v>143</v>
      </c>
      <c r="D1400" t="s">
        <v>129</v>
      </c>
      <c r="E1400">
        <v>0</v>
      </c>
      <c r="F1400">
        <v>0</v>
      </c>
      <c r="G1400" t="s">
        <v>2</v>
      </c>
      <c r="H1400" cm="1">
        <f t="array" ref="H1400">sentimentCalc(B1400)</f>
        <v>0</v>
      </c>
      <c r="I1400" s="5" t="str" cm="1">
        <f t="array" ref="I1400">sentimentCategory(H1400)</f>
        <v>Neutral</v>
      </c>
    </row>
    <row r="1401" spans="1:9" x14ac:dyDescent="0.2">
      <c r="A1401" s="3">
        <v>46366.921492997688</v>
      </c>
      <c r="B1401" t="s">
        <v>144</v>
      </c>
      <c r="C1401" t="s">
        <v>22</v>
      </c>
      <c r="E1401">
        <v>0</v>
      </c>
      <c r="F1401">
        <v>0</v>
      </c>
      <c r="G1401" t="s">
        <v>2</v>
      </c>
      <c r="H1401" cm="1">
        <f t="array" ref="H1401">sentimentCalc(B1401)</f>
        <v>0</v>
      </c>
      <c r="I1401" s="5" t="str" cm="1">
        <f t="array" ref="I1401">sentimentCategory(H1401)</f>
        <v>Neutral</v>
      </c>
    </row>
    <row r="1402" spans="1:9" x14ac:dyDescent="0.2">
      <c r="A1402" s="3">
        <v>46367.921492997688</v>
      </c>
      <c r="B1402" t="s">
        <v>152</v>
      </c>
      <c r="C1402" t="s">
        <v>22</v>
      </c>
      <c r="E1402">
        <v>0</v>
      </c>
      <c r="F1402">
        <v>0</v>
      </c>
      <c r="G1402" t="s">
        <v>2</v>
      </c>
      <c r="H1402" cm="1">
        <f t="array" ref="H1402">sentimentCalc(B1402)</f>
        <v>0</v>
      </c>
      <c r="I1402" s="5" t="str" cm="1">
        <f t="array" ref="I1402">sentimentCategory(H1402)</f>
        <v>Neutral</v>
      </c>
    </row>
    <row r="1403" spans="1:9" x14ac:dyDescent="0.2">
      <c r="A1403" s="3">
        <v>46368.921492997688</v>
      </c>
      <c r="B1403" t="s">
        <v>1595</v>
      </c>
      <c r="C1403" t="s">
        <v>1596</v>
      </c>
      <c r="D1403" t="s">
        <v>1597</v>
      </c>
      <c r="E1403">
        <v>0</v>
      </c>
      <c r="F1403">
        <v>0</v>
      </c>
      <c r="G1403" t="s">
        <v>2</v>
      </c>
      <c r="H1403" cm="1">
        <f t="array" ref="H1403">sentimentCalc(B1403)</f>
        <v>0</v>
      </c>
      <c r="I1403" s="5" t="str" cm="1">
        <f t="array" ref="I1403">sentimentCategory(H1403)</f>
        <v>Neutral</v>
      </c>
    </row>
    <row r="1404" spans="1:9" x14ac:dyDescent="0.2">
      <c r="A1404" s="3">
        <v>46369.921492997688</v>
      </c>
      <c r="B1404" t="s">
        <v>1598</v>
      </c>
      <c r="C1404" t="s">
        <v>294</v>
      </c>
      <c r="E1404">
        <v>0</v>
      </c>
      <c r="F1404">
        <v>5</v>
      </c>
      <c r="G1404" t="s">
        <v>2</v>
      </c>
      <c r="H1404" cm="1">
        <f t="array" ref="H1404">sentimentCalc(B1404)</f>
        <v>10</v>
      </c>
      <c r="I1404" s="5" t="str" cm="1">
        <f t="array" ref="I1404">sentimentCategory(H1404)</f>
        <v>Positive</v>
      </c>
    </row>
    <row r="1405" spans="1:9" x14ac:dyDescent="0.2">
      <c r="A1405" s="3"/>
      <c r="H1405" cm="1">
        <f t="array" ref="H1405">sentimentCalc(B1405)</f>
        <v>0</v>
      </c>
      <c r="I1405" s="5" t="str" cm="1">
        <f t="array" ref="I1405">sentimentCategory(H1405)</f>
        <v>Neutral</v>
      </c>
    </row>
    <row r="1406" spans="1:9" x14ac:dyDescent="0.2">
      <c r="A1406" s="3">
        <v>46371.921492997688</v>
      </c>
      <c r="B1406" t="s">
        <v>151</v>
      </c>
      <c r="C1406" t="s">
        <v>22</v>
      </c>
      <c r="E1406">
        <v>0</v>
      </c>
      <c r="F1406">
        <v>0</v>
      </c>
      <c r="G1406" t="s">
        <v>2</v>
      </c>
      <c r="H1406" cm="1">
        <f t="array" ref="H1406">sentimentCalc(B1406)</f>
        <v>0</v>
      </c>
      <c r="I1406" s="5" t="str" cm="1">
        <f t="array" ref="I1406">sentimentCategory(H1406)</f>
        <v>Neutral</v>
      </c>
    </row>
    <row r="1407" spans="1:9" x14ac:dyDescent="0.2">
      <c r="A1407" s="3">
        <v>46372.921492997688</v>
      </c>
      <c r="B1407" t="s">
        <v>1599</v>
      </c>
      <c r="C1407" t="s">
        <v>1476</v>
      </c>
      <c r="E1407">
        <v>0</v>
      </c>
      <c r="F1407">
        <v>3</v>
      </c>
      <c r="G1407" t="s">
        <v>2</v>
      </c>
      <c r="H1407" cm="1">
        <f t="array" ref="H1407">sentimentCalc(B1407)</f>
        <v>0</v>
      </c>
      <c r="I1407" s="5" t="str" cm="1">
        <f t="array" ref="I1407">sentimentCategory(H1407)</f>
        <v>Neutral</v>
      </c>
    </row>
    <row r="1408" spans="1:9" x14ac:dyDescent="0.2">
      <c r="A1408" s="3">
        <v>46373.921492997688</v>
      </c>
      <c r="B1408" t="s">
        <v>3</v>
      </c>
      <c r="C1408" t="s">
        <v>4</v>
      </c>
      <c r="D1408" t="s">
        <v>5</v>
      </c>
      <c r="E1408">
        <v>0</v>
      </c>
      <c r="F1408">
        <v>0</v>
      </c>
      <c r="G1408" t="s">
        <v>2</v>
      </c>
      <c r="H1408" cm="1">
        <f t="array" ref="H1408">sentimentCalc(B1408)</f>
        <v>0</v>
      </c>
      <c r="I1408" s="5" t="str" cm="1">
        <f t="array" ref="I1408">sentimentCategory(H1408)</f>
        <v>Neutral</v>
      </c>
    </row>
    <row r="1409" spans="1:9" x14ac:dyDescent="0.2">
      <c r="A1409" s="3">
        <v>46374.921492997688</v>
      </c>
      <c r="B1409" t="s">
        <v>153</v>
      </c>
      <c r="C1409" t="s">
        <v>22</v>
      </c>
      <c r="E1409">
        <v>0</v>
      </c>
      <c r="F1409">
        <v>0</v>
      </c>
      <c r="G1409" t="s">
        <v>2</v>
      </c>
      <c r="H1409" cm="1">
        <f t="array" ref="H1409">sentimentCalc(B1409)</f>
        <v>0</v>
      </c>
      <c r="I1409" s="5" t="str" cm="1">
        <f t="array" ref="I1409">sentimentCategory(H1409)</f>
        <v>Neutral</v>
      </c>
    </row>
    <row r="1410" spans="1:9" x14ac:dyDescent="0.2">
      <c r="A1410" s="3">
        <v>46375.921492997688</v>
      </c>
      <c r="B1410" t="s">
        <v>1600</v>
      </c>
      <c r="C1410" t="s">
        <v>1527</v>
      </c>
      <c r="E1410">
        <v>0</v>
      </c>
      <c r="F1410">
        <v>0</v>
      </c>
      <c r="G1410" t="s">
        <v>2</v>
      </c>
      <c r="H1410" cm="1">
        <f t="array" ref="H1410">sentimentCalc(B1410)</f>
        <v>0</v>
      </c>
      <c r="I1410" s="5" t="str" cm="1">
        <f t="array" ref="I1410">sentimentCategory(H1410)</f>
        <v>Neutral</v>
      </c>
    </row>
    <row r="1411" spans="1:9" x14ac:dyDescent="0.2">
      <c r="A1411" s="3">
        <v>46376.921492997688</v>
      </c>
      <c r="B1411" t="s">
        <v>459</v>
      </c>
      <c r="C1411" t="s">
        <v>290</v>
      </c>
      <c r="D1411" t="s">
        <v>291</v>
      </c>
      <c r="E1411">
        <v>0</v>
      </c>
      <c r="F1411">
        <v>0</v>
      </c>
      <c r="G1411" t="s">
        <v>2</v>
      </c>
      <c r="H1411" cm="1">
        <f t="array" ref="H1411">sentimentCalc(B1411)</f>
        <v>0</v>
      </c>
      <c r="I1411" s="5" t="str" cm="1">
        <f t="array" ref="I1411">sentimentCategory(H1411)</f>
        <v>Neutral</v>
      </c>
    </row>
    <row r="1412" spans="1:9" x14ac:dyDescent="0.2">
      <c r="A1412" s="3">
        <v>46377.921492997688</v>
      </c>
      <c r="B1412" t="s">
        <v>1601</v>
      </c>
      <c r="C1412" t="s">
        <v>1602</v>
      </c>
      <c r="E1412">
        <v>0</v>
      </c>
      <c r="F1412">
        <v>0</v>
      </c>
      <c r="G1412" t="s">
        <v>2</v>
      </c>
      <c r="H1412" cm="1">
        <f t="array" ref="H1412">sentimentCalc(B1412)</f>
        <v>30</v>
      </c>
      <c r="I1412" s="5" t="str" cm="1">
        <f t="array" ref="I1412">sentimentCategory(H1412)</f>
        <v>Positive</v>
      </c>
    </row>
    <row r="1413" spans="1:9" x14ac:dyDescent="0.2">
      <c r="A1413" s="3">
        <v>46378.921492997688</v>
      </c>
      <c r="B1413" t="s">
        <v>154</v>
      </c>
      <c r="C1413" t="s">
        <v>22</v>
      </c>
      <c r="E1413">
        <v>0</v>
      </c>
      <c r="F1413">
        <v>0</v>
      </c>
      <c r="G1413" t="s">
        <v>2</v>
      </c>
      <c r="H1413" cm="1">
        <f t="array" ref="H1413">sentimentCalc(B1413)</f>
        <v>0</v>
      </c>
      <c r="I1413" s="5" t="str" cm="1">
        <f t="array" ref="I1413">sentimentCategory(H1413)</f>
        <v>Neutral</v>
      </c>
    </row>
    <row r="1414" spans="1:9" x14ac:dyDescent="0.2">
      <c r="A1414" s="3">
        <v>46379.921492997688</v>
      </c>
      <c r="B1414" t="s">
        <v>46</v>
      </c>
      <c r="C1414" t="s">
        <v>22</v>
      </c>
      <c r="E1414">
        <v>0</v>
      </c>
      <c r="F1414">
        <v>0</v>
      </c>
      <c r="G1414" t="s">
        <v>2</v>
      </c>
      <c r="H1414" cm="1">
        <f t="array" ref="H1414">sentimentCalc(B1414)</f>
        <v>0</v>
      </c>
      <c r="I1414" s="5" t="str" cm="1">
        <f t="array" ref="I1414">sentimentCategory(H1414)</f>
        <v>Neutral</v>
      </c>
    </row>
    <row r="1415" spans="1:9" x14ac:dyDescent="0.2">
      <c r="A1415" s="3">
        <v>46380.921492997688</v>
      </c>
      <c r="B1415" t="s">
        <v>1603</v>
      </c>
      <c r="C1415" t="s">
        <v>1604</v>
      </c>
      <c r="D1415" t="s">
        <v>1605</v>
      </c>
      <c r="E1415">
        <v>0</v>
      </c>
      <c r="F1415">
        <v>0</v>
      </c>
      <c r="G1415" t="s">
        <v>2</v>
      </c>
      <c r="H1415" cm="1">
        <f t="array" ref="H1415">sentimentCalc(B1415)</f>
        <v>10</v>
      </c>
      <c r="I1415" s="5" t="str" cm="1">
        <f t="array" ref="I1415">sentimentCategory(H1415)</f>
        <v>Positive</v>
      </c>
    </row>
    <row r="1416" spans="1:9" x14ac:dyDescent="0.2">
      <c r="A1416" s="3">
        <v>46381.921492997688</v>
      </c>
      <c r="B1416" t="s">
        <v>1606</v>
      </c>
      <c r="C1416" t="s">
        <v>1527</v>
      </c>
      <c r="E1416">
        <v>0</v>
      </c>
      <c r="F1416">
        <v>0</v>
      </c>
      <c r="G1416" t="s">
        <v>2</v>
      </c>
      <c r="H1416" cm="1">
        <f t="array" ref="H1416">sentimentCalc(B1416)</f>
        <v>0</v>
      </c>
      <c r="I1416" s="5" t="str" cm="1">
        <f t="array" ref="I1416">sentimentCategory(H1416)</f>
        <v>Neutral</v>
      </c>
    </row>
    <row r="1417" spans="1:9" x14ac:dyDescent="0.2">
      <c r="A1417" s="3"/>
      <c r="H1417" cm="1">
        <f t="array" ref="H1417">sentimentCalc(B1417)</f>
        <v>0</v>
      </c>
      <c r="I1417" s="5" t="str" cm="1">
        <f t="array" ref="I1417">sentimentCategory(H1417)</f>
        <v>Neutral</v>
      </c>
    </row>
    <row r="1418" spans="1:9" x14ac:dyDescent="0.2">
      <c r="A1418" s="3">
        <v>46383.921492997688</v>
      </c>
      <c r="B1418" t="s">
        <v>159</v>
      </c>
      <c r="C1418" t="s">
        <v>22</v>
      </c>
      <c r="E1418">
        <v>0</v>
      </c>
      <c r="F1418">
        <v>0</v>
      </c>
      <c r="G1418" t="s">
        <v>2</v>
      </c>
      <c r="H1418" cm="1">
        <f t="array" ref="H1418">sentimentCalc(B1418)</f>
        <v>0</v>
      </c>
      <c r="I1418" s="5" t="str" cm="1">
        <f t="array" ref="I1418">sentimentCategory(H1418)</f>
        <v>Neutral</v>
      </c>
    </row>
    <row r="1419" spans="1:9" x14ac:dyDescent="0.2">
      <c r="A1419" s="3">
        <v>46384.921492997688</v>
      </c>
      <c r="B1419" t="s">
        <v>1607</v>
      </c>
      <c r="C1419" t="s">
        <v>1608</v>
      </c>
      <c r="E1419">
        <v>0</v>
      </c>
      <c r="F1419">
        <v>0</v>
      </c>
      <c r="G1419" t="s">
        <v>2</v>
      </c>
      <c r="H1419" cm="1">
        <f t="array" ref="H1419">sentimentCalc(B1419)</f>
        <v>0</v>
      </c>
      <c r="I1419" s="5" t="str" cm="1">
        <f t="array" ref="I1419">sentimentCategory(H1419)</f>
        <v>Neutral</v>
      </c>
    </row>
    <row r="1420" spans="1:9" x14ac:dyDescent="0.2">
      <c r="A1420" s="3">
        <v>46385.921492997688</v>
      </c>
      <c r="B1420" t="s">
        <v>1272</v>
      </c>
      <c r="C1420" t="s">
        <v>286</v>
      </c>
      <c r="E1420">
        <v>0</v>
      </c>
      <c r="F1420">
        <v>0</v>
      </c>
      <c r="G1420" t="s">
        <v>2</v>
      </c>
      <c r="H1420" cm="1">
        <f t="array" ref="H1420">sentimentCalc(B1420)</f>
        <v>0</v>
      </c>
      <c r="I1420" s="5" t="str" cm="1">
        <f t="array" ref="I1420">sentimentCategory(H1420)</f>
        <v>Neutral</v>
      </c>
    </row>
    <row r="1421" spans="1:9" x14ac:dyDescent="0.2">
      <c r="A1421" s="3">
        <v>46386.921492997688</v>
      </c>
      <c r="B1421" t="s">
        <v>1609</v>
      </c>
      <c r="C1421" t="s">
        <v>1610</v>
      </c>
      <c r="D1421" t="s">
        <v>1611</v>
      </c>
      <c r="E1421">
        <v>0</v>
      </c>
      <c r="F1421">
        <v>0</v>
      </c>
      <c r="G1421" t="s">
        <v>2</v>
      </c>
      <c r="H1421" cm="1">
        <f t="array" ref="H1421">sentimentCalc(B1421)</f>
        <v>0</v>
      </c>
      <c r="I1421" s="5" t="str" cm="1">
        <f t="array" ref="I1421">sentimentCategory(H1421)</f>
        <v>Neutral</v>
      </c>
    </row>
    <row r="1422" spans="1:9" x14ac:dyDescent="0.2">
      <c r="A1422" s="3">
        <v>46387.921492997688</v>
      </c>
      <c r="B1422" t="s">
        <v>1612</v>
      </c>
      <c r="C1422" t="s">
        <v>664</v>
      </c>
      <c r="D1422" t="s">
        <v>1613</v>
      </c>
      <c r="E1422">
        <v>0</v>
      </c>
      <c r="F1422">
        <v>0</v>
      </c>
      <c r="G1422" t="s">
        <v>2</v>
      </c>
      <c r="H1422" cm="1">
        <f t="array" ref="H1422">sentimentCalc(B1422)</f>
        <v>10</v>
      </c>
      <c r="I1422" s="5" t="str" cm="1">
        <f t="array" ref="I1422">sentimentCategory(H1422)</f>
        <v>Positive</v>
      </c>
    </row>
    <row r="1423" spans="1:9" x14ac:dyDescent="0.2">
      <c r="A1423" s="3"/>
      <c r="H1423" cm="1">
        <f t="array" ref="H1423">sentimentCalc(B1423)</f>
        <v>0</v>
      </c>
      <c r="I1423" s="5" t="str" cm="1">
        <f t="array" ref="I1423">sentimentCategory(H1423)</f>
        <v>Neutral</v>
      </c>
    </row>
    <row r="1424" spans="1:9" x14ac:dyDescent="0.2">
      <c r="A1424" s="3">
        <v>46389.921492997688</v>
      </c>
      <c r="B1424" t="s">
        <v>165</v>
      </c>
      <c r="C1424" t="s">
        <v>22</v>
      </c>
      <c r="E1424">
        <v>0</v>
      </c>
      <c r="F1424">
        <v>0</v>
      </c>
      <c r="G1424" t="s">
        <v>2</v>
      </c>
      <c r="H1424" cm="1">
        <f t="array" ref="H1424">sentimentCalc(B1424)</f>
        <v>0</v>
      </c>
      <c r="I1424" s="5" t="str" cm="1">
        <f t="array" ref="I1424">sentimentCategory(H1424)</f>
        <v>Neutral</v>
      </c>
    </row>
    <row r="1425" spans="1:9" x14ac:dyDescent="0.2">
      <c r="A1425" s="3">
        <v>46390.921492997688</v>
      </c>
      <c r="B1425" t="s">
        <v>1614</v>
      </c>
      <c r="C1425" t="s">
        <v>1615</v>
      </c>
      <c r="D1425" t="s">
        <v>1616</v>
      </c>
      <c r="E1425">
        <v>0</v>
      </c>
      <c r="F1425">
        <v>0</v>
      </c>
      <c r="G1425" t="s">
        <v>2</v>
      </c>
      <c r="H1425" cm="1">
        <f t="array" ref="H1425">sentimentCalc(B1425)</f>
        <v>0</v>
      </c>
      <c r="I1425" s="5" t="str" cm="1">
        <f t="array" ref="I1425">sentimentCategory(H1425)</f>
        <v>Neutral</v>
      </c>
    </row>
    <row r="1426" spans="1:9" x14ac:dyDescent="0.2">
      <c r="A1426" s="3">
        <v>46391.921492997688</v>
      </c>
      <c r="B1426" t="s">
        <v>1617</v>
      </c>
      <c r="C1426" t="s">
        <v>1618</v>
      </c>
      <c r="D1426" t="s">
        <v>1619</v>
      </c>
      <c r="E1426">
        <v>3</v>
      </c>
      <c r="F1426">
        <v>4</v>
      </c>
      <c r="G1426" t="s">
        <v>2</v>
      </c>
      <c r="H1426" cm="1">
        <f t="array" ref="H1426">sentimentCalc(B1426)</f>
        <v>0</v>
      </c>
      <c r="I1426" s="5" t="str" cm="1">
        <f t="array" ref="I1426">sentimentCategory(H1426)</f>
        <v>Neutral</v>
      </c>
    </row>
    <row r="1427" spans="1:9" x14ac:dyDescent="0.2">
      <c r="A1427" s="3">
        <v>46392.921492997688</v>
      </c>
      <c r="B1427" t="s">
        <v>1620</v>
      </c>
      <c r="C1427" t="s">
        <v>7</v>
      </c>
      <c r="E1427">
        <v>0</v>
      </c>
      <c r="F1427">
        <v>0</v>
      </c>
      <c r="G1427" t="s">
        <v>2</v>
      </c>
      <c r="H1427" cm="1">
        <f t="array" ref="H1427">sentimentCalc(B1427)</f>
        <v>0</v>
      </c>
      <c r="I1427" s="5" t="str" cm="1">
        <f t="array" ref="I1427">sentimentCategory(H1427)</f>
        <v>Neutral</v>
      </c>
    </row>
    <row r="1428" spans="1:9" x14ac:dyDescent="0.2">
      <c r="A1428" s="3">
        <v>46393.921492997688</v>
      </c>
      <c r="B1428" t="s">
        <v>1621</v>
      </c>
      <c r="C1428" t="s">
        <v>286</v>
      </c>
      <c r="E1428">
        <v>0</v>
      </c>
      <c r="F1428">
        <v>0</v>
      </c>
      <c r="G1428" t="s">
        <v>2</v>
      </c>
      <c r="H1428" cm="1">
        <f t="array" ref="H1428">sentimentCalc(B1428)</f>
        <v>0</v>
      </c>
      <c r="I1428" s="5" t="str" cm="1">
        <f t="array" ref="I1428">sentimentCategory(H1428)</f>
        <v>Neutral</v>
      </c>
    </row>
    <row r="1429" spans="1:9" x14ac:dyDescent="0.2">
      <c r="A1429" s="3">
        <v>46394.921492997688</v>
      </c>
      <c r="B1429" t="s">
        <v>1622</v>
      </c>
      <c r="C1429" t="s">
        <v>1623</v>
      </c>
      <c r="D1429" t="s">
        <v>1624</v>
      </c>
      <c r="E1429">
        <v>1</v>
      </c>
      <c r="F1429">
        <v>1</v>
      </c>
      <c r="G1429" t="s">
        <v>2</v>
      </c>
      <c r="H1429" cm="1">
        <f t="array" ref="H1429">sentimentCalc(B1429)</f>
        <v>0</v>
      </c>
      <c r="I1429" s="5" t="str" cm="1">
        <f t="array" ref="I1429">sentimentCategory(H1429)</f>
        <v>Neutral</v>
      </c>
    </row>
    <row r="1430" spans="1:9" x14ac:dyDescent="0.2">
      <c r="A1430" s="3">
        <v>46395.921492997688</v>
      </c>
      <c r="B1430" t="s">
        <v>1625</v>
      </c>
      <c r="C1430" t="s">
        <v>7</v>
      </c>
      <c r="E1430">
        <v>0</v>
      </c>
      <c r="F1430">
        <v>0</v>
      </c>
      <c r="G1430" t="s">
        <v>2</v>
      </c>
      <c r="H1430" cm="1">
        <f t="array" ref="H1430">sentimentCalc(B1430)</f>
        <v>0</v>
      </c>
      <c r="I1430" s="5" t="str" cm="1">
        <f t="array" ref="I1430">sentimentCategory(H1430)</f>
        <v>Neutral</v>
      </c>
    </row>
    <row r="1431" spans="1:9" x14ac:dyDescent="0.2">
      <c r="A1431" s="3">
        <v>46396.921492997688</v>
      </c>
      <c r="B1431" t="s">
        <v>1626</v>
      </c>
      <c r="C1431" t="s">
        <v>7</v>
      </c>
      <c r="E1431">
        <v>0</v>
      </c>
      <c r="F1431">
        <v>0</v>
      </c>
      <c r="G1431" t="s">
        <v>2</v>
      </c>
      <c r="H1431" cm="1">
        <f t="array" ref="H1431">sentimentCalc(B1431)</f>
        <v>0</v>
      </c>
      <c r="I1431" s="5" t="str" cm="1">
        <f t="array" ref="I1431">sentimentCategory(H1431)</f>
        <v>Neutral</v>
      </c>
    </row>
    <row r="1432" spans="1:9" x14ac:dyDescent="0.2">
      <c r="A1432" s="3"/>
      <c r="H1432" cm="1">
        <f t="array" ref="H1432">sentimentCalc(B1432)</f>
        <v>0</v>
      </c>
      <c r="I1432" s="5" t="str" cm="1">
        <f t="array" ref="I1432">sentimentCategory(H1432)</f>
        <v>Neutral</v>
      </c>
    </row>
    <row r="1433" spans="1:9" x14ac:dyDescent="0.2">
      <c r="A1433" s="3">
        <v>46398.921492997688</v>
      </c>
      <c r="B1433" t="s">
        <v>37</v>
      </c>
      <c r="C1433" t="s">
        <v>33</v>
      </c>
      <c r="D1433" t="s">
        <v>34</v>
      </c>
      <c r="E1433">
        <v>0</v>
      </c>
      <c r="F1433">
        <v>0</v>
      </c>
      <c r="G1433" t="s">
        <v>2</v>
      </c>
      <c r="H1433" cm="1">
        <f t="array" ref="H1433">sentimentCalc(B1433)</f>
        <v>0</v>
      </c>
      <c r="I1433" s="5" t="str" cm="1">
        <f t="array" ref="I1433">sentimentCategory(H1433)</f>
        <v>Neutral</v>
      </c>
    </row>
    <row r="1434" spans="1:9" x14ac:dyDescent="0.2">
      <c r="A1434" s="3">
        <v>46399.921492997688</v>
      </c>
      <c r="B1434" t="s">
        <v>36</v>
      </c>
      <c r="C1434" t="s">
        <v>33</v>
      </c>
      <c r="D1434" t="s">
        <v>34</v>
      </c>
      <c r="E1434">
        <v>0</v>
      </c>
      <c r="F1434">
        <v>0</v>
      </c>
      <c r="G1434" t="s">
        <v>2</v>
      </c>
      <c r="H1434" cm="1">
        <f t="array" ref="H1434">sentimentCalc(B1434)</f>
        <v>10</v>
      </c>
      <c r="I1434" s="5" t="str" cm="1">
        <f t="array" ref="I1434">sentimentCategory(H1434)</f>
        <v>Positive</v>
      </c>
    </row>
    <row r="1435" spans="1:9" x14ac:dyDescent="0.2">
      <c r="A1435" s="3">
        <v>46400.921492997688</v>
      </c>
      <c r="B1435" t="s">
        <v>1627</v>
      </c>
      <c r="C1435" t="s">
        <v>33</v>
      </c>
      <c r="D1435" t="s">
        <v>34</v>
      </c>
      <c r="E1435">
        <v>0</v>
      </c>
      <c r="F1435">
        <v>0</v>
      </c>
      <c r="G1435" t="s">
        <v>2</v>
      </c>
      <c r="H1435" cm="1">
        <f t="array" ref="H1435">sentimentCalc(B1435)</f>
        <v>0</v>
      </c>
      <c r="I1435" s="5" t="str" cm="1">
        <f t="array" ref="I1435">sentimentCategory(H1435)</f>
        <v>Neutral</v>
      </c>
    </row>
    <row r="1436" spans="1:9" x14ac:dyDescent="0.2">
      <c r="A1436" s="3">
        <v>46401.921492997688</v>
      </c>
      <c r="B1436" t="s">
        <v>333</v>
      </c>
      <c r="C1436" t="s">
        <v>128</v>
      </c>
      <c r="D1436" t="s">
        <v>129</v>
      </c>
      <c r="E1436">
        <v>0</v>
      </c>
      <c r="F1436">
        <v>0</v>
      </c>
      <c r="G1436" t="s">
        <v>2</v>
      </c>
      <c r="H1436" cm="1">
        <f t="array" ref="H1436">sentimentCalc(B1436)</f>
        <v>-10</v>
      </c>
      <c r="I1436" s="5" t="str" cm="1">
        <f t="array" ref="I1436">sentimentCategory(H1436)</f>
        <v>Negative</v>
      </c>
    </row>
    <row r="1437" spans="1:9" x14ac:dyDescent="0.2">
      <c r="A1437" s="3">
        <v>46402.921492997688</v>
      </c>
      <c r="B1437" t="s">
        <v>1628</v>
      </c>
      <c r="C1437" t="s">
        <v>1629</v>
      </c>
      <c r="D1437" t="s">
        <v>1630</v>
      </c>
      <c r="E1437">
        <v>0</v>
      </c>
      <c r="F1437">
        <v>0</v>
      </c>
      <c r="G1437" t="s">
        <v>2</v>
      </c>
      <c r="H1437" cm="1">
        <f t="array" ref="H1437">sentimentCalc(B1437)</f>
        <v>10</v>
      </c>
      <c r="I1437" s="5" t="str" cm="1">
        <f t="array" ref="I1437">sentimentCategory(H1437)</f>
        <v>Positive</v>
      </c>
    </row>
    <row r="1438" spans="1:9" x14ac:dyDescent="0.2">
      <c r="A1438" s="3"/>
      <c r="H1438" cm="1">
        <f t="array" ref="H1438">sentimentCalc(B1438)</f>
        <v>0</v>
      </c>
      <c r="I1438" s="5" t="str" cm="1">
        <f t="array" ref="I1438">sentimentCategory(H1438)</f>
        <v>Neutral</v>
      </c>
    </row>
    <row r="1439" spans="1:9" x14ac:dyDescent="0.2">
      <c r="A1439" s="3"/>
      <c r="H1439" cm="1">
        <f t="array" ref="H1439">sentimentCalc(B1439)</f>
        <v>0</v>
      </c>
      <c r="I1439" s="5" t="str" cm="1">
        <f t="array" ref="I1439">sentimentCategory(H1439)</f>
        <v>Neutral</v>
      </c>
    </row>
    <row r="1440" spans="1:9" x14ac:dyDescent="0.2">
      <c r="A1440" s="3"/>
      <c r="H1440" cm="1">
        <f t="array" ref="H1440">sentimentCalc(B1440)</f>
        <v>0</v>
      </c>
      <c r="I1440" s="5" t="str" cm="1">
        <f t="array" ref="I1440">sentimentCategory(H1440)</f>
        <v>Neutral</v>
      </c>
    </row>
    <row r="1441" spans="1:9" x14ac:dyDescent="0.2">
      <c r="A1441" s="3"/>
      <c r="H1441" cm="1">
        <f t="array" ref="H1441">sentimentCalc(B1441)</f>
        <v>0</v>
      </c>
      <c r="I1441" s="5" t="str" cm="1">
        <f t="array" ref="I1441">sentimentCategory(H1441)</f>
        <v>Neutral</v>
      </c>
    </row>
    <row r="1442" spans="1:9" x14ac:dyDescent="0.2">
      <c r="A1442" s="3"/>
      <c r="H1442" cm="1">
        <f t="array" ref="H1442">sentimentCalc(B1442)</f>
        <v>0</v>
      </c>
      <c r="I1442" s="5" t="str" cm="1">
        <f t="array" ref="I1442">sentimentCategory(H1442)</f>
        <v>Neutral</v>
      </c>
    </row>
    <row r="1443" spans="1:9" x14ac:dyDescent="0.2">
      <c r="A1443" s="3">
        <v>46408.921492997688</v>
      </c>
      <c r="B1443" t="s">
        <v>1636</v>
      </c>
      <c r="C1443" t="s">
        <v>33</v>
      </c>
      <c r="D1443" t="s">
        <v>34</v>
      </c>
      <c r="E1443">
        <v>0</v>
      </c>
      <c r="F1443">
        <v>0</v>
      </c>
      <c r="G1443" t="s">
        <v>2</v>
      </c>
      <c r="H1443" cm="1">
        <f t="array" ref="H1443">sentimentCalc(B1443)</f>
        <v>0</v>
      </c>
      <c r="I1443" s="5" t="str" cm="1">
        <f t="array" ref="I1443">sentimentCategory(H1443)</f>
        <v>Neutral</v>
      </c>
    </row>
    <row r="1444" spans="1:9" x14ac:dyDescent="0.2">
      <c r="A1444" s="3">
        <v>46409.921492997688</v>
      </c>
      <c r="B1444" t="s">
        <v>1637</v>
      </c>
      <c r="C1444" t="s">
        <v>1638</v>
      </c>
      <c r="E1444">
        <v>0</v>
      </c>
      <c r="F1444">
        <v>0</v>
      </c>
      <c r="G1444" t="s">
        <v>2</v>
      </c>
      <c r="H1444" cm="1">
        <f t="array" ref="H1444">sentimentCalc(B1444)</f>
        <v>0</v>
      </c>
      <c r="I1444" s="5" t="str" cm="1">
        <f t="array" ref="I1444">sentimentCategory(H1444)</f>
        <v>Neutral</v>
      </c>
    </row>
    <row r="1445" spans="1:9" x14ac:dyDescent="0.2">
      <c r="A1445" s="3">
        <v>46410.921492997688</v>
      </c>
      <c r="B1445" t="s">
        <v>1639</v>
      </c>
      <c r="C1445" t="s">
        <v>1591</v>
      </c>
      <c r="E1445">
        <v>0</v>
      </c>
      <c r="F1445">
        <v>0</v>
      </c>
      <c r="G1445" t="s">
        <v>2</v>
      </c>
      <c r="H1445" cm="1">
        <f t="array" ref="H1445">sentimentCalc(B1445)</f>
        <v>10</v>
      </c>
      <c r="I1445" s="5" t="str" cm="1">
        <f t="array" ref="I1445">sentimentCategory(H1445)</f>
        <v>Positive</v>
      </c>
    </row>
    <row r="1446" spans="1:9" x14ac:dyDescent="0.2">
      <c r="A1446" s="3">
        <v>46411.921492997688</v>
      </c>
      <c r="B1446" t="s">
        <v>1640</v>
      </c>
      <c r="C1446" t="s">
        <v>7</v>
      </c>
      <c r="E1446">
        <v>0</v>
      </c>
      <c r="F1446">
        <v>0</v>
      </c>
      <c r="G1446" t="s">
        <v>2</v>
      </c>
      <c r="H1446" cm="1">
        <f t="array" ref="H1446">sentimentCalc(B1446)</f>
        <v>0</v>
      </c>
      <c r="I1446" s="5" t="str" cm="1">
        <f t="array" ref="I1446">sentimentCategory(H1446)</f>
        <v>Neutral</v>
      </c>
    </row>
    <row r="1447" spans="1:9" x14ac:dyDescent="0.2">
      <c r="A1447" s="3">
        <v>46412.921492997688</v>
      </c>
      <c r="B1447" t="s">
        <v>1641</v>
      </c>
      <c r="C1447" t="s">
        <v>1642</v>
      </c>
      <c r="D1447" t="s">
        <v>55</v>
      </c>
      <c r="E1447">
        <v>0</v>
      </c>
      <c r="F1447">
        <v>0</v>
      </c>
      <c r="G1447" t="s">
        <v>2</v>
      </c>
      <c r="H1447" cm="1">
        <f t="array" ref="H1447">sentimentCalc(B1447)</f>
        <v>0</v>
      </c>
      <c r="I1447" s="5" t="str" cm="1">
        <f t="array" ref="I1447">sentimentCategory(H1447)</f>
        <v>Neutral</v>
      </c>
    </row>
    <row r="1448" spans="1:9" x14ac:dyDescent="0.2">
      <c r="A1448" s="3">
        <v>46413.921492997688</v>
      </c>
      <c r="B1448" t="s">
        <v>1643</v>
      </c>
      <c r="C1448" t="s">
        <v>7</v>
      </c>
      <c r="E1448">
        <v>0</v>
      </c>
      <c r="F1448">
        <v>0</v>
      </c>
      <c r="G1448" t="s">
        <v>2</v>
      </c>
      <c r="H1448" cm="1">
        <f t="array" ref="H1448">sentimentCalc(B1448)</f>
        <v>0</v>
      </c>
      <c r="I1448" s="5" t="str" cm="1">
        <f t="array" ref="I1448">sentimentCategory(H1448)</f>
        <v>Neutral</v>
      </c>
    </row>
    <row r="1449" spans="1:9" x14ac:dyDescent="0.2">
      <c r="A1449" s="3">
        <v>46414.921492997688</v>
      </c>
      <c r="B1449" t="s">
        <v>1644</v>
      </c>
      <c r="C1449" t="s">
        <v>12</v>
      </c>
      <c r="D1449" t="s">
        <v>13</v>
      </c>
      <c r="E1449">
        <v>0</v>
      </c>
      <c r="F1449">
        <v>0</v>
      </c>
      <c r="G1449" t="s">
        <v>2</v>
      </c>
      <c r="H1449" cm="1">
        <f t="array" ref="H1449">sentimentCalc(B1449)</f>
        <v>0</v>
      </c>
      <c r="I1449" s="5" t="str" cm="1">
        <f t="array" ref="I1449">sentimentCategory(H1449)</f>
        <v>Neutral</v>
      </c>
    </row>
    <row r="1450" spans="1:9" x14ac:dyDescent="0.2">
      <c r="A1450" s="3">
        <v>46415.921492997688</v>
      </c>
      <c r="B1450" t="s">
        <v>3</v>
      </c>
      <c r="C1450" t="s">
        <v>4</v>
      </c>
      <c r="D1450" t="s">
        <v>5</v>
      </c>
      <c r="E1450">
        <v>0</v>
      </c>
      <c r="F1450">
        <v>0</v>
      </c>
      <c r="G1450" t="s">
        <v>2</v>
      </c>
      <c r="H1450" cm="1">
        <f t="array" ref="H1450">sentimentCalc(B1450)</f>
        <v>0</v>
      </c>
      <c r="I1450" s="5" t="str" cm="1">
        <f t="array" ref="I1450">sentimentCategory(H1450)</f>
        <v>Neutral</v>
      </c>
    </row>
    <row r="1451" spans="1:9" x14ac:dyDescent="0.2">
      <c r="A1451" s="3">
        <v>46416.921492997688</v>
      </c>
      <c r="B1451" t="s">
        <v>1645</v>
      </c>
      <c r="C1451" t="s">
        <v>24</v>
      </c>
      <c r="D1451" t="s">
        <v>1646</v>
      </c>
      <c r="E1451">
        <v>0</v>
      </c>
      <c r="F1451">
        <v>0</v>
      </c>
      <c r="G1451" t="s">
        <v>2</v>
      </c>
      <c r="H1451" cm="1">
        <f t="array" ref="H1451">sentimentCalc(B1451)</f>
        <v>0</v>
      </c>
      <c r="I1451" s="5" t="str" cm="1">
        <f t="array" ref="I1451">sentimentCategory(H1451)</f>
        <v>Neutral</v>
      </c>
    </row>
    <row r="1452" spans="1:9" x14ac:dyDescent="0.2">
      <c r="A1452" s="3">
        <v>46417.921492997688</v>
      </c>
      <c r="B1452" t="s">
        <v>1647</v>
      </c>
      <c r="C1452" t="s">
        <v>7</v>
      </c>
      <c r="E1452">
        <v>0</v>
      </c>
      <c r="F1452">
        <v>0</v>
      </c>
      <c r="G1452" t="s">
        <v>2</v>
      </c>
      <c r="H1452" cm="1">
        <f t="array" ref="H1452">sentimentCalc(B1452)</f>
        <v>0</v>
      </c>
      <c r="I1452" s="5" t="str" cm="1">
        <f t="array" ref="I1452">sentimentCategory(H1452)</f>
        <v>Neutral</v>
      </c>
    </row>
    <row r="1453" spans="1:9" x14ac:dyDescent="0.2">
      <c r="A1453" s="3">
        <v>46418.921492997688</v>
      </c>
      <c r="B1453" t="s">
        <v>1648</v>
      </c>
      <c r="C1453" t="s">
        <v>1649</v>
      </c>
      <c r="D1453" t="s">
        <v>1650</v>
      </c>
      <c r="E1453">
        <v>0</v>
      </c>
      <c r="F1453">
        <v>0</v>
      </c>
      <c r="G1453" t="s">
        <v>2</v>
      </c>
      <c r="H1453" cm="1">
        <f t="array" ref="H1453">sentimentCalc(B1453)</f>
        <v>0</v>
      </c>
      <c r="I1453" s="5" t="str" cm="1">
        <f t="array" ref="I1453">sentimentCategory(H1453)</f>
        <v>Neutral</v>
      </c>
    </row>
    <row r="1454" spans="1:9" x14ac:dyDescent="0.2">
      <c r="A1454" s="3">
        <v>46419.921492997688</v>
      </c>
      <c r="B1454" t="s">
        <v>1651</v>
      </c>
      <c r="C1454" t="s">
        <v>1652</v>
      </c>
      <c r="E1454">
        <v>0</v>
      </c>
      <c r="F1454">
        <v>0</v>
      </c>
      <c r="G1454" t="s">
        <v>2</v>
      </c>
      <c r="H1454" cm="1">
        <f t="array" ref="H1454">sentimentCalc(B1454)</f>
        <v>0</v>
      </c>
      <c r="I1454" s="5" t="str" cm="1">
        <f t="array" ref="I1454">sentimentCategory(H1454)</f>
        <v>Neutral</v>
      </c>
    </row>
    <row r="1455" spans="1:9" x14ac:dyDescent="0.2">
      <c r="A1455" s="3">
        <v>46420.921492997688</v>
      </c>
      <c r="B1455" t="s">
        <v>1653</v>
      </c>
      <c r="C1455" t="s">
        <v>643</v>
      </c>
      <c r="E1455">
        <v>0</v>
      </c>
      <c r="F1455">
        <v>0</v>
      </c>
      <c r="G1455" t="s">
        <v>2</v>
      </c>
      <c r="H1455" cm="1">
        <f t="array" ref="H1455">sentimentCalc(B1455)</f>
        <v>0</v>
      </c>
      <c r="I1455" s="5" t="str" cm="1">
        <f t="array" ref="I1455">sentimentCategory(H1455)</f>
        <v>Neutral</v>
      </c>
    </row>
    <row r="1456" spans="1:9" x14ac:dyDescent="0.2">
      <c r="A1456" s="3">
        <v>46421.921492997688</v>
      </c>
      <c r="B1456" t="s">
        <v>1654</v>
      </c>
      <c r="C1456" t="s">
        <v>412</v>
      </c>
      <c r="D1456" t="s">
        <v>413</v>
      </c>
      <c r="E1456">
        <v>0</v>
      </c>
      <c r="F1456">
        <v>0</v>
      </c>
      <c r="G1456" t="s">
        <v>2</v>
      </c>
      <c r="H1456" cm="1">
        <f t="array" ref="H1456">sentimentCalc(B1456)</f>
        <v>0</v>
      </c>
      <c r="I1456" s="5" t="str" cm="1">
        <f t="array" ref="I1456">sentimentCategory(H1456)</f>
        <v>Neutral</v>
      </c>
    </row>
    <row r="1457" spans="1:9" x14ac:dyDescent="0.2">
      <c r="A1457" s="3">
        <v>46422.921492997688</v>
      </c>
      <c r="B1457" t="s">
        <v>1655</v>
      </c>
      <c r="C1457" t="s">
        <v>7</v>
      </c>
      <c r="E1457">
        <v>0</v>
      </c>
      <c r="F1457">
        <v>0</v>
      </c>
      <c r="G1457" t="s">
        <v>2</v>
      </c>
      <c r="H1457" cm="1">
        <f t="array" ref="H1457">sentimentCalc(B1457)</f>
        <v>0</v>
      </c>
      <c r="I1457" s="5" t="str" cm="1">
        <f t="array" ref="I1457">sentimentCategory(H1457)</f>
        <v>Neutral</v>
      </c>
    </row>
    <row r="1458" spans="1:9" x14ac:dyDescent="0.2">
      <c r="A1458" s="3">
        <v>46423.921492997688</v>
      </c>
      <c r="B1458" t="s">
        <v>1656</v>
      </c>
      <c r="C1458" t="s">
        <v>7</v>
      </c>
      <c r="E1458">
        <v>0</v>
      </c>
      <c r="F1458">
        <v>0</v>
      </c>
      <c r="G1458" t="s">
        <v>2</v>
      </c>
      <c r="H1458" cm="1">
        <f t="array" ref="H1458">sentimentCalc(B1458)</f>
        <v>0</v>
      </c>
      <c r="I1458" s="5" t="str" cm="1">
        <f t="array" ref="I1458">sentimentCategory(H1458)</f>
        <v>Neutral</v>
      </c>
    </row>
    <row r="1459" spans="1:9" x14ac:dyDescent="0.2">
      <c r="A1459" s="3">
        <v>46424.921492997688</v>
      </c>
      <c r="B1459" t="s">
        <v>1657</v>
      </c>
      <c r="C1459" t="s">
        <v>1658</v>
      </c>
      <c r="E1459">
        <v>0</v>
      </c>
      <c r="F1459">
        <v>0</v>
      </c>
      <c r="G1459" t="s">
        <v>2</v>
      </c>
      <c r="H1459" cm="1">
        <f t="array" ref="H1459">sentimentCalc(B1459)</f>
        <v>0</v>
      </c>
      <c r="I1459" s="5" t="str" cm="1">
        <f t="array" ref="I1459">sentimentCategory(H1459)</f>
        <v>Neutral</v>
      </c>
    </row>
    <row r="1460" spans="1:9" x14ac:dyDescent="0.2">
      <c r="A1460" s="3">
        <v>46425.921492997688</v>
      </c>
      <c r="B1460" t="s">
        <v>1659</v>
      </c>
      <c r="C1460" t="s">
        <v>7</v>
      </c>
      <c r="E1460">
        <v>0</v>
      </c>
      <c r="F1460">
        <v>0</v>
      </c>
      <c r="G1460" t="s">
        <v>2</v>
      </c>
      <c r="H1460" cm="1">
        <f t="array" ref="H1460">sentimentCalc(B1460)</f>
        <v>0</v>
      </c>
      <c r="I1460" s="5" t="str" cm="1">
        <f t="array" ref="I1460">sentimentCategory(H1460)</f>
        <v>Neutral</v>
      </c>
    </row>
    <row r="1461" spans="1:9" x14ac:dyDescent="0.2">
      <c r="A1461" s="3">
        <v>46426.921492997688</v>
      </c>
      <c r="B1461" t="s">
        <v>1255</v>
      </c>
      <c r="C1461" t="s">
        <v>143</v>
      </c>
      <c r="D1461" t="s">
        <v>129</v>
      </c>
      <c r="E1461">
        <v>0</v>
      </c>
      <c r="F1461">
        <v>0</v>
      </c>
      <c r="G1461" t="s">
        <v>2</v>
      </c>
      <c r="H1461" cm="1">
        <f t="array" ref="H1461">sentimentCalc(B1461)</f>
        <v>-10</v>
      </c>
      <c r="I1461" s="5" t="str" cm="1">
        <f t="array" ref="I1461">sentimentCategory(H1461)</f>
        <v>Negative</v>
      </c>
    </row>
    <row r="1462" spans="1:9" x14ac:dyDescent="0.2">
      <c r="A1462" s="3">
        <v>46427.921492997688</v>
      </c>
      <c r="B1462" t="s">
        <v>339</v>
      </c>
      <c r="C1462" t="s">
        <v>143</v>
      </c>
      <c r="D1462" t="s">
        <v>129</v>
      </c>
      <c r="E1462">
        <v>0</v>
      </c>
      <c r="F1462">
        <v>0</v>
      </c>
      <c r="G1462" t="s">
        <v>2</v>
      </c>
      <c r="H1462" cm="1">
        <f t="array" ref="H1462">sentimentCalc(B1462)</f>
        <v>-10</v>
      </c>
      <c r="I1462" s="5" t="str" cm="1">
        <f t="array" ref="I1462">sentimentCategory(H1462)</f>
        <v>Negative</v>
      </c>
    </row>
    <row r="1463" spans="1:9" x14ac:dyDescent="0.2">
      <c r="A1463" s="3">
        <v>46428.921492997688</v>
      </c>
      <c r="B1463" t="s">
        <v>1278</v>
      </c>
      <c r="C1463" t="s">
        <v>143</v>
      </c>
      <c r="D1463" t="s">
        <v>129</v>
      </c>
      <c r="E1463">
        <v>0</v>
      </c>
      <c r="F1463">
        <v>0</v>
      </c>
      <c r="G1463" t="s">
        <v>2</v>
      </c>
      <c r="H1463" cm="1">
        <f t="array" ref="H1463">sentimentCalc(B1463)</f>
        <v>-10</v>
      </c>
      <c r="I1463" s="5" t="str" cm="1">
        <f t="array" ref="I1463">sentimentCategory(H1463)</f>
        <v>Negative</v>
      </c>
    </row>
    <row r="1464" spans="1:9" x14ac:dyDescent="0.2">
      <c r="A1464" s="3">
        <v>46429.921492997688</v>
      </c>
      <c r="B1464" t="s">
        <v>1660</v>
      </c>
      <c r="C1464" t="s">
        <v>879</v>
      </c>
      <c r="E1464">
        <v>0</v>
      </c>
      <c r="F1464">
        <v>0</v>
      </c>
      <c r="G1464" t="s">
        <v>2</v>
      </c>
      <c r="H1464" cm="1">
        <f t="array" ref="H1464">sentimentCalc(B1464)</f>
        <v>10</v>
      </c>
      <c r="I1464" s="5" t="str" cm="1">
        <f t="array" ref="I1464">sentimentCategory(H1464)</f>
        <v>Positive</v>
      </c>
    </row>
    <row r="1465" spans="1:9" x14ac:dyDescent="0.2">
      <c r="A1465" s="3">
        <v>46430.921492997688</v>
      </c>
      <c r="B1465" t="s">
        <v>37</v>
      </c>
      <c r="C1465" t="s">
        <v>33</v>
      </c>
      <c r="D1465" t="s">
        <v>34</v>
      </c>
      <c r="E1465">
        <v>0</v>
      </c>
      <c r="F1465">
        <v>0</v>
      </c>
      <c r="G1465" t="s">
        <v>2</v>
      </c>
      <c r="H1465" cm="1">
        <f t="array" ref="H1465">sentimentCalc(B1465)</f>
        <v>0</v>
      </c>
      <c r="I1465" s="5" t="str" cm="1">
        <f t="array" ref="I1465">sentimentCategory(H1465)</f>
        <v>Neutral</v>
      </c>
    </row>
    <row r="1466" spans="1:9" x14ac:dyDescent="0.2">
      <c r="A1466" s="3">
        <v>46431.921492997688</v>
      </c>
      <c r="B1466" t="s">
        <v>36</v>
      </c>
      <c r="C1466" t="s">
        <v>33</v>
      </c>
      <c r="D1466" t="s">
        <v>34</v>
      </c>
      <c r="E1466">
        <v>0</v>
      </c>
      <c r="F1466">
        <v>0</v>
      </c>
      <c r="G1466" t="s">
        <v>2</v>
      </c>
      <c r="H1466" cm="1">
        <f t="array" ref="H1466">sentimentCalc(B1466)</f>
        <v>10</v>
      </c>
      <c r="I1466" s="5" t="str" cm="1">
        <f t="array" ref="I1466">sentimentCategory(H1466)</f>
        <v>Positive</v>
      </c>
    </row>
    <row r="1467" spans="1:9" x14ac:dyDescent="0.2">
      <c r="A1467" s="3"/>
      <c r="H1467" cm="1">
        <f t="array" ref="H1467">sentimentCalc(B1467)</f>
        <v>0</v>
      </c>
      <c r="I1467" s="5" t="str" cm="1">
        <f t="array" ref="I1467">sentimentCategory(H1467)</f>
        <v>Neutral</v>
      </c>
    </row>
    <row r="1468" spans="1:9" x14ac:dyDescent="0.2">
      <c r="A1468" s="3">
        <v>46433.921492997688</v>
      </c>
      <c r="B1468" t="s">
        <v>1661</v>
      </c>
      <c r="C1468" t="s">
        <v>33</v>
      </c>
      <c r="D1468" t="s">
        <v>34</v>
      </c>
      <c r="E1468">
        <v>0</v>
      </c>
      <c r="F1468">
        <v>0</v>
      </c>
      <c r="G1468" t="s">
        <v>2</v>
      </c>
      <c r="H1468" cm="1">
        <f t="array" ref="H1468">sentimentCalc(B1468)</f>
        <v>0</v>
      </c>
      <c r="I1468" s="5" t="str" cm="1">
        <f t="array" ref="I1468">sentimentCategory(H1468)</f>
        <v>Neutral</v>
      </c>
    </row>
    <row r="1469" spans="1:9" x14ac:dyDescent="0.2">
      <c r="A1469" s="3">
        <v>46434.921492997688</v>
      </c>
      <c r="B1469" t="s">
        <v>1662</v>
      </c>
      <c r="C1469" t="s">
        <v>7</v>
      </c>
      <c r="E1469">
        <v>0</v>
      </c>
      <c r="F1469">
        <v>0</v>
      </c>
      <c r="G1469" t="s">
        <v>2</v>
      </c>
      <c r="H1469" cm="1">
        <f t="array" ref="H1469">sentimentCalc(B1469)</f>
        <v>0</v>
      </c>
      <c r="I1469" s="5" t="str" cm="1">
        <f t="array" ref="I1469">sentimentCategory(H1469)</f>
        <v>Neutral</v>
      </c>
    </row>
    <row r="1470" spans="1:9" x14ac:dyDescent="0.2">
      <c r="A1470" s="3">
        <v>46435.921492997688</v>
      </c>
      <c r="B1470" t="s">
        <v>1663</v>
      </c>
      <c r="C1470" t="s">
        <v>1664</v>
      </c>
      <c r="D1470" t="s">
        <v>254</v>
      </c>
      <c r="E1470">
        <v>0</v>
      </c>
      <c r="F1470">
        <v>0</v>
      </c>
      <c r="G1470" t="s">
        <v>2</v>
      </c>
      <c r="H1470" cm="1">
        <f t="array" ref="H1470">sentimentCalc(B1470)</f>
        <v>0</v>
      </c>
      <c r="I1470" s="5" t="str" cm="1">
        <f t="array" ref="I1470">sentimentCategory(H1470)</f>
        <v>Neutral</v>
      </c>
    </row>
    <row r="1471" spans="1:9" x14ac:dyDescent="0.2">
      <c r="A1471" s="3">
        <v>46436.921492997688</v>
      </c>
      <c r="B1471" t="s">
        <v>1665</v>
      </c>
      <c r="C1471" t="s">
        <v>1666</v>
      </c>
      <c r="D1471" t="s">
        <v>1104</v>
      </c>
      <c r="E1471">
        <v>0</v>
      </c>
      <c r="F1471">
        <v>1</v>
      </c>
      <c r="G1471" t="s">
        <v>2</v>
      </c>
      <c r="H1471" cm="1">
        <f t="array" ref="H1471">sentimentCalc(B1471)</f>
        <v>0</v>
      </c>
      <c r="I1471" s="5" t="str" cm="1">
        <f t="array" ref="I1471">sentimentCategory(H1471)</f>
        <v>Neutral</v>
      </c>
    </row>
    <row r="1472" spans="1:9" x14ac:dyDescent="0.2">
      <c r="A1472" s="3">
        <v>46437.921492997688</v>
      </c>
      <c r="B1472" t="s">
        <v>1667</v>
      </c>
      <c r="C1472" t="s">
        <v>7</v>
      </c>
      <c r="E1472">
        <v>0</v>
      </c>
      <c r="F1472">
        <v>0</v>
      </c>
      <c r="G1472" t="s">
        <v>2</v>
      </c>
      <c r="H1472" cm="1">
        <f t="array" ref="H1472">sentimentCalc(B1472)</f>
        <v>0</v>
      </c>
      <c r="I1472" s="5" t="str" cm="1">
        <f t="array" ref="I1472">sentimentCategory(H1472)</f>
        <v>Neutral</v>
      </c>
    </row>
    <row r="1473" spans="1:9" x14ac:dyDescent="0.2">
      <c r="A1473" s="3">
        <v>46438.921492997688</v>
      </c>
      <c r="B1473" t="s">
        <v>1668</v>
      </c>
      <c r="C1473" t="s">
        <v>1669</v>
      </c>
      <c r="D1473" t="s">
        <v>1670</v>
      </c>
      <c r="E1473">
        <v>0</v>
      </c>
      <c r="F1473">
        <v>0</v>
      </c>
      <c r="G1473" t="s">
        <v>2</v>
      </c>
      <c r="H1473" cm="1">
        <f t="array" ref="H1473">sentimentCalc(B1473)</f>
        <v>10</v>
      </c>
      <c r="I1473" s="5" t="str" cm="1">
        <f t="array" ref="I1473">sentimentCategory(H1473)</f>
        <v>Positive</v>
      </c>
    </row>
    <row r="1474" spans="1:9" x14ac:dyDescent="0.2">
      <c r="A1474" s="3">
        <v>46439.921492997688</v>
      </c>
      <c r="B1474" t="s">
        <v>429</v>
      </c>
      <c r="C1474" t="s">
        <v>143</v>
      </c>
      <c r="D1474" t="s">
        <v>129</v>
      </c>
      <c r="E1474">
        <v>0</v>
      </c>
      <c r="F1474">
        <v>0</v>
      </c>
      <c r="G1474" t="s">
        <v>2</v>
      </c>
      <c r="H1474" cm="1">
        <f t="array" ref="H1474">sentimentCalc(B1474)</f>
        <v>-10</v>
      </c>
      <c r="I1474" s="5" t="str" cm="1">
        <f t="array" ref="I1474">sentimentCategory(H1474)</f>
        <v>Negative</v>
      </c>
    </row>
    <row r="1475" spans="1:9" x14ac:dyDescent="0.2">
      <c r="A1475" s="3">
        <v>46440.921492997688</v>
      </c>
      <c r="B1475" t="s">
        <v>902</v>
      </c>
      <c r="C1475" t="s">
        <v>143</v>
      </c>
      <c r="D1475" t="s">
        <v>129</v>
      </c>
      <c r="E1475">
        <v>0</v>
      </c>
      <c r="F1475">
        <v>0</v>
      </c>
      <c r="G1475" t="s">
        <v>2</v>
      </c>
      <c r="H1475" cm="1">
        <f t="array" ref="H1475">sentimentCalc(B1475)</f>
        <v>-10</v>
      </c>
      <c r="I1475" s="5" t="str" cm="1">
        <f t="array" ref="I1475">sentimentCategory(H1475)</f>
        <v>Negative</v>
      </c>
    </row>
    <row r="1476" spans="1:9" x14ac:dyDescent="0.2">
      <c r="A1476" s="3">
        <v>46441.921492997688</v>
      </c>
      <c r="B1476" t="s">
        <v>169</v>
      </c>
      <c r="C1476" t="s">
        <v>143</v>
      </c>
      <c r="D1476" t="s">
        <v>129</v>
      </c>
      <c r="E1476">
        <v>0</v>
      </c>
      <c r="F1476">
        <v>0</v>
      </c>
      <c r="G1476" t="s">
        <v>2</v>
      </c>
      <c r="H1476" cm="1">
        <f t="array" ref="H1476">sentimentCalc(B1476)</f>
        <v>0</v>
      </c>
      <c r="I1476" s="5" t="str" cm="1">
        <f t="array" ref="I1476">sentimentCategory(H1476)</f>
        <v>Neutral</v>
      </c>
    </row>
    <row r="1477" spans="1:9" x14ac:dyDescent="0.2">
      <c r="A1477" s="3">
        <v>46442.921492997688</v>
      </c>
      <c r="B1477" t="s">
        <v>1671</v>
      </c>
      <c r="C1477" t="s">
        <v>7</v>
      </c>
      <c r="E1477">
        <v>0</v>
      </c>
      <c r="F1477">
        <v>1</v>
      </c>
      <c r="G1477" t="s">
        <v>2</v>
      </c>
      <c r="H1477" cm="1">
        <f t="array" ref="H1477">sentimentCalc(B1477)</f>
        <v>0</v>
      </c>
      <c r="I1477" s="5" t="str" cm="1">
        <f t="array" ref="I1477">sentimentCategory(H1477)</f>
        <v>Neutral</v>
      </c>
    </row>
    <row r="1478" spans="1:9" x14ac:dyDescent="0.2">
      <c r="A1478" s="3">
        <v>46443.921492997688</v>
      </c>
      <c r="B1478" t="s">
        <v>336</v>
      </c>
      <c r="C1478" t="s">
        <v>143</v>
      </c>
      <c r="D1478" t="s">
        <v>129</v>
      </c>
      <c r="E1478">
        <v>0</v>
      </c>
      <c r="F1478">
        <v>0</v>
      </c>
      <c r="G1478" t="s">
        <v>2</v>
      </c>
      <c r="H1478" cm="1">
        <f t="array" ref="H1478">sentimentCalc(B1478)</f>
        <v>0</v>
      </c>
      <c r="I1478" s="5" t="str" cm="1">
        <f t="array" ref="I1478">sentimentCategory(H1478)</f>
        <v>Neutral</v>
      </c>
    </row>
    <row r="1479" spans="1:9" x14ac:dyDescent="0.2">
      <c r="A1479" s="3">
        <v>46444.921492997688</v>
      </c>
      <c r="B1479" t="s">
        <v>1672</v>
      </c>
      <c r="C1479" t="s">
        <v>1652</v>
      </c>
      <c r="E1479">
        <v>0</v>
      </c>
      <c r="F1479">
        <v>0</v>
      </c>
      <c r="G1479" t="s">
        <v>2</v>
      </c>
      <c r="H1479" cm="1">
        <f t="array" ref="H1479">sentimentCalc(B1479)</f>
        <v>10</v>
      </c>
      <c r="I1479" s="5" t="str" cm="1">
        <f t="array" ref="I1479">sentimentCategory(H1479)</f>
        <v>Positive</v>
      </c>
    </row>
    <row r="1480" spans="1:9" x14ac:dyDescent="0.2">
      <c r="A1480" s="3">
        <v>46445.921492997688</v>
      </c>
      <c r="B1480" t="s">
        <v>1673</v>
      </c>
      <c r="C1480" t="s">
        <v>237</v>
      </c>
      <c r="E1480">
        <v>0</v>
      </c>
      <c r="F1480">
        <v>1</v>
      </c>
      <c r="G1480" t="s">
        <v>2</v>
      </c>
      <c r="H1480" cm="1">
        <f t="array" ref="H1480">sentimentCalc(B1480)</f>
        <v>0</v>
      </c>
      <c r="I1480" s="5" t="str" cm="1">
        <f t="array" ref="I1480">sentimentCategory(H1480)</f>
        <v>Neutral</v>
      </c>
    </row>
    <row r="1481" spans="1:9" x14ac:dyDescent="0.2">
      <c r="A1481" s="3">
        <v>46446.921492997688</v>
      </c>
      <c r="B1481" t="s">
        <v>3</v>
      </c>
      <c r="C1481" t="s">
        <v>4</v>
      </c>
      <c r="D1481" t="s">
        <v>5</v>
      </c>
      <c r="E1481">
        <v>0</v>
      </c>
      <c r="F1481">
        <v>0</v>
      </c>
      <c r="G1481" t="s">
        <v>2</v>
      </c>
      <c r="H1481" cm="1">
        <f t="array" ref="H1481">sentimentCalc(B1481)</f>
        <v>0</v>
      </c>
      <c r="I1481" s="5" t="str" cm="1">
        <f t="array" ref="I1481">sentimentCategory(H1481)</f>
        <v>Neutral</v>
      </c>
    </row>
    <row r="1482" spans="1:9" x14ac:dyDescent="0.2">
      <c r="A1482" s="3">
        <v>46447.921492997688</v>
      </c>
      <c r="B1482" t="s">
        <v>1674</v>
      </c>
      <c r="C1482" t="s">
        <v>1675</v>
      </c>
      <c r="D1482" t="s">
        <v>1676</v>
      </c>
      <c r="E1482">
        <v>0</v>
      </c>
      <c r="F1482">
        <v>1</v>
      </c>
      <c r="G1482" t="s">
        <v>2</v>
      </c>
      <c r="H1482" cm="1">
        <f t="array" ref="H1482">sentimentCalc(B1482)</f>
        <v>0</v>
      </c>
      <c r="I1482" s="5" t="str" cm="1">
        <f t="array" ref="I1482">sentimentCategory(H1482)</f>
        <v>Neutral</v>
      </c>
    </row>
    <row r="1483" spans="1:9" x14ac:dyDescent="0.2">
      <c r="A1483" s="3">
        <v>46448.921492997688</v>
      </c>
      <c r="B1483" t="s">
        <v>1677</v>
      </c>
      <c r="C1483" t="s">
        <v>1215</v>
      </c>
      <c r="E1483">
        <v>0</v>
      </c>
      <c r="F1483">
        <v>0</v>
      </c>
      <c r="G1483" t="s">
        <v>2</v>
      </c>
      <c r="H1483" cm="1">
        <f t="array" ref="H1483">sentimentCalc(B1483)</f>
        <v>0</v>
      </c>
      <c r="I1483" s="5" t="str" cm="1">
        <f t="array" ref="I1483">sentimentCategory(H1483)</f>
        <v>Neutral</v>
      </c>
    </row>
    <row r="1484" spans="1:9" x14ac:dyDescent="0.2">
      <c r="A1484" s="3">
        <v>46449.921492997688</v>
      </c>
      <c r="B1484" t="s">
        <v>1678</v>
      </c>
      <c r="C1484" t="s">
        <v>7</v>
      </c>
      <c r="E1484">
        <v>0</v>
      </c>
      <c r="F1484">
        <v>0</v>
      </c>
      <c r="G1484" t="s">
        <v>2</v>
      </c>
      <c r="H1484" cm="1">
        <f t="array" ref="H1484">sentimentCalc(B1484)</f>
        <v>0</v>
      </c>
      <c r="I1484" s="5" t="str" cm="1">
        <f t="array" ref="I1484">sentimentCategory(H1484)</f>
        <v>Neutral</v>
      </c>
    </row>
    <row r="1485" spans="1:9" x14ac:dyDescent="0.2">
      <c r="A1485" s="3">
        <v>46450.921492997688</v>
      </c>
      <c r="B1485" t="s">
        <v>1679</v>
      </c>
      <c r="C1485" t="s">
        <v>7</v>
      </c>
      <c r="E1485">
        <v>0</v>
      </c>
      <c r="F1485">
        <v>0</v>
      </c>
      <c r="G1485" t="s">
        <v>2</v>
      </c>
      <c r="H1485" cm="1">
        <f t="array" ref="H1485">sentimentCalc(B1485)</f>
        <v>0</v>
      </c>
      <c r="I1485" s="5" t="str" cm="1">
        <f t="array" ref="I1485">sentimentCategory(H1485)</f>
        <v>Neutral</v>
      </c>
    </row>
    <row r="1486" spans="1:9" x14ac:dyDescent="0.2">
      <c r="A1486" s="3">
        <v>46451.921492997688</v>
      </c>
      <c r="B1486" t="s">
        <v>1680</v>
      </c>
      <c r="C1486" t="s">
        <v>12</v>
      </c>
      <c r="D1486" t="s">
        <v>13</v>
      </c>
      <c r="E1486">
        <v>0</v>
      </c>
      <c r="F1486">
        <v>0</v>
      </c>
      <c r="G1486" t="s">
        <v>2</v>
      </c>
      <c r="H1486" cm="1">
        <f t="array" ref="H1486">sentimentCalc(B1486)</f>
        <v>10</v>
      </c>
      <c r="I1486" s="5" t="str" cm="1">
        <f t="array" ref="I1486">sentimentCategory(H1486)</f>
        <v>Positive</v>
      </c>
    </row>
    <row r="1487" spans="1:9" x14ac:dyDescent="0.2">
      <c r="A1487" s="3">
        <v>46452.921492997688</v>
      </c>
      <c r="B1487" t="s">
        <v>1681</v>
      </c>
      <c r="C1487" t="s">
        <v>1682</v>
      </c>
      <c r="D1487" t="s">
        <v>1683</v>
      </c>
      <c r="E1487">
        <v>0</v>
      </c>
      <c r="F1487">
        <v>1</v>
      </c>
      <c r="G1487" t="s">
        <v>2</v>
      </c>
      <c r="H1487" cm="1">
        <f t="array" ref="H1487">sentimentCalc(B1487)</f>
        <v>10</v>
      </c>
      <c r="I1487" s="5" t="str" cm="1">
        <f t="array" ref="I1487">sentimentCategory(H1487)</f>
        <v>Positive</v>
      </c>
    </row>
    <row r="1488" spans="1:9" x14ac:dyDescent="0.2">
      <c r="A1488" s="3">
        <v>46453.921492997688</v>
      </c>
      <c r="B1488" t="s">
        <v>1096</v>
      </c>
      <c r="C1488" t="s">
        <v>198</v>
      </c>
      <c r="E1488">
        <v>0</v>
      </c>
      <c r="F1488">
        <v>0</v>
      </c>
      <c r="G1488" t="s">
        <v>2</v>
      </c>
      <c r="H1488" cm="1">
        <f t="array" ref="H1488">sentimentCalc(B1488)</f>
        <v>0</v>
      </c>
      <c r="I1488" s="5" t="str" cm="1">
        <f t="array" ref="I1488">sentimentCategory(H1488)</f>
        <v>Neutral</v>
      </c>
    </row>
    <row r="1489" spans="1:9" x14ac:dyDescent="0.2">
      <c r="A1489" s="3">
        <v>46454.921492997688</v>
      </c>
      <c r="B1489" t="s">
        <v>993</v>
      </c>
      <c r="C1489" t="s">
        <v>461</v>
      </c>
      <c r="D1489" t="s">
        <v>462</v>
      </c>
      <c r="E1489">
        <v>0</v>
      </c>
      <c r="F1489">
        <v>0</v>
      </c>
      <c r="G1489" t="s">
        <v>2</v>
      </c>
      <c r="H1489" cm="1">
        <f t="array" ref="H1489">sentimentCalc(B1489)</f>
        <v>0</v>
      </c>
      <c r="I1489" s="5" t="str" cm="1">
        <f t="array" ref="I1489">sentimentCategory(H1489)</f>
        <v>Neutral</v>
      </c>
    </row>
    <row r="1490" spans="1:9" x14ac:dyDescent="0.2">
      <c r="A1490" s="3">
        <v>46455.921492997688</v>
      </c>
      <c r="B1490" t="s">
        <v>1684</v>
      </c>
      <c r="C1490" t="s">
        <v>7</v>
      </c>
      <c r="E1490">
        <v>0</v>
      </c>
      <c r="F1490">
        <v>0</v>
      </c>
      <c r="G1490" t="s">
        <v>2</v>
      </c>
      <c r="H1490" cm="1">
        <f t="array" ref="H1490">sentimentCalc(B1490)</f>
        <v>0</v>
      </c>
      <c r="I1490" s="5" t="str" cm="1">
        <f t="array" ref="I1490">sentimentCategory(H1490)</f>
        <v>Neutral</v>
      </c>
    </row>
    <row r="1491" spans="1:9" x14ac:dyDescent="0.2">
      <c r="A1491" s="3">
        <v>46456.921492997688</v>
      </c>
      <c r="B1491" t="s">
        <v>1685</v>
      </c>
      <c r="C1491" t="s">
        <v>1686</v>
      </c>
      <c r="D1491" t="s">
        <v>1687</v>
      </c>
      <c r="E1491">
        <v>0</v>
      </c>
      <c r="F1491">
        <v>1</v>
      </c>
      <c r="G1491" t="s">
        <v>2</v>
      </c>
      <c r="H1491" cm="1">
        <f t="array" ref="H1491">sentimentCalc(B1491)</f>
        <v>0</v>
      </c>
      <c r="I1491" s="5" t="str" cm="1">
        <f t="array" ref="I1491">sentimentCategory(H1491)</f>
        <v>Neutral</v>
      </c>
    </row>
    <row r="1492" spans="1:9" x14ac:dyDescent="0.2">
      <c r="A1492" s="3">
        <v>46457.921492997688</v>
      </c>
      <c r="B1492" t="s">
        <v>1688</v>
      </c>
      <c r="C1492" t="s">
        <v>1689</v>
      </c>
      <c r="D1492" t="s">
        <v>1690</v>
      </c>
      <c r="E1492">
        <v>0</v>
      </c>
      <c r="F1492">
        <v>38</v>
      </c>
      <c r="G1492" t="s">
        <v>2</v>
      </c>
      <c r="H1492" cm="1">
        <f t="array" ref="H1492">sentimentCalc(B1492)</f>
        <v>0</v>
      </c>
      <c r="I1492" s="5" t="str" cm="1">
        <f t="array" ref="I1492">sentimentCategory(H1492)</f>
        <v>Neutral</v>
      </c>
    </row>
    <row r="1493" spans="1:9" x14ac:dyDescent="0.2">
      <c r="A1493" s="3">
        <v>46458.921492997688</v>
      </c>
      <c r="B1493" t="s">
        <v>1691</v>
      </c>
      <c r="C1493" t="s">
        <v>1692</v>
      </c>
      <c r="D1493" t="s">
        <v>1693</v>
      </c>
      <c r="E1493">
        <v>0</v>
      </c>
      <c r="F1493">
        <v>0</v>
      </c>
      <c r="G1493" t="s">
        <v>2</v>
      </c>
      <c r="H1493" cm="1">
        <f t="array" ref="H1493">sentimentCalc(B1493)</f>
        <v>0</v>
      </c>
      <c r="I1493" s="5" t="str" cm="1">
        <f t="array" ref="I1493">sentimentCategory(H1493)</f>
        <v>Neutral</v>
      </c>
    </row>
    <row r="1494" spans="1:9" x14ac:dyDescent="0.2">
      <c r="A1494" s="3">
        <v>46459.921492997688</v>
      </c>
      <c r="B1494" t="s">
        <v>1694</v>
      </c>
      <c r="C1494" t="s">
        <v>542</v>
      </c>
      <c r="D1494" t="s">
        <v>1695</v>
      </c>
      <c r="E1494">
        <v>1</v>
      </c>
      <c r="F1494">
        <v>1</v>
      </c>
      <c r="G1494" t="s">
        <v>2</v>
      </c>
      <c r="H1494" cm="1">
        <f t="array" ref="H1494">sentimentCalc(B1494)</f>
        <v>0</v>
      </c>
      <c r="I1494" s="5" t="str" cm="1">
        <f t="array" ref="I1494">sentimentCategory(H1494)</f>
        <v>Neutral</v>
      </c>
    </row>
    <row r="1495" spans="1:9" x14ac:dyDescent="0.2">
      <c r="A1495" s="3">
        <v>46460.921492997688</v>
      </c>
      <c r="B1495" t="s">
        <v>1696</v>
      </c>
      <c r="C1495" t="s">
        <v>7</v>
      </c>
      <c r="E1495">
        <v>0</v>
      </c>
      <c r="F1495">
        <v>0</v>
      </c>
      <c r="G1495" t="s">
        <v>2</v>
      </c>
      <c r="H1495" cm="1">
        <f t="array" ref="H1495">sentimentCalc(B1495)</f>
        <v>0</v>
      </c>
      <c r="I1495" s="5" t="str" cm="1">
        <f t="array" ref="I1495">sentimentCategory(H1495)</f>
        <v>Neutral</v>
      </c>
    </row>
    <row r="1496" spans="1:9" x14ac:dyDescent="0.2">
      <c r="A1496" s="3">
        <v>46461.921492997688</v>
      </c>
      <c r="B1496" t="s">
        <v>1697</v>
      </c>
      <c r="C1496" t="s">
        <v>7</v>
      </c>
      <c r="E1496">
        <v>0</v>
      </c>
      <c r="F1496">
        <v>0</v>
      </c>
      <c r="G1496" t="s">
        <v>2</v>
      </c>
      <c r="H1496" cm="1">
        <f t="array" ref="H1496">sentimentCalc(B1496)</f>
        <v>0</v>
      </c>
      <c r="I1496" s="5" t="str" cm="1">
        <f t="array" ref="I1496">sentimentCategory(H1496)</f>
        <v>Neutral</v>
      </c>
    </row>
    <row r="1497" spans="1:9" x14ac:dyDescent="0.2">
      <c r="A1497" s="3">
        <v>46462.921492997688</v>
      </c>
      <c r="B1497" t="s">
        <v>1096</v>
      </c>
      <c r="C1497" t="s">
        <v>198</v>
      </c>
      <c r="E1497">
        <v>0</v>
      </c>
      <c r="F1497">
        <v>0</v>
      </c>
      <c r="G1497" t="s">
        <v>2</v>
      </c>
      <c r="H1497" cm="1">
        <f t="array" ref="H1497">sentimentCalc(B1497)</f>
        <v>0</v>
      </c>
      <c r="I1497" s="5" t="str" cm="1">
        <f t="array" ref="I1497">sentimentCategory(H1497)</f>
        <v>Neutral</v>
      </c>
    </row>
    <row r="1498" spans="1:9" x14ac:dyDescent="0.2">
      <c r="A1498" s="3">
        <v>46463.921492997688</v>
      </c>
      <c r="B1498" t="s">
        <v>1698</v>
      </c>
      <c r="C1498" t="s">
        <v>108</v>
      </c>
      <c r="E1498">
        <v>0</v>
      </c>
      <c r="F1498">
        <v>0</v>
      </c>
      <c r="G1498" t="s">
        <v>2</v>
      </c>
      <c r="H1498" cm="1">
        <f t="array" ref="H1498">sentimentCalc(B1498)</f>
        <v>0</v>
      </c>
      <c r="I1498" s="5" t="str" cm="1">
        <f t="array" ref="I1498">sentimentCategory(H1498)</f>
        <v>Neutral</v>
      </c>
    </row>
    <row r="1499" spans="1:9" x14ac:dyDescent="0.2">
      <c r="A1499" s="3">
        <v>46464.921492997688</v>
      </c>
      <c r="B1499" t="s">
        <v>1699</v>
      </c>
      <c r="C1499" t="s">
        <v>461</v>
      </c>
      <c r="D1499" t="s">
        <v>1700</v>
      </c>
      <c r="E1499">
        <v>0</v>
      </c>
      <c r="F1499">
        <v>0</v>
      </c>
      <c r="G1499" t="s">
        <v>2</v>
      </c>
      <c r="H1499" cm="1">
        <f t="array" ref="H1499">sentimentCalc(B1499)</f>
        <v>10</v>
      </c>
      <c r="I1499" s="5" t="str" cm="1">
        <f t="array" ref="I1499">sentimentCategory(H1499)</f>
        <v>Positive</v>
      </c>
    </row>
    <row r="1500" spans="1:9" x14ac:dyDescent="0.2">
      <c r="A1500" s="3">
        <v>46465.921492997688</v>
      </c>
      <c r="B1500" t="s">
        <v>1701</v>
      </c>
      <c r="C1500" t="s">
        <v>1702</v>
      </c>
      <c r="D1500" t="s">
        <v>1703</v>
      </c>
      <c r="E1500">
        <v>0</v>
      </c>
      <c r="F1500">
        <v>0</v>
      </c>
      <c r="G1500" t="s">
        <v>2</v>
      </c>
      <c r="H1500" cm="1">
        <f t="array" ref="H1500">sentimentCalc(B1500)</f>
        <v>10</v>
      </c>
      <c r="I1500" s="5" t="str" cm="1">
        <f t="array" ref="I1500">sentimentCategory(H1500)</f>
        <v>Positive</v>
      </c>
    </row>
    <row r="1501" spans="1:9" x14ac:dyDescent="0.2">
      <c r="A1501" s="3">
        <v>46466.921492997688</v>
      </c>
      <c r="B1501" t="s">
        <v>1704</v>
      </c>
      <c r="C1501" t="s">
        <v>382</v>
      </c>
      <c r="E1501">
        <v>0</v>
      </c>
      <c r="F1501">
        <v>0</v>
      </c>
      <c r="G1501" t="s">
        <v>2</v>
      </c>
      <c r="H1501" cm="1">
        <f t="array" ref="H1501">sentimentCalc(B1501)</f>
        <v>0</v>
      </c>
      <c r="I1501" s="5" t="str" cm="1">
        <f t="array" ref="I1501">sentimentCategory(H1501)</f>
        <v>Neutral</v>
      </c>
    </row>
    <row r="1502" spans="1:9" x14ac:dyDescent="0.2">
      <c r="A1502" s="3"/>
      <c r="H1502" cm="1">
        <f t="array" ref="H1502">sentimentCalc(B1502)</f>
        <v>0</v>
      </c>
      <c r="I1502" s="5" t="str" cm="1">
        <f t="array" ref="I1502">sentimentCategory(H1502)</f>
        <v>Neutral</v>
      </c>
    </row>
    <row r="1503" spans="1:9" x14ac:dyDescent="0.2">
      <c r="A1503" s="3">
        <v>46468.921492997688</v>
      </c>
      <c r="B1503" t="s">
        <v>973</v>
      </c>
      <c r="C1503" t="s">
        <v>143</v>
      </c>
      <c r="D1503" t="s">
        <v>129</v>
      </c>
      <c r="E1503">
        <v>0</v>
      </c>
      <c r="F1503">
        <v>0</v>
      </c>
      <c r="G1503" t="s">
        <v>2</v>
      </c>
      <c r="H1503" cm="1">
        <f t="array" ref="H1503">sentimentCalc(B1503)</f>
        <v>-10</v>
      </c>
      <c r="I1503" s="5" t="str" cm="1">
        <f t="array" ref="I1503">sentimentCategory(H1503)</f>
        <v>Negative</v>
      </c>
    </row>
    <row r="1504" spans="1:9" x14ac:dyDescent="0.2">
      <c r="A1504" s="3">
        <v>46469.921492997688</v>
      </c>
      <c r="B1504" t="s">
        <v>1705</v>
      </c>
      <c r="C1504" t="s">
        <v>33</v>
      </c>
      <c r="D1504" t="s">
        <v>34</v>
      </c>
      <c r="E1504">
        <v>0</v>
      </c>
      <c r="F1504">
        <v>0</v>
      </c>
      <c r="G1504" t="s">
        <v>2</v>
      </c>
      <c r="H1504" cm="1">
        <f t="array" ref="H1504">sentimentCalc(B1504)</f>
        <v>0</v>
      </c>
      <c r="I1504" s="5" t="str" cm="1">
        <f t="array" ref="I1504">sentimentCategory(H1504)</f>
        <v>Neutral</v>
      </c>
    </row>
    <row r="1505" spans="1:9" x14ac:dyDescent="0.2">
      <c r="A1505" s="3">
        <v>46470.921492997688</v>
      </c>
      <c r="B1505" t="s">
        <v>35</v>
      </c>
      <c r="C1505" t="s">
        <v>33</v>
      </c>
      <c r="D1505" t="s">
        <v>34</v>
      </c>
      <c r="E1505">
        <v>0</v>
      </c>
      <c r="F1505">
        <v>0</v>
      </c>
      <c r="G1505" t="s">
        <v>2</v>
      </c>
      <c r="H1505" cm="1">
        <f t="array" ref="H1505">sentimentCalc(B1505)</f>
        <v>0</v>
      </c>
      <c r="I1505" s="5" t="str" cm="1">
        <f t="array" ref="I1505">sentimentCategory(H1505)</f>
        <v>Neutral</v>
      </c>
    </row>
    <row r="1506" spans="1:9" x14ac:dyDescent="0.2">
      <c r="A1506" s="3">
        <v>46471.921492997688</v>
      </c>
      <c r="B1506" t="s">
        <v>36</v>
      </c>
      <c r="C1506" t="s">
        <v>33</v>
      </c>
      <c r="D1506" t="s">
        <v>34</v>
      </c>
      <c r="E1506">
        <v>0</v>
      </c>
      <c r="F1506">
        <v>0</v>
      </c>
      <c r="G1506" t="s">
        <v>2</v>
      </c>
      <c r="H1506" cm="1">
        <f t="array" ref="H1506">sentimentCalc(B1506)</f>
        <v>10</v>
      </c>
      <c r="I1506" s="5" t="str" cm="1">
        <f t="array" ref="I1506">sentimentCategory(H1506)</f>
        <v>Positive</v>
      </c>
    </row>
    <row r="1507" spans="1:9" x14ac:dyDescent="0.2">
      <c r="A1507" s="3">
        <v>46472.921492997688</v>
      </c>
      <c r="B1507" t="s">
        <v>37</v>
      </c>
      <c r="C1507" t="s">
        <v>33</v>
      </c>
      <c r="D1507" t="s">
        <v>34</v>
      </c>
      <c r="E1507">
        <v>0</v>
      </c>
      <c r="F1507">
        <v>0</v>
      </c>
      <c r="G1507" t="s">
        <v>2</v>
      </c>
      <c r="H1507" cm="1">
        <f t="array" ref="H1507">sentimentCalc(B1507)</f>
        <v>0</v>
      </c>
      <c r="I1507" s="5" t="str" cm="1">
        <f t="array" ref="I1507">sentimentCategory(H1507)</f>
        <v>Neutral</v>
      </c>
    </row>
    <row r="1508" spans="1:9" x14ac:dyDescent="0.2">
      <c r="A1508" s="3"/>
      <c r="H1508" cm="1">
        <f t="array" ref="H1508">sentimentCalc(B1508)</f>
        <v>0</v>
      </c>
      <c r="I1508" s="5" t="str" cm="1">
        <f t="array" ref="I1508">sentimentCategory(H1508)</f>
        <v>Neutral</v>
      </c>
    </row>
    <row r="1509" spans="1:9" x14ac:dyDescent="0.2">
      <c r="A1509" s="3">
        <v>46474.921492997688</v>
      </c>
      <c r="B1509" t="s">
        <v>370</v>
      </c>
      <c r="C1509" t="s">
        <v>143</v>
      </c>
      <c r="D1509" t="s">
        <v>129</v>
      </c>
      <c r="E1509">
        <v>0</v>
      </c>
      <c r="F1509">
        <v>0</v>
      </c>
      <c r="G1509" t="s">
        <v>2</v>
      </c>
      <c r="H1509" cm="1">
        <f t="array" ref="H1509">sentimentCalc(B1509)</f>
        <v>-10</v>
      </c>
      <c r="I1509" s="5" t="str" cm="1">
        <f t="array" ref="I1509">sentimentCategory(H1509)</f>
        <v>Negative</v>
      </c>
    </row>
    <row r="1510" spans="1:9" x14ac:dyDescent="0.2">
      <c r="A1510" s="3">
        <v>46475.921492997688</v>
      </c>
      <c r="B1510" t="s">
        <v>1706</v>
      </c>
      <c r="C1510" t="s">
        <v>1488</v>
      </c>
      <c r="E1510">
        <v>0</v>
      </c>
      <c r="F1510">
        <v>0</v>
      </c>
      <c r="G1510" t="s">
        <v>2</v>
      </c>
      <c r="H1510" cm="1">
        <f t="array" ref="H1510">sentimentCalc(B1510)</f>
        <v>0</v>
      </c>
      <c r="I1510" s="5" t="str" cm="1">
        <f t="array" ref="I1510">sentimentCategory(H1510)</f>
        <v>Neutral</v>
      </c>
    </row>
    <row r="1511" spans="1:9" x14ac:dyDescent="0.2">
      <c r="A1511" s="3">
        <v>46476.921492997688</v>
      </c>
      <c r="B1511" t="s">
        <v>1707</v>
      </c>
      <c r="C1511" t="s">
        <v>1708</v>
      </c>
      <c r="D1511" t="s">
        <v>1709</v>
      </c>
      <c r="E1511">
        <v>5</v>
      </c>
      <c r="F1511">
        <v>17</v>
      </c>
      <c r="G1511" t="s">
        <v>2</v>
      </c>
      <c r="H1511" cm="1">
        <f t="array" ref="H1511">sentimentCalc(B1511)</f>
        <v>0</v>
      </c>
      <c r="I1511" s="5" t="str" cm="1">
        <f t="array" ref="I1511">sentimentCategory(H1511)</f>
        <v>Neutral</v>
      </c>
    </row>
    <row r="1512" spans="1:9" x14ac:dyDescent="0.2">
      <c r="A1512" s="3">
        <v>46477.921492997688</v>
      </c>
      <c r="B1512" t="s">
        <v>326</v>
      </c>
      <c r="C1512" t="s">
        <v>143</v>
      </c>
      <c r="D1512" t="s">
        <v>129</v>
      </c>
      <c r="E1512">
        <v>0</v>
      </c>
      <c r="F1512">
        <v>0</v>
      </c>
      <c r="G1512" t="s">
        <v>2</v>
      </c>
      <c r="H1512" cm="1">
        <f t="array" ref="H1512">sentimentCalc(B1512)</f>
        <v>-10</v>
      </c>
      <c r="I1512" s="5" t="str" cm="1">
        <f t="array" ref="I1512">sentimentCategory(H1512)</f>
        <v>Negative</v>
      </c>
    </row>
    <row r="1513" spans="1:9" x14ac:dyDescent="0.2">
      <c r="A1513" s="3">
        <v>46478.921492997688</v>
      </c>
      <c r="B1513" t="s">
        <v>1710</v>
      </c>
      <c r="C1513" t="s">
        <v>378</v>
      </c>
      <c r="E1513">
        <v>0</v>
      </c>
      <c r="F1513">
        <v>0</v>
      </c>
      <c r="G1513" t="s">
        <v>2</v>
      </c>
      <c r="H1513" cm="1">
        <f t="array" ref="H1513">sentimentCalc(B1513)</f>
        <v>0</v>
      </c>
      <c r="I1513" s="5" t="str" cm="1">
        <f t="array" ref="I1513">sentimentCategory(H1513)</f>
        <v>Neutral</v>
      </c>
    </row>
    <row r="1514" spans="1:9" x14ac:dyDescent="0.2">
      <c r="A1514" s="3">
        <v>46479.921492997688</v>
      </c>
      <c r="B1514" t="s">
        <v>1711</v>
      </c>
      <c r="C1514" t="s">
        <v>290</v>
      </c>
      <c r="D1514" t="s">
        <v>291</v>
      </c>
      <c r="E1514">
        <v>0</v>
      </c>
      <c r="F1514">
        <v>0</v>
      </c>
      <c r="G1514" t="s">
        <v>2</v>
      </c>
      <c r="H1514" cm="1">
        <f t="array" ref="H1514">sentimentCalc(B1514)</f>
        <v>0</v>
      </c>
      <c r="I1514" s="5" t="str" cm="1">
        <f t="array" ref="I1514">sentimentCategory(H1514)</f>
        <v>Neutral</v>
      </c>
    </row>
    <row r="1515" spans="1:9" x14ac:dyDescent="0.2">
      <c r="A1515" s="3">
        <v>46480.921492997688</v>
      </c>
      <c r="B1515" t="s">
        <v>3</v>
      </c>
      <c r="C1515" t="s">
        <v>4</v>
      </c>
      <c r="D1515" t="s">
        <v>5</v>
      </c>
      <c r="E1515">
        <v>0</v>
      </c>
      <c r="F1515">
        <v>0</v>
      </c>
      <c r="G1515" t="s">
        <v>2</v>
      </c>
      <c r="H1515" cm="1">
        <f t="array" ref="H1515">sentimentCalc(B1515)</f>
        <v>0</v>
      </c>
      <c r="I1515" s="5" t="str" cm="1">
        <f t="array" ref="I1515">sentimentCategory(H1515)</f>
        <v>Neutral</v>
      </c>
    </row>
    <row r="1516" spans="1:9" x14ac:dyDescent="0.2">
      <c r="A1516" s="3">
        <v>46481.921492997688</v>
      </c>
      <c r="B1516" t="s">
        <v>1712</v>
      </c>
      <c r="C1516" t="s">
        <v>759</v>
      </c>
      <c r="D1516" t="s">
        <v>1713</v>
      </c>
      <c r="E1516">
        <v>0</v>
      </c>
      <c r="F1516">
        <v>9</v>
      </c>
      <c r="G1516" t="s">
        <v>2</v>
      </c>
      <c r="H1516" cm="1">
        <f t="array" ref="H1516">sentimentCalc(B1516)</f>
        <v>0</v>
      </c>
      <c r="I1516" s="5" t="str" cm="1">
        <f t="array" ref="I1516">sentimentCategory(H1516)</f>
        <v>Neutral</v>
      </c>
    </row>
    <row r="1517" spans="1:9" x14ac:dyDescent="0.2">
      <c r="A1517" s="3">
        <v>46482.921492997688</v>
      </c>
      <c r="B1517" t="s">
        <v>1714</v>
      </c>
      <c r="C1517" t="s">
        <v>1547</v>
      </c>
      <c r="E1517">
        <v>0</v>
      </c>
      <c r="F1517">
        <v>0</v>
      </c>
      <c r="G1517" t="s">
        <v>2</v>
      </c>
      <c r="H1517" cm="1">
        <f t="array" ref="H1517">sentimentCalc(B1517)</f>
        <v>0</v>
      </c>
      <c r="I1517" s="5" t="str" cm="1">
        <f t="array" ref="I1517">sentimentCategory(H1517)</f>
        <v>Neutral</v>
      </c>
    </row>
    <row r="1518" spans="1:9" x14ac:dyDescent="0.2">
      <c r="A1518" s="3">
        <v>46483.921492997688</v>
      </c>
      <c r="B1518" t="s">
        <v>1715</v>
      </c>
      <c r="C1518" t="s">
        <v>7</v>
      </c>
      <c r="E1518">
        <v>0</v>
      </c>
      <c r="F1518">
        <v>0</v>
      </c>
      <c r="G1518" t="s">
        <v>2</v>
      </c>
      <c r="H1518" cm="1">
        <f t="array" ref="H1518">sentimentCalc(B1518)</f>
        <v>0</v>
      </c>
      <c r="I1518" s="5" t="str" cm="1">
        <f t="array" ref="I1518">sentimentCategory(H1518)</f>
        <v>Neutral</v>
      </c>
    </row>
    <row r="1519" spans="1:9" x14ac:dyDescent="0.2">
      <c r="A1519" s="3">
        <v>46484.921492997688</v>
      </c>
      <c r="B1519" t="s">
        <v>397</v>
      </c>
      <c r="C1519" t="s">
        <v>143</v>
      </c>
      <c r="D1519" t="s">
        <v>129</v>
      </c>
      <c r="E1519">
        <v>0</v>
      </c>
      <c r="F1519">
        <v>0</v>
      </c>
      <c r="G1519" t="s">
        <v>2</v>
      </c>
      <c r="H1519" cm="1">
        <f t="array" ref="H1519">sentimentCalc(B1519)</f>
        <v>-10</v>
      </c>
      <c r="I1519" s="5" t="str" cm="1">
        <f t="array" ref="I1519">sentimentCategory(H1519)</f>
        <v>Negative</v>
      </c>
    </row>
    <row r="1520" spans="1:9" x14ac:dyDescent="0.2">
      <c r="A1520" s="3">
        <v>46485.921492997688</v>
      </c>
      <c r="B1520" t="s">
        <v>1716</v>
      </c>
      <c r="C1520" t="s">
        <v>1717</v>
      </c>
      <c r="D1520" t="s">
        <v>1718</v>
      </c>
      <c r="E1520">
        <v>0</v>
      </c>
      <c r="F1520">
        <v>0</v>
      </c>
      <c r="G1520" t="s">
        <v>2</v>
      </c>
      <c r="H1520" cm="1">
        <f t="array" ref="H1520">sentimentCalc(B1520)</f>
        <v>0</v>
      </c>
      <c r="I1520" s="5" t="str" cm="1">
        <f t="array" ref="I1520">sentimentCategory(H1520)</f>
        <v>Neutral</v>
      </c>
    </row>
    <row r="1521" spans="1:9" x14ac:dyDescent="0.2">
      <c r="A1521" s="3">
        <v>46486.921492997688</v>
      </c>
      <c r="B1521" t="s">
        <v>398</v>
      </c>
      <c r="C1521" t="s">
        <v>143</v>
      </c>
      <c r="D1521" t="s">
        <v>129</v>
      </c>
      <c r="E1521">
        <v>0</v>
      </c>
      <c r="F1521">
        <v>0</v>
      </c>
      <c r="G1521" t="s">
        <v>2</v>
      </c>
      <c r="H1521" cm="1">
        <f t="array" ref="H1521">sentimentCalc(B1521)</f>
        <v>0</v>
      </c>
      <c r="I1521" s="5" t="str" cm="1">
        <f t="array" ref="I1521">sentimentCategory(H1521)</f>
        <v>Neutral</v>
      </c>
    </row>
    <row r="1522" spans="1:9" x14ac:dyDescent="0.2">
      <c r="A1522" s="3">
        <v>46487.921492997688</v>
      </c>
      <c r="B1522" t="s">
        <v>368</v>
      </c>
      <c r="C1522" t="s">
        <v>143</v>
      </c>
      <c r="D1522" t="s">
        <v>129</v>
      </c>
      <c r="E1522">
        <v>0</v>
      </c>
      <c r="F1522">
        <v>0</v>
      </c>
      <c r="G1522" t="s">
        <v>2</v>
      </c>
      <c r="H1522" cm="1">
        <f t="array" ref="H1522">sentimentCalc(B1522)</f>
        <v>-10</v>
      </c>
      <c r="I1522" s="5" t="str" cm="1">
        <f t="array" ref="I1522">sentimentCategory(H1522)</f>
        <v>Negative</v>
      </c>
    </row>
    <row r="1523" spans="1:9" x14ac:dyDescent="0.2">
      <c r="A1523" s="3">
        <v>46488.921492997688</v>
      </c>
      <c r="B1523" t="s">
        <v>1719</v>
      </c>
      <c r="C1523" t="s">
        <v>1720</v>
      </c>
      <c r="D1523" t="s">
        <v>55</v>
      </c>
      <c r="E1523">
        <v>0</v>
      </c>
      <c r="F1523">
        <v>0</v>
      </c>
      <c r="G1523" t="s">
        <v>2</v>
      </c>
      <c r="H1523" cm="1">
        <f t="array" ref="H1523">sentimentCalc(B1523)</f>
        <v>20</v>
      </c>
      <c r="I1523" s="5" t="str" cm="1">
        <f t="array" ref="I1523">sentimentCategory(H1523)</f>
        <v>Positive</v>
      </c>
    </row>
    <row r="1524" spans="1:9" x14ac:dyDescent="0.2">
      <c r="A1524" s="3">
        <v>46489.921492997688</v>
      </c>
      <c r="B1524" t="s">
        <v>1721</v>
      </c>
      <c r="C1524" t="s">
        <v>178</v>
      </c>
      <c r="D1524" t="s">
        <v>291</v>
      </c>
      <c r="E1524">
        <v>0</v>
      </c>
      <c r="F1524">
        <v>0</v>
      </c>
      <c r="G1524" t="s">
        <v>2</v>
      </c>
      <c r="H1524" cm="1">
        <f t="array" ref="H1524">sentimentCalc(B1524)</f>
        <v>0</v>
      </c>
      <c r="I1524" s="5" t="str" cm="1">
        <f t="array" ref="I1524">sentimentCategory(H1524)</f>
        <v>Neutral</v>
      </c>
    </row>
    <row r="1525" spans="1:9" x14ac:dyDescent="0.2">
      <c r="A1525" s="3">
        <v>46490.921492997688</v>
      </c>
      <c r="B1525" t="s">
        <v>1722</v>
      </c>
      <c r="C1525" t="s">
        <v>956</v>
      </c>
      <c r="E1525">
        <v>0</v>
      </c>
      <c r="F1525">
        <v>0</v>
      </c>
      <c r="G1525" t="s">
        <v>2</v>
      </c>
      <c r="H1525" cm="1">
        <f t="array" ref="H1525">sentimentCalc(B1525)</f>
        <v>10</v>
      </c>
      <c r="I1525" s="5" t="str" cm="1">
        <f t="array" ref="I1525">sentimentCategory(H1525)</f>
        <v>Positive</v>
      </c>
    </row>
    <row r="1526" spans="1:9" x14ac:dyDescent="0.2">
      <c r="A1526" s="3">
        <v>46491.921492997688</v>
      </c>
      <c r="B1526" t="s">
        <v>1723</v>
      </c>
      <c r="C1526" t="s">
        <v>1724</v>
      </c>
      <c r="D1526" t="s">
        <v>1725</v>
      </c>
      <c r="E1526">
        <v>0</v>
      </c>
      <c r="F1526">
        <v>0</v>
      </c>
      <c r="G1526" t="s">
        <v>2</v>
      </c>
      <c r="H1526" cm="1">
        <f t="array" ref="H1526">sentimentCalc(B1526)</f>
        <v>10</v>
      </c>
      <c r="I1526" s="5" t="str" cm="1">
        <f t="array" ref="I1526">sentimentCategory(H1526)</f>
        <v>Positive</v>
      </c>
    </row>
    <row r="1527" spans="1:9" x14ac:dyDescent="0.2">
      <c r="A1527" s="3">
        <v>46492.921492997688</v>
      </c>
      <c r="B1527" t="s">
        <v>21</v>
      </c>
      <c r="C1527" t="s">
        <v>22</v>
      </c>
      <c r="E1527">
        <v>0</v>
      </c>
      <c r="F1527">
        <v>0</v>
      </c>
      <c r="G1527" t="s">
        <v>2</v>
      </c>
      <c r="H1527" cm="1">
        <f t="array" ref="H1527">sentimentCalc(B1527)</f>
        <v>0</v>
      </c>
      <c r="I1527" s="5" t="str" cm="1">
        <f t="array" ref="I1527">sentimentCategory(H1527)</f>
        <v>Neutral</v>
      </c>
    </row>
    <row r="1528" spans="1:9" x14ac:dyDescent="0.2">
      <c r="A1528" s="3">
        <v>46493.921492997688</v>
      </c>
      <c r="B1528" t="s">
        <v>141</v>
      </c>
      <c r="C1528" t="s">
        <v>143</v>
      </c>
      <c r="D1528" t="s">
        <v>129</v>
      </c>
      <c r="E1528">
        <v>0</v>
      </c>
      <c r="F1528">
        <v>0</v>
      </c>
      <c r="G1528" t="s">
        <v>2</v>
      </c>
      <c r="H1528" cm="1">
        <f t="array" ref="H1528">sentimentCalc(B1528)</f>
        <v>0</v>
      </c>
      <c r="I1528" s="5" t="str" cm="1">
        <f t="array" ref="I1528">sentimentCategory(H1528)</f>
        <v>Neutral</v>
      </c>
    </row>
    <row r="1529" spans="1:9" x14ac:dyDescent="0.2">
      <c r="A1529" s="3">
        <v>46494.921492997688</v>
      </c>
      <c r="B1529" t="s">
        <v>325</v>
      </c>
      <c r="C1529" t="s">
        <v>143</v>
      </c>
      <c r="D1529" t="s">
        <v>129</v>
      </c>
      <c r="E1529">
        <v>0</v>
      </c>
      <c r="F1529">
        <v>0</v>
      </c>
      <c r="G1529" t="s">
        <v>2</v>
      </c>
      <c r="H1529" cm="1">
        <f t="array" ref="H1529">sentimentCalc(B1529)</f>
        <v>-10</v>
      </c>
      <c r="I1529" s="5" t="str" cm="1">
        <f t="array" ref="I1529">sentimentCategory(H1529)</f>
        <v>Negative</v>
      </c>
    </row>
    <row r="1530" spans="1:9" x14ac:dyDescent="0.2">
      <c r="A1530" s="3">
        <v>46495.921492997688</v>
      </c>
      <c r="B1530" t="s">
        <v>1726</v>
      </c>
      <c r="C1530" t="s">
        <v>171</v>
      </c>
      <c r="E1530">
        <v>0</v>
      </c>
      <c r="F1530">
        <v>0</v>
      </c>
      <c r="G1530" t="s">
        <v>2</v>
      </c>
      <c r="H1530" cm="1">
        <f t="array" ref="H1530">sentimentCalc(B1530)</f>
        <v>0</v>
      </c>
      <c r="I1530" s="5" t="str" cm="1">
        <f t="array" ref="I1530">sentimentCategory(H1530)</f>
        <v>Neutral</v>
      </c>
    </row>
    <row r="1531" spans="1:9" x14ac:dyDescent="0.2">
      <c r="A1531" s="3">
        <v>46496.921492997688</v>
      </c>
      <c r="B1531" t="s">
        <v>140</v>
      </c>
      <c r="C1531" t="s">
        <v>128</v>
      </c>
      <c r="D1531" t="s">
        <v>129</v>
      </c>
      <c r="E1531">
        <v>0</v>
      </c>
      <c r="F1531">
        <v>0</v>
      </c>
      <c r="G1531" t="s">
        <v>2</v>
      </c>
      <c r="H1531" cm="1">
        <f t="array" ref="H1531">sentimentCalc(B1531)</f>
        <v>-10</v>
      </c>
      <c r="I1531" s="5" t="str" cm="1">
        <f t="array" ref="I1531">sentimentCategory(H1531)</f>
        <v>Negative</v>
      </c>
    </row>
    <row r="1532" spans="1:9" x14ac:dyDescent="0.2">
      <c r="A1532" s="3">
        <v>46497.921492997688</v>
      </c>
      <c r="B1532" t="s">
        <v>1727</v>
      </c>
      <c r="C1532" t="s">
        <v>1728</v>
      </c>
      <c r="D1532" t="s">
        <v>1729</v>
      </c>
      <c r="E1532">
        <v>0</v>
      </c>
      <c r="F1532">
        <v>0</v>
      </c>
      <c r="G1532" t="s">
        <v>2</v>
      </c>
      <c r="H1532" cm="1">
        <f t="array" ref="H1532">sentimentCalc(B1532)</f>
        <v>10</v>
      </c>
      <c r="I1532" s="5" t="str" cm="1">
        <f t="array" ref="I1532">sentimentCategory(H1532)</f>
        <v>Positive</v>
      </c>
    </row>
    <row r="1533" spans="1:9" x14ac:dyDescent="0.2">
      <c r="A1533" s="3">
        <v>46498.921492997688</v>
      </c>
      <c r="B1533" t="s">
        <v>1730</v>
      </c>
      <c r="C1533" t="s">
        <v>98</v>
      </c>
      <c r="D1533" t="s">
        <v>13</v>
      </c>
      <c r="E1533">
        <v>0</v>
      </c>
      <c r="F1533">
        <v>0</v>
      </c>
      <c r="G1533" t="s">
        <v>2</v>
      </c>
      <c r="H1533" cm="1">
        <f t="array" ref="H1533">sentimentCalc(B1533)</f>
        <v>0</v>
      </c>
      <c r="I1533" s="5" t="str" cm="1">
        <f t="array" ref="I1533">sentimentCategory(H1533)</f>
        <v>Neutral</v>
      </c>
    </row>
    <row r="1534" spans="1:9" x14ac:dyDescent="0.2">
      <c r="A1534" s="3">
        <v>46499.921492997688</v>
      </c>
      <c r="B1534" t="s">
        <v>1731</v>
      </c>
      <c r="C1534" t="s">
        <v>1732</v>
      </c>
      <c r="E1534">
        <v>0</v>
      </c>
      <c r="F1534">
        <v>0</v>
      </c>
      <c r="G1534" t="s">
        <v>2</v>
      </c>
      <c r="H1534" cm="1">
        <f t="array" ref="H1534">sentimentCalc(B1534)</f>
        <v>0</v>
      </c>
      <c r="I1534" s="5" t="str" cm="1">
        <f t="array" ref="I1534">sentimentCategory(H1534)</f>
        <v>Neutral</v>
      </c>
    </row>
    <row r="1535" spans="1:9" x14ac:dyDescent="0.2">
      <c r="A1535" s="3">
        <v>46500.921492997688</v>
      </c>
      <c r="B1535" t="s">
        <v>1733</v>
      </c>
      <c r="C1535" t="s">
        <v>819</v>
      </c>
      <c r="D1535" t="s">
        <v>820</v>
      </c>
      <c r="E1535">
        <v>0</v>
      </c>
      <c r="F1535">
        <v>0</v>
      </c>
      <c r="G1535" t="s">
        <v>2</v>
      </c>
      <c r="H1535" cm="1">
        <f t="array" ref="H1535">sentimentCalc(B1535)</f>
        <v>0</v>
      </c>
      <c r="I1535" s="5" t="str" cm="1">
        <f t="array" ref="I1535">sentimentCategory(H1535)</f>
        <v>Neutral</v>
      </c>
    </row>
    <row r="1536" spans="1:9" x14ac:dyDescent="0.2">
      <c r="A1536" s="3">
        <v>46501.921492997688</v>
      </c>
      <c r="B1536" t="s">
        <v>1734</v>
      </c>
      <c r="C1536" t="s">
        <v>1735</v>
      </c>
      <c r="D1536" t="s">
        <v>1736</v>
      </c>
      <c r="E1536">
        <v>0</v>
      </c>
      <c r="F1536">
        <v>0</v>
      </c>
      <c r="G1536" t="s">
        <v>2</v>
      </c>
      <c r="H1536" cm="1">
        <f t="array" ref="H1536">sentimentCalc(B1536)</f>
        <v>0</v>
      </c>
      <c r="I1536" s="5" t="str" cm="1">
        <f t="array" ref="I1536">sentimentCategory(H1536)</f>
        <v>Neutral</v>
      </c>
    </row>
    <row r="1537" spans="1:9" x14ac:dyDescent="0.2">
      <c r="A1537" s="3">
        <v>46502.921492997688</v>
      </c>
      <c r="B1537" t="s">
        <v>1737</v>
      </c>
      <c r="C1537" t="s">
        <v>1738</v>
      </c>
      <c r="E1537">
        <v>0</v>
      </c>
      <c r="F1537">
        <v>0</v>
      </c>
      <c r="G1537" t="s">
        <v>2</v>
      </c>
      <c r="H1537" cm="1">
        <f t="array" ref="H1537">sentimentCalc(B1537)</f>
        <v>0</v>
      </c>
      <c r="I1537" s="5" t="str" cm="1">
        <f t="array" ref="I1537">sentimentCategory(H1537)</f>
        <v>Neutral</v>
      </c>
    </row>
    <row r="1538" spans="1:9" x14ac:dyDescent="0.2">
      <c r="A1538" s="3">
        <v>46503.921492997688</v>
      </c>
      <c r="B1538" t="s">
        <v>1739</v>
      </c>
      <c r="C1538" t="s">
        <v>1740</v>
      </c>
      <c r="D1538" t="s">
        <v>1741</v>
      </c>
      <c r="E1538">
        <v>0</v>
      </c>
      <c r="F1538">
        <v>1</v>
      </c>
      <c r="G1538" t="s">
        <v>2</v>
      </c>
      <c r="H1538" cm="1">
        <f t="array" ref="H1538">sentimentCalc(B1538)</f>
        <v>0</v>
      </c>
      <c r="I1538" s="5" t="str" cm="1">
        <f t="array" ref="I1538">sentimentCategory(H1538)</f>
        <v>Neutral</v>
      </c>
    </row>
    <row r="1539" spans="1:9" x14ac:dyDescent="0.2">
      <c r="A1539" s="3">
        <v>46504.921492997688</v>
      </c>
      <c r="B1539" t="s">
        <v>1742</v>
      </c>
      <c r="C1539" t="s">
        <v>134</v>
      </c>
      <c r="E1539">
        <v>0</v>
      </c>
      <c r="F1539">
        <v>0</v>
      </c>
      <c r="G1539" t="s">
        <v>2</v>
      </c>
      <c r="H1539" cm="1">
        <f t="array" ref="H1539">sentimentCalc(B1539)</f>
        <v>0</v>
      </c>
      <c r="I1539" s="5" t="str" cm="1">
        <f t="array" ref="I1539">sentimentCategory(H1539)</f>
        <v>Neutral</v>
      </c>
    </row>
    <row r="1540" spans="1:9" x14ac:dyDescent="0.2">
      <c r="A1540" s="3">
        <v>46505.921492997688</v>
      </c>
      <c r="B1540" t="s">
        <v>1743</v>
      </c>
      <c r="C1540" t="s">
        <v>98</v>
      </c>
      <c r="D1540" t="s">
        <v>13</v>
      </c>
      <c r="E1540">
        <v>0</v>
      </c>
      <c r="F1540">
        <v>0</v>
      </c>
      <c r="G1540" t="s">
        <v>2</v>
      </c>
      <c r="H1540" cm="1">
        <f t="array" ref="H1540">sentimentCalc(B1540)</f>
        <v>0</v>
      </c>
      <c r="I1540" s="5" t="str" cm="1">
        <f t="array" ref="I1540">sentimentCategory(H1540)</f>
        <v>Neutral</v>
      </c>
    </row>
    <row r="1541" spans="1:9" x14ac:dyDescent="0.2">
      <c r="A1541" s="3">
        <v>46506.921492997688</v>
      </c>
      <c r="B1541" t="s">
        <v>1744</v>
      </c>
      <c r="C1541" t="s">
        <v>1745</v>
      </c>
      <c r="D1541" t="s">
        <v>1746</v>
      </c>
      <c r="E1541">
        <v>0</v>
      </c>
      <c r="F1541">
        <v>0</v>
      </c>
      <c r="G1541" t="s">
        <v>2</v>
      </c>
      <c r="H1541" cm="1">
        <f t="array" ref="H1541">sentimentCalc(B1541)</f>
        <v>0</v>
      </c>
      <c r="I1541" s="5" t="str" cm="1">
        <f t="array" ref="I1541">sentimentCategory(H1541)</f>
        <v>Neutral</v>
      </c>
    </row>
    <row r="1542" spans="1:9" x14ac:dyDescent="0.2">
      <c r="A1542" s="3">
        <v>46507.921492997688</v>
      </c>
      <c r="B1542" t="s">
        <v>1747</v>
      </c>
      <c r="C1542" t="s">
        <v>7</v>
      </c>
      <c r="E1542">
        <v>0</v>
      </c>
      <c r="F1542">
        <v>0</v>
      </c>
      <c r="G1542" t="s">
        <v>2</v>
      </c>
      <c r="H1542" cm="1">
        <f t="array" ref="H1542">sentimentCalc(B1542)</f>
        <v>0</v>
      </c>
      <c r="I1542" s="5" t="str" cm="1">
        <f t="array" ref="I1542">sentimentCategory(H1542)</f>
        <v>Neutral</v>
      </c>
    </row>
    <row r="1543" spans="1:9" x14ac:dyDescent="0.2">
      <c r="A1543" s="3">
        <v>46508.921492997688</v>
      </c>
      <c r="B1543" t="s">
        <v>36</v>
      </c>
      <c r="C1543" t="s">
        <v>33</v>
      </c>
      <c r="D1543" t="s">
        <v>34</v>
      </c>
      <c r="E1543">
        <v>0</v>
      </c>
      <c r="F1543">
        <v>0</v>
      </c>
      <c r="G1543" t="s">
        <v>2</v>
      </c>
      <c r="H1543" cm="1">
        <f t="array" ref="H1543">sentimentCalc(B1543)</f>
        <v>10</v>
      </c>
      <c r="I1543" s="5" t="str" cm="1">
        <f t="array" ref="I1543">sentimentCategory(H1543)</f>
        <v>Positive</v>
      </c>
    </row>
    <row r="1544" spans="1:9" x14ac:dyDescent="0.2">
      <c r="A1544" s="3"/>
      <c r="H1544" cm="1">
        <f t="array" ref="H1544">sentimentCalc(B1544)</f>
        <v>0</v>
      </c>
      <c r="I1544" s="5" t="str" cm="1">
        <f t="array" ref="I1544">sentimentCategory(H1544)</f>
        <v>Neutral</v>
      </c>
    </row>
    <row r="1545" spans="1:9" x14ac:dyDescent="0.2">
      <c r="A1545" s="3">
        <v>46510.921492997688</v>
      </c>
      <c r="B1545" t="s">
        <v>37</v>
      </c>
      <c r="C1545" t="s">
        <v>33</v>
      </c>
      <c r="D1545" t="s">
        <v>34</v>
      </c>
      <c r="E1545">
        <v>0</v>
      </c>
      <c r="F1545">
        <v>0</v>
      </c>
      <c r="G1545" t="s">
        <v>2</v>
      </c>
      <c r="H1545" cm="1">
        <f t="array" ref="H1545">sentimentCalc(B1545)</f>
        <v>0</v>
      </c>
      <c r="I1545" s="5" t="str" cm="1">
        <f t="array" ref="I1545">sentimentCategory(H1545)</f>
        <v>Neutral</v>
      </c>
    </row>
    <row r="1546" spans="1:9" x14ac:dyDescent="0.2">
      <c r="A1546" s="3">
        <v>46511.921492997688</v>
      </c>
      <c r="B1546" t="s">
        <v>1748</v>
      </c>
      <c r="C1546" t="s">
        <v>33</v>
      </c>
      <c r="D1546" t="s">
        <v>34</v>
      </c>
      <c r="E1546">
        <v>0</v>
      </c>
      <c r="F1546">
        <v>0</v>
      </c>
      <c r="G1546" t="s">
        <v>2</v>
      </c>
      <c r="H1546" cm="1">
        <f t="array" ref="H1546">sentimentCalc(B1546)</f>
        <v>0</v>
      </c>
      <c r="I1546" s="5" t="str" cm="1">
        <f t="array" ref="I1546">sentimentCategory(H1546)</f>
        <v>Neutral</v>
      </c>
    </row>
    <row r="1547" spans="1:9" x14ac:dyDescent="0.2">
      <c r="A1547" s="3"/>
      <c r="H1547" cm="1">
        <f t="array" ref="H1547">sentimentCalc(B1547)</f>
        <v>0</v>
      </c>
      <c r="I1547" s="5" t="str" cm="1">
        <f t="array" ref="I1547">sentimentCategory(H1547)</f>
        <v>Neutral</v>
      </c>
    </row>
    <row r="1548" spans="1:9" x14ac:dyDescent="0.2">
      <c r="A1548" s="3">
        <v>46513.921492997688</v>
      </c>
      <c r="B1548" t="s">
        <v>229</v>
      </c>
      <c r="C1548" t="s">
        <v>33</v>
      </c>
      <c r="D1548" t="s">
        <v>34</v>
      </c>
      <c r="E1548">
        <v>0</v>
      </c>
      <c r="F1548">
        <v>0</v>
      </c>
      <c r="G1548" t="s">
        <v>2</v>
      </c>
      <c r="H1548" cm="1">
        <f t="array" ref="H1548">sentimentCalc(B1548)</f>
        <v>0</v>
      </c>
      <c r="I1548" s="5" t="str" cm="1">
        <f t="array" ref="I1548">sentimentCategory(H1548)</f>
        <v>Neutral</v>
      </c>
    </row>
    <row r="1549" spans="1:9" x14ac:dyDescent="0.2">
      <c r="A1549" s="3">
        <v>46514.921492997688</v>
      </c>
      <c r="B1549" t="s">
        <v>230</v>
      </c>
      <c r="C1549" t="s">
        <v>33</v>
      </c>
      <c r="D1549" t="s">
        <v>34</v>
      </c>
      <c r="E1549">
        <v>0</v>
      </c>
      <c r="F1549">
        <v>0</v>
      </c>
      <c r="G1549" t="s">
        <v>2</v>
      </c>
      <c r="H1549" cm="1">
        <f t="array" ref="H1549">sentimentCalc(B1549)</f>
        <v>0</v>
      </c>
      <c r="I1549" s="5" t="str" cm="1">
        <f t="array" ref="I1549">sentimentCategory(H1549)</f>
        <v>Neutral</v>
      </c>
    </row>
    <row r="1550" spans="1:9" x14ac:dyDescent="0.2">
      <c r="A1550" s="3">
        <v>46515.921492997688</v>
      </c>
      <c r="B1550" t="s">
        <v>228</v>
      </c>
      <c r="C1550" t="s">
        <v>33</v>
      </c>
      <c r="D1550" t="s">
        <v>34</v>
      </c>
      <c r="E1550">
        <v>0</v>
      </c>
      <c r="F1550">
        <v>0</v>
      </c>
      <c r="G1550" t="s">
        <v>2</v>
      </c>
      <c r="H1550" cm="1">
        <f t="array" ref="H1550">sentimentCalc(B1550)</f>
        <v>0</v>
      </c>
      <c r="I1550" s="5" t="str" cm="1">
        <f t="array" ref="I1550">sentimentCategory(H1550)</f>
        <v>Neutral</v>
      </c>
    </row>
    <row r="1551" spans="1:9" x14ac:dyDescent="0.2">
      <c r="A1551" s="3">
        <v>46516.921492997688</v>
      </c>
      <c r="B1551" t="s">
        <v>224</v>
      </c>
      <c r="C1551" t="s">
        <v>33</v>
      </c>
      <c r="D1551" t="s">
        <v>34</v>
      </c>
      <c r="E1551">
        <v>0</v>
      </c>
      <c r="F1551">
        <v>0</v>
      </c>
      <c r="G1551" t="s">
        <v>2</v>
      </c>
      <c r="H1551" cm="1">
        <f t="array" ref="H1551">sentimentCalc(B1551)</f>
        <v>10</v>
      </c>
      <c r="I1551" s="5" t="str" cm="1">
        <f t="array" ref="I1551">sentimentCategory(H1551)</f>
        <v>Positive</v>
      </c>
    </row>
    <row r="1552" spans="1:9" x14ac:dyDescent="0.2">
      <c r="A1552" s="3">
        <v>46517.921492997688</v>
      </c>
      <c r="B1552" t="s">
        <v>227</v>
      </c>
      <c r="C1552" t="s">
        <v>33</v>
      </c>
      <c r="D1552" t="s">
        <v>34</v>
      </c>
      <c r="E1552">
        <v>0</v>
      </c>
      <c r="F1552">
        <v>0</v>
      </c>
      <c r="G1552" t="s">
        <v>2</v>
      </c>
      <c r="H1552" cm="1">
        <f t="array" ref="H1552">sentimentCalc(B1552)</f>
        <v>0</v>
      </c>
      <c r="I1552" s="5" t="str" cm="1">
        <f t="array" ref="I1552">sentimentCategory(H1552)</f>
        <v>Neutral</v>
      </c>
    </row>
    <row r="1553" spans="1:9" x14ac:dyDescent="0.2">
      <c r="A1553" s="3">
        <v>46518.921492997688</v>
      </c>
      <c r="B1553" t="s">
        <v>231</v>
      </c>
      <c r="C1553" t="s">
        <v>33</v>
      </c>
      <c r="D1553" t="s">
        <v>34</v>
      </c>
      <c r="E1553">
        <v>0</v>
      </c>
      <c r="F1553">
        <v>0</v>
      </c>
      <c r="G1553" t="s">
        <v>2</v>
      </c>
      <c r="H1553" cm="1">
        <f t="array" ref="H1553">sentimentCalc(B1553)</f>
        <v>0</v>
      </c>
      <c r="I1553" s="5" t="str" cm="1">
        <f t="array" ref="I1553">sentimentCategory(H1553)</f>
        <v>Neutral</v>
      </c>
    </row>
    <row r="1554" spans="1:9" x14ac:dyDescent="0.2">
      <c r="A1554" s="3">
        <v>46519.921492997688</v>
      </c>
      <c r="B1554" t="s">
        <v>225</v>
      </c>
      <c r="C1554" t="s">
        <v>33</v>
      </c>
      <c r="D1554" t="s">
        <v>34</v>
      </c>
      <c r="E1554">
        <v>0</v>
      </c>
      <c r="F1554">
        <v>0</v>
      </c>
      <c r="G1554" t="s">
        <v>2</v>
      </c>
      <c r="H1554" cm="1">
        <f t="array" ref="H1554">sentimentCalc(B1554)</f>
        <v>0</v>
      </c>
      <c r="I1554" s="5" t="str" cm="1">
        <f t="array" ref="I1554">sentimentCategory(H1554)</f>
        <v>Neutral</v>
      </c>
    </row>
    <row r="1555" spans="1:9" x14ac:dyDescent="0.2">
      <c r="A1555" s="3"/>
      <c r="H1555" cm="1">
        <f t="array" ref="H1555">sentimentCalc(B1555)</f>
        <v>0</v>
      </c>
      <c r="I1555" s="5" t="str" cm="1">
        <f t="array" ref="I1555">sentimentCategory(H1555)</f>
        <v>Neutral</v>
      </c>
    </row>
    <row r="1556" spans="1:9" x14ac:dyDescent="0.2">
      <c r="A1556" s="3">
        <v>46521.921492997688</v>
      </c>
      <c r="B1556" t="s">
        <v>475</v>
      </c>
      <c r="C1556" t="s">
        <v>128</v>
      </c>
      <c r="D1556" t="s">
        <v>129</v>
      </c>
      <c r="E1556">
        <v>0</v>
      </c>
      <c r="F1556">
        <v>0</v>
      </c>
      <c r="G1556" t="s">
        <v>2</v>
      </c>
      <c r="H1556" cm="1">
        <f t="array" ref="H1556">sentimentCalc(B1556)</f>
        <v>-10</v>
      </c>
      <c r="I1556" s="5" t="str" cm="1">
        <f t="array" ref="I1556">sentimentCategory(H1556)</f>
        <v>Negative</v>
      </c>
    </row>
    <row r="1557" spans="1:9" x14ac:dyDescent="0.2">
      <c r="A1557" s="3">
        <v>46522.921492997688</v>
      </c>
      <c r="B1557" t="s">
        <v>3</v>
      </c>
      <c r="C1557" t="s">
        <v>4</v>
      </c>
      <c r="D1557" t="s">
        <v>5</v>
      </c>
      <c r="E1557">
        <v>0</v>
      </c>
      <c r="F1557">
        <v>0</v>
      </c>
      <c r="G1557" t="s">
        <v>2</v>
      </c>
      <c r="H1557" cm="1">
        <f t="array" ref="H1557">sentimentCalc(B1557)</f>
        <v>0</v>
      </c>
      <c r="I1557" s="5" t="str" cm="1">
        <f t="array" ref="I1557">sentimentCategory(H1557)</f>
        <v>Neutral</v>
      </c>
    </row>
    <row r="1558" spans="1:9" x14ac:dyDescent="0.2">
      <c r="A1558" s="3">
        <v>46523.921492997688</v>
      </c>
      <c r="B1558" t="s">
        <v>1749</v>
      </c>
      <c r="C1558" t="s">
        <v>1638</v>
      </c>
      <c r="D1558" t="s">
        <v>1750</v>
      </c>
      <c r="E1558">
        <v>0</v>
      </c>
      <c r="F1558">
        <v>0</v>
      </c>
      <c r="G1558" t="s">
        <v>2</v>
      </c>
      <c r="H1558" cm="1">
        <f t="array" ref="H1558">sentimentCalc(B1558)</f>
        <v>0</v>
      </c>
      <c r="I1558" s="5" t="str" cm="1">
        <f t="array" ref="I1558">sentimentCategory(H1558)</f>
        <v>Neutral</v>
      </c>
    </row>
    <row r="1559" spans="1:9" x14ac:dyDescent="0.2">
      <c r="A1559" s="3">
        <v>46524.921492997688</v>
      </c>
      <c r="B1559" t="s">
        <v>1751</v>
      </c>
      <c r="C1559" t="s">
        <v>1752</v>
      </c>
      <c r="D1559" t="s">
        <v>1753</v>
      </c>
      <c r="E1559">
        <v>2</v>
      </c>
      <c r="F1559">
        <v>20</v>
      </c>
      <c r="G1559" t="s">
        <v>2</v>
      </c>
      <c r="H1559" cm="1">
        <f t="array" ref="H1559">sentimentCalc(B1559)</f>
        <v>0</v>
      </c>
      <c r="I1559" s="5" t="str" cm="1">
        <f t="array" ref="I1559">sentimentCategory(H1559)</f>
        <v>Neutral</v>
      </c>
    </row>
    <row r="1560" spans="1:9" x14ac:dyDescent="0.2">
      <c r="A1560" s="3">
        <v>46525.921492997688</v>
      </c>
      <c r="B1560" t="s">
        <v>1754</v>
      </c>
      <c r="C1560" t="s">
        <v>7</v>
      </c>
      <c r="E1560">
        <v>0</v>
      </c>
      <c r="F1560">
        <v>0</v>
      </c>
      <c r="G1560" t="s">
        <v>2</v>
      </c>
      <c r="H1560" cm="1">
        <f t="array" ref="H1560">sentimentCalc(B1560)</f>
        <v>0</v>
      </c>
      <c r="I1560" s="5" t="str" cm="1">
        <f t="array" ref="I1560">sentimentCategory(H1560)</f>
        <v>Neutral</v>
      </c>
    </row>
    <row r="1561" spans="1:9" x14ac:dyDescent="0.2">
      <c r="A1561" s="3">
        <v>46526.921492997688</v>
      </c>
      <c r="B1561" t="s">
        <v>1755</v>
      </c>
      <c r="C1561" t="s">
        <v>1060</v>
      </c>
      <c r="E1561">
        <v>0</v>
      </c>
      <c r="F1561">
        <v>2</v>
      </c>
      <c r="G1561" t="s">
        <v>2</v>
      </c>
      <c r="H1561" cm="1">
        <f t="array" ref="H1561">sentimentCalc(B1561)</f>
        <v>0</v>
      </c>
      <c r="I1561" s="5" t="str" cm="1">
        <f t="array" ref="I1561">sentimentCategory(H1561)</f>
        <v>Neutral</v>
      </c>
    </row>
    <row r="1562" spans="1:9" x14ac:dyDescent="0.2">
      <c r="A1562" s="3">
        <v>46527.921492997688</v>
      </c>
      <c r="B1562" t="s">
        <v>1756</v>
      </c>
      <c r="C1562" t="s">
        <v>1757</v>
      </c>
      <c r="D1562" t="s">
        <v>1758</v>
      </c>
      <c r="E1562">
        <v>0</v>
      </c>
      <c r="F1562">
        <v>3</v>
      </c>
      <c r="G1562" t="s">
        <v>2</v>
      </c>
      <c r="H1562" cm="1">
        <f t="array" ref="H1562">sentimentCalc(B1562)</f>
        <v>0</v>
      </c>
      <c r="I1562" s="5" t="str" cm="1">
        <f t="array" ref="I1562">sentimentCategory(H1562)</f>
        <v>Neutral</v>
      </c>
    </row>
    <row r="1563" spans="1:9" x14ac:dyDescent="0.2">
      <c r="A1563" s="3">
        <v>46528.921492997688</v>
      </c>
      <c r="B1563" t="s">
        <v>1759</v>
      </c>
      <c r="C1563" t="s">
        <v>1760</v>
      </c>
      <c r="E1563">
        <v>0</v>
      </c>
      <c r="F1563">
        <v>1</v>
      </c>
      <c r="G1563" t="s">
        <v>2</v>
      </c>
      <c r="H1563" cm="1">
        <f t="array" ref="H1563">sentimentCalc(B1563)</f>
        <v>0</v>
      </c>
      <c r="I1563" s="5" t="str" cm="1">
        <f t="array" ref="I1563">sentimentCategory(H1563)</f>
        <v>Neutral</v>
      </c>
    </row>
    <row r="1564" spans="1:9" x14ac:dyDescent="0.2">
      <c r="A1564" s="3">
        <v>46529.921492997688</v>
      </c>
      <c r="B1564" t="s">
        <v>1761</v>
      </c>
      <c r="C1564" t="s">
        <v>1762</v>
      </c>
      <c r="D1564" t="s">
        <v>1763</v>
      </c>
      <c r="E1564">
        <v>0</v>
      </c>
      <c r="F1564">
        <v>1</v>
      </c>
      <c r="G1564" t="s">
        <v>2</v>
      </c>
      <c r="H1564" cm="1">
        <f t="array" ref="H1564">sentimentCalc(B1564)</f>
        <v>0</v>
      </c>
      <c r="I1564" s="5" t="str" cm="1">
        <f t="array" ref="I1564">sentimentCategory(H1564)</f>
        <v>Neutral</v>
      </c>
    </row>
    <row r="1565" spans="1:9" x14ac:dyDescent="0.2">
      <c r="A1565" s="3">
        <v>46530.921492997688</v>
      </c>
      <c r="B1565" t="s">
        <v>1272</v>
      </c>
      <c r="C1565" t="s">
        <v>286</v>
      </c>
      <c r="E1565">
        <v>0</v>
      </c>
      <c r="F1565">
        <v>0</v>
      </c>
      <c r="G1565" t="s">
        <v>2</v>
      </c>
      <c r="H1565" cm="1">
        <f t="array" ref="H1565">sentimentCalc(B1565)</f>
        <v>0</v>
      </c>
      <c r="I1565" s="5" t="str" cm="1">
        <f t="array" ref="I1565">sentimentCategory(H1565)</f>
        <v>Neutral</v>
      </c>
    </row>
    <row r="1566" spans="1:9" x14ac:dyDescent="0.2">
      <c r="A1566" s="3">
        <v>46531.921492997688</v>
      </c>
      <c r="B1566" t="s">
        <v>1764</v>
      </c>
      <c r="C1566" t="s">
        <v>1765</v>
      </c>
      <c r="E1566">
        <v>0</v>
      </c>
      <c r="F1566">
        <v>0</v>
      </c>
      <c r="G1566" t="s">
        <v>2</v>
      </c>
      <c r="H1566" cm="1">
        <f t="array" ref="H1566">sentimentCalc(B1566)</f>
        <v>0</v>
      </c>
      <c r="I1566" s="5" t="str" cm="1">
        <f t="array" ref="I1566">sentimentCategory(H1566)</f>
        <v>Neutral</v>
      </c>
    </row>
    <row r="1567" spans="1:9" x14ac:dyDescent="0.2">
      <c r="A1567" s="3">
        <v>46532.921492997688</v>
      </c>
      <c r="B1567" t="s">
        <v>1766</v>
      </c>
      <c r="C1567" t="s">
        <v>7</v>
      </c>
      <c r="E1567">
        <v>0</v>
      </c>
      <c r="F1567">
        <v>0</v>
      </c>
      <c r="G1567" t="s">
        <v>2</v>
      </c>
      <c r="H1567" cm="1">
        <f t="array" ref="H1567">sentimentCalc(B1567)</f>
        <v>0</v>
      </c>
      <c r="I1567" s="5" t="str" cm="1">
        <f t="array" ref="I1567">sentimentCategory(H1567)</f>
        <v>Neutral</v>
      </c>
    </row>
    <row r="1568" spans="1:9" x14ac:dyDescent="0.2">
      <c r="A1568" s="3"/>
      <c r="H1568" cm="1">
        <f t="array" ref="H1568">sentimentCalc(B1568)</f>
        <v>0</v>
      </c>
      <c r="I1568" s="5" t="str" cm="1">
        <f t="array" ref="I1568">sentimentCategory(H1568)</f>
        <v>Neutral</v>
      </c>
    </row>
    <row r="1569" spans="1:9" x14ac:dyDescent="0.2">
      <c r="A1569" s="3">
        <v>46534.921492997688</v>
      </c>
      <c r="B1569" t="s">
        <v>1768</v>
      </c>
      <c r="C1569" t="s">
        <v>1550</v>
      </c>
      <c r="E1569">
        <v>0</v>
      </c>
      <c r="F1569">
        <v>0</v>
      </c>
      <c r="G1569" t="s">
        <v>2</v>
      </c>
      <c r="H1569" cm="1">
        <f t="array" ref="H1569">sentimentCalc(B1569)</f>
        <v>20</v>
      </c>
      <c r="I1569" s="5" t="str" cm="1">
        <f t="array" ref="I1569">sentimentCategory(H1569)</f>
        <v>Positive</v>
      </c>
    </row>
    <row r="1570" spans="1:9" x14ac:dyDescent="0.2">
      <c r="A1570" s="3">
        <v>46535.921492997688</v>
      </c>
      <c r="B1570" t="s">
        <v>1769</v>
      </c>
      <c r="C1570" t="s">
        <v>1770</v>
      </c>
      <c r="D1570" t="s">
        <v>1771</v>
      </c>
      <c r="E1570">
        <v>0</v>
      </c>
      <c r="F1570">
        <v>1</v>
      </c>
      <c r="G1570" t="s">
        <v>2</v>
      </c>
      <c r="H1570" cm="1">
        <f t="array" ref="H1570">sentimentCalc(B1570)</f>
        <v>0</v>
      </c>
      <c r="I1570" s="5" t="str" cm="1">
        <f t="array" ref="I1570">sentimentCategory(H1570)</f>
        <v>Neutral</v>
      </c>
    </row>
    <row r="1571" spans="1:9" x14ac:dyDescent="0.2">
      <c r="A1571" s="3">
        <v>46536.921492997688</v>
      </c>
      <c r="B1571" t="s">
        <v>885</v>
      </c>
      <c r="C1571" t="s">
        <v>149</v>
      </c>
      <c r="D1571" t="s">
        <v>150</v>
      </c>
      <c r="E1571">
        <v>0</v>
      </c>
      <c r="F1571">
        <v>0</v>
      </c>
      <c r="G1571" t="s">
        <v>2</v>
      </c>
      <c r="H1571" cm="1">
        <f t="array" ref="H1571">sentimentCalc(B1571)</f>
        <v>0</v>
      </c>
      <c r="I1571" s="5" t="str" cm="1">
        <f t="array" ref="I1571">sentimentCategory(H1571)</f>
        <v>Neutral</v>
      </c>
    </row>
    <row r="1572" spans="1:9" x14ac:dyDescent="0.2">
      <c r="A1572" s="3">
        <v>46537.921492997688</v>
      </c>
      <c r="B1572" t="s">
        <v>1772</v>
      </c>
      <c r="C1572" t="s">
        <v>164</v>
      </c>
      <c r="D1572" t="s">
        <v>55</v>
      </c>
      <c r="E1572">
        <v>1</v>
      </c>
      <c r="F1572">
        <v>0</v>
      </c>
      <c r="G1572" t="s">
        <v>2</v>
      </c>
      <c r="H1572" cm="1">
        <f t="array" ref="H1572">sentimentCalc(B1572)</f>
        <v>20</v>
      </c>
      <c r="I1572" s="5" t="str" cm="1">
        <f t="array" ref="I1572">sentimentCategory(H1572)</f>
        <v>Positive</v>
      </c>
    </row>
    <row r="1573" spans="1:9" x14ac:dyDescent="0.2">
      <c r="A1573" s="3">
        <v>46538.921492997688</v>
      </c>
      <c r="B1573" t="s">
        <v>1773</v>
      </c>
      <c r="C1573" t="s">
        <v>178</v>
      </c>
      <c r="D1573" t="s">
        <v>291</v>
      </c>
      <c r="E1573">
        <v>0</v>
      </c>
      <c r="F1573">
        <v>0</v>
      </c>
      <c r="G1573" t="s">
        <v>2</v>
      </c>
      <c r="H1573" cm="1">
        <f t="array" ref="H1573">sentimentCalc(B1573)</f>
        <v>0</v>
      </c>
      <c r="I1573" s="5" t="str" cm="1">
        <f t="array" ref="I1573">sentimentCategory(H1573)</f>
        <v>Neutral</v>
      </c>
    </row>
    <row r="1574" spans="1:9" x14ac:dyDescent="0.2">
      <c r="A1574" s="3">
        <v>46539.921492997688</v>
      </c>
      <c r="B1574" t="s">
        <v>1774</v>
      </c>
      <c r="C1574" t="s">
        <v>1120</v>
      </c>
      <c r="D1574" t="s">
        <v>1775</v>
      </c>
      <c r="E1574">
        <v>0</v>
      </c>
      <c r="F1574">
        <v>1</v>
      </c>
      <c r="G1574" t="s">
        <v>2</v>
      </c>
      <c r="H1574" cm="1">
        <f t="array" ref="H1574">sentimentCalc(B1574)</f>
        <v>0</v>
      </c>
      <c r="I1574" s="5" t="str" cm="1">
        <f t="array" ref="I1574">sentimentCategory(H1574)</f>
        <v>Neutral</v>
      </c>
    </row>
    <row r="1575" spans="1:9" x14ac:dyDescent="0.2">
      <c r="A1575" s="3">
        <v>46540.921492997688</v>
      </c>
      <c r="B1575" t="s">
        <v>1776</v>
      </c>
      <c r="C1575" t="s">
        <v>206</v>
      </c>
      <c r="D1575" t="s">
        <v>1777</v>
      </c>
      <c r="E1575">
        <v>0</v>
      </c>
      <c r="F1575">
        <v>1</v>
      </c>
      <c r="G1575" t="s">
        <v>2</v>
      </c>
      <c r="H1575" cm="1">
        <f t="array" ref="H1575">sentimentCalc(B1575)</f>
        <v>0</v>
      </c>
      <c r="I1575" s="5" t="str" cm="1">
        <f t="array" ref="I1575">sentimentCategory(H1575)</f>
        <v>Neutral</v>
      </c>
    </row>
    <row r="1576" spans="1:9" x14ac:dyDescent="0.2">
      <c r="A1576" s="3">
        <v>46541.921492997688</v>
      </c>
      <c r="B1576" t="s">
        <v>1778</v>
      </c>
      <c r="C1576" t="s">
        <v>1779</v>
      </c>
      <c r="E1576">
        <v>0</v>
      </c>
      <c r="F1576">
        <v>0</v>
      </c>
      <c r="G1576" t="s">
        <v>2</v>
      </c>
      <c r="H1576" cm="1">
        <f t="array" ref="H1576">sentimentCalc(B1576)</f>
        <v>20</v>
      </c>
      <c r="I1576" s="5" t="str" cm="1">
        <f t="array" ref="I1576">sentimentCategory(H1576)</f>
        <v>Positive</v>
      </c>
    </row>
    <row r="1577" spans="1:9" x14ac:dyDescent="0.2">
      <c r="A1577" s="3">
        <v>46542.921492997688</v>
      </c>
      <c r="B1577" t="s">
        <v>1780</v>
      </c>
      <c r="C1577" t="s">
        <v>842</v>
      </c>
      <c r="E1577">
        <v>32</v>
      </c>
      <c r="F1577">
        <v>146</v>
      </c>
      <c r="G1577" t="s">
        <v>2</v>
      </c>
      <c r="H1577" cm="1">
        <f t="array" ref="H1577">sentimentCalc(B1577)</f>
        <v>0</v>
      </c>
      <c r="I1577" s="5" t="str" cm="1">
        <f t="array" ref="I1577">sentimentCategory(H1577)</f>
        <v>Neutral</v>
      </c>
    </row>
    <row r="1578" spans="1:9" x14ac:dyDescent="0.2">
      <c r="A1578" s="3">
        <v>46543.921492997688</v>
      </c>
      <c r="B1578" t="s">
        <v>289</v>
      </c>
      <c r="C1578" t="s">
        <v>290</v>
      </c>
      <c r="D1578" t="s">
        <v>291</v>
      </c>
      <c r="E1578">
        <v>0</v>
      </c>
      <c r="F1578">
        <v>0</v>
      </c>
      <c r="G1578" t="s">
        <v>2</v>
      </c>
      <c r="H1578" cm="1">
        <f t="array" ref="H1578">sentimentCalc(B1578)</f>
        <v>0</v>
      </c>
      <c r="I1578" s="5" t="str" cm="1">
        <f t="array" ref="I1578">sentimentCategory(H1578)</f>
        <v>Neutral</v>
      </c>
    </row>
    <row r="1579" spans="1:9" x14ac:dyDescent="0.2">
      <c r="A1579" s="3">
        <v>46544.921492997688</v>
      </c>
      <c r="B1579" t="s">
        <v>1781</v>
      </c>
      <c r="C1579" t="s">
        <v>669</v>
      </c>
      <c r="E1579">
        <v>0</v>
      </c>
      <c r="F1579">
        <v>0</v>
      </c>
      <c r="G1579" t="s">
        <v>2</v>
      </c>
      <c r="H1579" cm="1">
        <f t="array" ref="H1579">sentimentCalc(B1579)</f>
        <v>0</v>
      </c>
      <c r="I1579" s="5" t="str" cm="1">
        <f t="array" ref="I1579">sentimentCategory(H1579)</f>
        <v>Neutral</v>
      </c>
    </row>
    <row r="1580" spans="1:9" x14ac:dyDescent="0.2">
      <c r="A1580" s="3">
        <v>46545.921492997688</v>
      </c>
      <c r="B1580" t="s">
        <v>1782</v>
      </c>
      <c r="C1580" t="s">
        <v>164</v>
      </c>
      <c r="D1580" t="s">
        <v>55</v>
      </c>
      <c r="E1580">
        <v>0</v>
      </c>
      <c r="F1580">
        <v>0</v>
      </c>
      <c r="G1580" t="s">
        <v>2</v>
      </c>
      <c r="H1580" cm="1">
        <f t="array" ref="H1580">sentimentCalc(B1580)</f>
        <v>0</v>
      </c>
      <c r="I1580" s="5" t="str" cm="1">
        <f t="array" ref="I1580">sentimentCategory(H1580)</f>
        <v>Neutral</v>
      </c>
    </row>
    <row r="1581" spans="1:9" x14ac:dyDescent="0.2">
      <c r="A1581" s="3">
        <v>46546.921492997688</v>
      </c>
      <c r="B1581" t="s">
        <v>674</v>
      </c>
      <c r="C1581" t="s">
        <v>98</v>
      </c>
      <c r="D1581" t="s">
        <v>13</v>
      </c>
      <c r="E1581">
        <v>0</v>
      </c>
      <c r="F1581">
        <v>0</v>
      </c>
      <c r="G1581" t="s">
        <v>2</v>
      </c>
      <c r="H1581" cm="1">
        <f t="array" ref="H1581">sentimentCalc(B1581)</f>
        <v>0</v>
      </c>
      <c r="I1581" s="5" t="str" cm="1">
        <f t="array" ref="I1581">sentimentCategory(H1581)</f>
        <v>Neutral</v>
      </c>
    </row>
    <row r="1582" spans="1:9" x14ac:dyDescent="0.2">
      <c r="A1582" s="3">
        <v>46547.921492997688</v>
      </c>
      <c r="B1582" t="s">
        <v>37</v>
      </c>
      <c r="C1582" t="s">
        <v>33</v>
      </c>
      <c r="D1582" t="s">
        <v>34</v>
      </c>
      <c r="E1582">
        <v>0</v>
      </c>
      <c r="F1582">
        <v>0</v>
      </c>
      <c r="G1582" t="s">
        <v>2</v>
      </c>
      <c r="H1582" cm="1">
        <f t="array" ref="H1582">sentimentCalc(B1582)</f>
        <v>0</v>
      </c>
      <c r="I1582" s="5" t="str" cm="1">
        <f t="array" ref="I1582">sentimentCategory(H1582)</f>
        <v>Neutral</v>
      </c>
    </row>
    <row r="1583" spans="1:9" x14ac:dyDescent="0.2">
      <c r="A1583" s="3">
        <v>46548.921492997688</v>
      </c>
      <c r="B1583" t="s">
        <v>1783</v>
      </c>
      <c r="C1583" t="s">
        <v>33</v>
      </c>
      <c r="D1583" t="s">
        <v>34</v>
      </c>
      <c r="E1583">
        <v>0</v>
      </c>
      <c r="F1583">
        <v>0</v>
      </c>
      <c r="G1583" t="s">
        <v>2</v>
      </c>
      <c r="H1583" cm="1">
        <f t="array" ref="H1583">sentimentCalc(B1583)</f>
        <v>0</v>
      </c>
      <c r="I1583" s="5" t="str" cm="1">
        <f t="array" ref="I1583">sentimentCategory(H1583)</f>
        <v>Neutral</v>
      </c>
    </row>
    <row r="1584" spans="1:9" x14ac:dyDescent="0.2">
      <c r="A1584" s="3">
        <v>46549.921492997688</v>
      </c>
      <c r="B1584" t="s">
        <v>35</v>
      </c>
      <c r="C1584" t="s">
        <v>33</v>
      </c>
      <c r="D1584" t="s">
        <v>34</v>
      </c>
      <c r="E1584">
        <v>0</v>
      </c>
      <c r="F1584">
        <v>0</v>
      </c>
      <c r="G1584" t="s">
        <v>2</v>
      </c>
      <c r="H1584" cm="1">
        <f t="array" ref="H1584">sentimentCalc(B1584)</f>
        <v>0</v>
      </c>
      <c r="I1584" s="5" t="str" cm="1">
        <f t="array" ref="I1584">sentimentCategory(H1584)</f>
        <v>Neutral</v>
      </c>
    </row>
    <row r="1585" spans="1:9" x14ac:dyDescent="0.2">
      <c r="A1585" s="3">
        <v>46550.921492997688</v>
      </c>
      <c r="B1585" t="s">
        <v>36</v>
      </c>
      <c r="C1585" t="s">
        <v>33</v>
      </c>
      <c r="D1585" t="s">
        <v>34</v>
      </c>
      <c r="E1585">
        <v>0</v>
      </c>
      <c r="F1585">
        <v>0</v>
      </c>
      <c r="G1585" t="s">
        <v>2</v>
      </c>
      <c r="H1585" cm="1">
        <f t="array" ref="H1585">sentimentCalc(B1585)</f>
        <v>10</v>
      </c>
      <c r="I1585" s="5" t="str" cm="1">
        <f t="array" ref="I1585">sentimentCategory(H1585)</f>
        <v>Positive</v>
      </c>
    </row>
    <row r="1586" spans="1:9" x14ac:dyDescent="0.2">
      <c r="A1586" s="3">
        <v>46551.921492997688</v>
      </c>
      <c r="B1586" t="s">
        <v>1784</v>
      </c>
      <c r="C1586" t="s">
        <v>7</v>
      </c>
      <c r="E1586">
        <v>0</v>
      </c>
      <c r="F1586">
        <v>0</v>
      </c>
      <c r="G1586" t="s">
        <v>2</v>
      </c>
      <c r="H1586" cm="1">
        <f t="array" ref="H1586">sentimentCalc(B1586)</f>
        <v>0</v>
      </c>
      <c r="I1586" s="5" t="str" cm="1">
        <f t="array" ref="I1586">sentimentCategory(H1586)</f>
        <v>Neutral</v>
      </c>
    </row>
    <row r="1587" spans="1:9" x14ac:dyDescent="0.2">
      <c r="A1587" s="3">
        <v>46552.921492997688</v>
      </c>
      <c r="B1587" t="s">
        <v>3</v>
      </c>
      <c r="C1587" t="s">
        <v>4</v>
      </c>
      <c r="D1587" t="s">
        <v>5</v>
      </c>
      <c r="E1587">
        <v>0</v>
      </c>
      <c r="F1587">
        <v>0</v>
      </c>
      <c r="G1587" t="s">
        <v>2</v>
      </c>
      <c r="H1587" cm="1">
        <f t="array" ref="H1587">sentimentCalc(B1587)</f>
        <v>0</v>
      </c>
      <c r="I1587" s="5" t="str" cm="1">
        <f t="array" ref="I1587">sentimentCategory(H1587)</f>
        <v>Neutral</v>
      </c>
    </row>
    <row r="1588" spans="1:9" x14ac:dyDescent="0.2">
      <c r="A1588" s="3">
        <v>46553.921492997688</v>
      </c>
      <c r="B1588" t="s">
        <v>1785</v>
      </c>
      <c r="C1588" t="s">
        <v>7</v>
      </c>
      <c r="E1588">
        <v>0</v>
      </c>
      <c r="F1588">
        <v>0</v>
      </c>
      <c r="G1588" t="s">
        <v>2</v>
      </c>
      <c r="H1588" cm="1">
        <f t="array" ref="H1588">sentimentCalc(B1588)</f>
        <v>0</v>
      </c>
      <c r="I1588" s="5" t="str" cm="1">
        <f t="array" ref="I1588">sentimentCategory(H1588)</f>
        <v>Neutral</v>
      </c>
    </row>
    <row r="1589" spans="1:9" x14ac:dyDescent="0.2">
      <c r="A1589" s="3">
        <v>46554.921492997688</v>
      </c>
      <c r="B1589" t="s">
        <v>94</v>
      </c>
      <c r="C1589" t="s">
        <v>22</v>
      </c>
      <c r="E1589">
        <v>0</v>
      </c>
      <c r="F1589">
        <v>0</v>
      </c>
      <c r="G1589" t="s">
        <v>2</v>
      </c>
      <c r="H1589" cm="1">
        <f t="array" ref="H1589">sentimentCalc(B1589)</f>
        <v>0</v>
      </c>
      <c r="I1589" s="5" t="str" cm="1">
        <f t="array" ref="I1589">sentimentCategory(H1589)</f>
        <v>Neutral</v>
      </c>
    </row>
    <row r="1590" spans="1:9" x14ac:dyDescent="0.2">
      <c r="A1590" s="3">
        <v>46555.921492997688</v>
      </c>
      <c r="B1590" t="s">
        <v>1786</v>
      </c>
      <c r="C1590" t="s">
        <v>7</v>
      </c>
      <c r="E1590">
        <v>0</v>
      </c>
      <c r="F1590">
        <v>0</v>
      </c>
      <c r="G1590" t="s">
        <v>2</v>
      </c>
      <c r="H1590" cm="1">
        <f t="array" ref="H1590">sentimentCalc(B1590)</f>
        <v>0</v>
      </c>
      <c r="I1590" s="5" t="str" cm="1">
        <f t="array" ref="I1590">sentimentCategory(H1590)</f>
        <v>Neutral</v>
      </c>
    </row>
    <row r="1591" spans="1:9" x14ac:dyDescent="0.2">
      <c r="A1591" s="3">
        <v>46556.921492997688</v>
      </c>
      <c r="B1591" t="s">
        <v>1787</v>
      </c>
      <c r="C1591" t="s">
        <v>128</v>
      </c>
      <c r="D1591" t="s">
        <v>129</v>
      </c>
      <c r="E1591">
        <v>0</v>
      </c>
      <c r="F1591">
        <v>0</v>
      </c>
      <c r="G1591" t="s">
        <v>2</v>
      </c>
      <c r="H1591" cm="1">
        <f t="array" ref="H1591">sentimentCalc(B1591)</f>
        <v>-10</v>
      </c>
      <c r="I1591" s="5" t="str" cm="1">
        <f t="array" ref="I1591">sentimentCategory(H1591)</f>
        <v>Negative</v>
      </c>
    </row>
    <row r="1592" spans="1:9" x14ac:dyDescent="0.2">
      <c r="A1592" s="3">
        <v>46557.921492997688</v>
      </c>
      <c r="B1592" t="s">
        <v>1788</v>
      </c>
      <c r="C1592" t="s">
        <v>134</v>
      </c>
      <c r="E1592">
        <v>0</v>
      </c>
      <c r="F1592">
        <v>0</v>
      </c>
      <c r="G1592" t="s">
        <v>2</v>
      </c>
      <c r="H1592" cm="1">
        <f t="array" ref="H1592">sentimentCalc(B1592)</f>
        <v>0</v>
      </c>
      <c r="I1592" s="5" t="str" cm="1">
        <f t="array" ref="I1592">sentimentCategory(H1592)</f>
        <v>Neutral</v>
      </c>
    </row>
    <row r="1593" spans="1:9" x14ac:dyDescent="0.2">
      <c r="A1593" s="3">
        <v>46558.921492997688</v>
      </c>
      <c r="B1593" t="s">
        <v>1789</v>
      </c>
      <c r="C1593" t="s">
        <v>7</v>
      </c>
      <c r="E1593">
        <v>0</v>
      </c>
      <c r="F1593">
        <v>0</v>
      </c>
      <c r="G1593" t="s">
        <v>2</v>
      </c>
      <c r="H1593" cm="1">
        <f t="array" ref="H1593">sentimentCalc(B1593)</f>
        <v>0</v>
      </c>
      <c r="I1593" s="5" t="str" cm="1">
        <f t="array" ref="I1593">sentimentCategory(H1593)</f>
        <v>Neutral</v>
      </c>
    </row>
    <row r="1594" spans="1:9" x14ac:dyDescent="0.2">
      <c r="A1594" s="3">
        <v>46559.921492997688</v>
      </c>
      <c r="B1594" t="s">
        <v>1790</v>
      </c>
      <c r="C1594" t="s">
        <v>707</v>
      </c>
      <c r="D1594" t="s">
        <v>1791</v>
      </c>
      <c r="E1594">
        <v>0</v>
      </c>
      <c r="F1594">
        <v>0</v>
      </c>
      <c r="G1594" t="s">
        <v>2</v>
      </c>
      <c r="H1594" cm="1">
        <f t="array" ref="H1594">sentimentCalc(B1594)</f>
        <v>0</v>
      </c>
      <c r="I1594" s="5" t="str" cm="1">
        <f t="array" ref="I1594">sentimentCategory(H1594)</f>
        <v>Neutral</v>
      </c>
    </row>
    <row r="1595" spans="1:9" x14ac:dyDescent="0.2">
      <c r="A1595" s="3"/>
      <c r="H1595" cm="1">
        <f t="array" ref="H1595">sentimentCalc(B1595)</f>
        <v>0</v>
      </c>
      <c r="I1595" s="5" t="str" cm="1">
        <f t="array" ref="I1595">sentimentCategory(H1595)</f>
        <v>Neutral</v>
      </c>
    </row>
    <row r="1596" spans="1:9" x14ac:dyDescent="0.2">
      <c r="A1596" s="3"/>
      <c r="H1596" cm="1">
        <f t="array" ref="H1596">sentimentCalc(B1596)</f>
        <v>0</v>
      </c>
      <c r="I1596" s="5" t="str" cm="1">
        <f t="array" ref="I1596">sentimentCategory(H1596)</f>
        <v>Neutral</v>
      </c>
    </row>
    <row r="1597" spans="1:9" x14ac:dyDescent="0.2">
      <c r="A1597" s="3"/>
      <c r="H1597" cm="1">
        <f t="array" ref="H1597">sentimentCalc(B1597)</f>
        <v>0</v>
      </c>
      <c r="I1597" s="5" t="str" cm="1">
        <f t="array" ref="I1597">sentimentCategory(H1597)</f>
        <v>Neutral</v>
      </c>
    </row>
    <row r="1598" spans="1:9" x14ac:dyDescent="0.2">
      <c r="A1598" s="3">
        <v>46563.921492997688</v>
      </c>
      <c r="B1598" t="s">
        <v>336</v>
      </c>
      <c r="C1598" t="s">
        <v>128</v>
      </c>
      <c r="D1598" t="s">
        <v>129</v>
      </c>
      <c r="E1598">
        <v>0</v>
      </c>
      <c r="F1598">
        <v>0</v>
      </c>
      <c r="G1598" t="s">
        <v>2</v>
      </c>
      <c r="H1598" cm="1">
        <f t="array" ref="H1598">sentimentCalc(B1598)</f>
        <v>0</v>
      </c>
      <c r="I1598" s="5" t="str" cm="1">
        <f t="array" ref="I1598">sentimentCategory(H1598)</f>
        <v>Neutral</v>
      </c>
    </row>
    <row r="1599" spans="1:9" x14ac:dyDescent="0.2">
      <c r="A1599" s="3"/>
      <c r="H1599" cm="1">
        <f t="array" ref="H1599">sentimentCalc(B1599)</f>
        <v>0</v>
      </c>
      <c r="I1599" s="5" t="str" cm="1">
        <f t="array" ref="I1599">sentimentCategory(H1599)</f>
        <v>Neutral</v>
      </c>
    </row>
    <row r="1600" spans="1:9" x14ac:dyDescent="0.2">
      <c r="A1600" s="3">
        <v>46565.921492997688</v>
      </c>
      <c r="B1600" t="s">
        <v>387</v>
      </c>
      <c r="C1600" t="s">
        <v>143</v>
      </c>
      <c r="D1600" t="s">
        <v>129</v>
      </c>
      <c r="E1600">
        <v>0</v>
      </c>
      <c r="F1600">
        <v>0</v>
      </c>
      <c r="G1600" t="s">
        <v>2</v>
      </c>
      <c r="H1600" cm="1">
        <f t="array" ref="H1600">sentimentCalc(B1600)</f>
        <v>-10</v>
      </c>
      <c r="I1600" s="5" t="str" cm="1">
        <f t="array" ref="I1600">sentimentCategory(H1600)</f>
        <v>Negative</v>
      </c>
    </row>
    <row r="1601" spans="1:9" x14ac:dyDescent="0.2">
      <c r="A1601" s="3"/>
      <c r="H1601" cm="1">
        <f t="array" ref="H1601">sentimentCalc(B1601)</f>
        <v>0</v>
      </c>
      <c r="I1601" s="5" t="str" cm="1">
        <f t="array" ref="I1601">sentimentCategory(H1601)</f>
        <v>Neutral</v>
      </c>
    </row>
    <row r="1602" spans="1:9" x14ac:dyDescent="0.2">
      <c r="A1602" s="3">
        <v>46567.921492997688</v>
      </c>
      <c r="B1602" t="s">
        <v>1278</v>
      </c>
      <c r="C1602" t="s">
        <v>128</v>
      </c>
      <c r="D1602" t="s">
        <v>129</v>
      </c>
      <c r="E1602">
        <v>0</v>
      </c>
      <c r="F1602">
        <v>0</v>
      </c>
      <c r="G1602" t="s">
        <v>2</v>
      </c>
      <c r="H1602" cm="1">
        <f t="array" ref="H1602">sentimentCalc(B1602)</f>
        <v>-10</v>
      </c>
      <c r="I1602" s="5" t="str" cm="1">
        <f t="array" ref="I1602">sentimentCategory(H1602)</f>
        <v>Negative</v>
      </c>
    </row>
    <row r="1603" spans="1:9" x14ac:dyDescent="0.2">
      <c r="A1603" s="3">
        <v>46568.921492997688</v>
      </c>
      <c r="B1603" t="s">
        <v>138</v>
      </c>
      <c r="C1603" t="s">
        <v>22</v>
      </c>
      <c r="E1603">
        <v>0</v>
      </c>
      <c r="F1603">
        <v>0</v>
      </c>
      <c r="G1603" t="s">
        <v>2</v>
      </c>
      <c r="H1603" cm="1">
        <f t="array" ref="H1603">sentimentCalc(B1603)</f>
        <v>0</v>
      </c>
      <c r="I1603" s="5" t="str" cm="1">
        <f t="array" ref="I1603">sentimentCategory(H1603)</f>
        <v>Neutral</v>
      </c>
    </row>
    <row r="1604" spans="1:9" x14ac:dyDescent="0.2">
      <c r="A1604" s="3">
        <v>46569.921492997688</v>
      </c>
      <c r="B1604" t="s">
        <v>423</v>
      </c>
      <c r="C1604" t="s">
        <v>128</v>
      </c>
      <c r="D1604" t="s">
        <v>129</v>
      </c>
      <c r="E1604">
        <v>0</v>
      </c>
      <c r="F1604">
        <v>0</v>
      </c>
      <c r="G1604" t="s">
        <v>2</v>
      </c>
      <c r="H1604" cm="1">
        <f t="array" ref="H1604">sentimentCalc(B1604)</f>
        <v>-10</v>
      </c>
      <c r="I1604" s="5" t="str" cm="1">
        <f t="array" ref="I1604">sentimentCategory(H1604)</f>
        <v>Negative</v>
      </c>
    </row>
    <row r="1605" spans="1:9" x14ac:dyDescent="0.2">
      <c r="A1605" s="3">
        <v>46570.921492997688</v>
      </c>
      <c r="B1605" t="s">
        <v>144</v>
      </c>
      <c r="C1605" t="s">
        <v>22</v>
      </c>
      <c r="E1605">
        <v>0</v>
      </c>
      <c r="F1605">
        <v>0</v>
      </c>
      <c r="G1605" t="s">
        <v>2</v>
      </c>
      <c r="H1605" cm="1">
        <f t="array" ref="H1605">sentimentCalc(B1605)</f>
        <v>0</v>
      </c>
      <c r="I1605" s="5" t="str" cm="1">
        <f t="array" ref="I1605">sentimentCategory(H1605)</f>
        <v>Neutral</v>
      </c>
    </row>
    <row r="1606" spans="1:9" x14ac:dyDescent="0.2">
      <c r="A1606" s="3">
        <v>46571.921492997688</v>
      </c>
      <c r="B1606" t="s">
        <v>152</v>
      </c>
      <c r="C1606" t="s">
        <v>22</v>
      </c>
      <c r="E1606">
        <v>0</v>
      </c>
      <c r="F1606">
        <v>0</v>
      </c>
      <c r="G1606" t="s">
        <v>2</v>
      </c>
      <c r="H1606" cm="1">
        <f t="array" ref="H1606">sentimentCalc(B1606)</f>
        <v>0</v>
      </c>
      <c r="I1606" s="5" t="str" cm="1">
        <f t="array" ref="I1606">sentimentCategory(H1606)</f>
        <v>Neutral</v>
      </c>
    </row>
    <row r="1607" spans="1:9" x14ac:dyDescent="0.2">
      <c r="A1607" s="3"/>
      <c r="H1607" cm="1">
        <f t="array" ref="H1607">sentimentCalc(B1607)</f>
        <v>0</v>
      </c>
      <c r="I1607" s="5" t="str" cm="1">
        <f t="array" ref="I1607">sentimentCategory(H1607)</f>
        <v>Neutral</v>
      </c>
    </row>
    <row r="1608" spans="1:9" x14ac:dyDescent="0.2">
      <c r="A1608" s="3"/>
      <c r="H1608" cm="1">
        <f t="array" ref="H1608">sentimentCalc(B1608)</f>
        <v>0</v>
      </c>
      <c r="I1608" s="5" t="str" cm="1">
        <f t="array" ref="I1608">sentimentCategory(H1608)</f>
        <v>Neutral</v>
      </c>
    </row>
    <row r="1609" spans="1:9" x14ac:dyDescent="0.2">
      <c r="A1609" s="3">
        <v>46574.921492997688</v>
      </c>
      <c r="B1609" t="s">
        <v>151</v>
      </c>
      <c r="C1609" t="s">
        <v>22</v>
      </c>
      <c r="E1609">
        <v>0</v>
      </c>
      <c r="F1609">
        <v>0</v>
      </c>
      <c r="G1609" t="s">
        <v>2</v>
      </c>
      <c r="H1609" cm="1">
        <f t="array" ref="H1609">sentimentCalc(B1609)</f>
        <v>0</v>
      </c>
      <c r="I1609" s="5" t="str" cm="1">
        <f t="array" ref="I1609">sentimentCategory(H1609)</f>
        <v>Neutral</v>
      </c>
    </row>
    <row r="1610" spans="1:9" x14ac:dyDescent="0.2">
      <c r="A1610" s="3">
        <v>46575.921492997688</v>
      </c>
      <c r="B1610" t="s">
        <v>3</v>
      </c>
      <c r="C1610" t="s">
        <v>4</v>
      </c>
      <c r="D1610" t="s">
        <v>5</v>
      </c>
      <c r="E1610">
        <v>0</v>
      </c>
      <c r="F1610">
        <v>0</v>
      </c>
      <c r="G1610" t="s">
        <v>2</v>
      </c>
      <c r="H1610" cm="1">
        <f t="array" ref="H1610">sentimentCalc(B1610)</f>
        <v>0</v>
      </c>
      <c r="I1610" s="5" t="str" cm="1">
        <f t="array" ref="I1610">sentimentCategory(H1610)</f>
        <v>Neutral</v>
      </c>
    </row>
    <row r="1611" spans="1:9" x14ac:dyDescent="0.2">
      <c r="A1611" s="3">
        <v>46576.921492997688</v>
      </c>
      <c r="B1611" t="s">
        <v>154</v>
      </c>
      <c r="C1611" t="s">
        <v>22</v>
      </c>
      <c r="E1611">
        <v>0</v>
      </c>
      <c r="F1611">
        <v>0</v>
      </c>
      <c r="G1611" t="s">
        <v>2</v>
      </c>
      <c r="H1611" cm="1">
        <f t="array" ref="H1611">sentimentCalc(B1611)</f>
        <v>0</v>
      </c>
      <c r="I1611" s="5" t="str" cm="1">
        <f t="array" ref="I1611">sentimentCategory(H1611)</f>
        <v>Neutral</v>
      </c>
    </row>
    <row r="1612" spans="1:9" x14ac:dyDescent="0.2">
      <c r="A1612" s="3"/>
      <c r="H1612" cm="1">
        <f t="array" ref="H1612">sentimentCalc(B1612)</f>
        <v>0</v>
      </c>
      <c r="I1612" s="5" t="str" cm="1">
        <f t="array" ref="I1612">sentimentCategory(H1612)</f>
        <v>Neutral</v>
      </c>
    </row>
    <row r="1613" spans="1:9" x14ac:dyDescent="0.2">
      <c r="A1613" s="3">
        <v>46578.921492997688</v>
      </c>
      <c r="B1613" t="s">
        <v>141</v>
      </c>
      <c r="C1613" t="s">
        <v>143</v>
      </c>
      <c r="D1613" t="s">
        <v>129</v>
      </c>
      <c r="E1613">
        <v>0</v>
      </c>
      <c r="F1613">
        <v>0</v>
      </c>
      <c r="G1613" t="s">
        <v>2</v>
      </c>
      <c r="H1613" cm="1">
        <f t="array" ref="H1613">sentimentCalc(B1613)</f>
        <v>0</v>
      </c>
      <c r="I1613" s="5" t="str" cm="1">
        <f t="array" ref="I1613">sentimentCategory(H1613)</f>
        <v>Neutral</v>
      </c>
    </row>
    <row r="1614" spans="1:9" x14ac:dyDescent="0.2">
      <c r="A1614" s="3">
        <v>46579.921492997688</v>
      </c>
      <c r="B1614" t="s">
        <v>46</v>
      </c>
      <c r="C1614" t="s">
        <v>22</v>
      </c>
      <c r="E1614">
        <v>0</v>
      </c>
      <c r="F1614">
        <v>0</v>
      </c>
      <c r="G1614" t="s">
        <v>2</v>
      </c>
      <c r="H1614" cm="1">
        <f t="array" ref="H1614">sentimentCalc(B1614)</f>
        <v>0</v>
      </c>
      <c r="I1614" s="5" t="str" cm="1">
        <f t="array" ref="I1614">sentimentCategory(H1614)</f>
        <v>Neutral</v>
      </c>
    </row>
    <row r="1615" spans="1:9" x14ac:dyDescent="0.2">
      <c r="A1615" s="3"/>
      <c r="H1615" cm="1">
        <f t="array" ref="H1615">sentimentCalc(B1615)</f>
        <v>0</v>
      </c>
      <c r="I1615" s="5" t="str" cm="1">
        <f t="array" ref="I1615">sentimentCategory(H1615)</f>
        <v>Neutral</v>
      </c>
    </row>
    <row r="1616" spans="1:9" x14ac:dyDescent="0.2">
      <c r="A1616" s="3"/>
      <c r="H1616" cm="1">
        <f t="array" ref="H1616">sentimentCalc(B1616)</f>
        <v>0</v>
      </c>
      <c r="I1616" s="5" t="str" cm="1">
        <f t="array" ref="I1616">sentimentCategory(H1616)</f>
        <v>Neutral</v>
      </c>
    </row>
    <row r="1617" spans="1:9" x14ac:dyDescent="0.2">
      <c r="A1617" s="3"/>
      <c r="H1617" cm="1">
        <f t="array" ref="H1617">sentimentCalc(B1617)</f>
        <v>0</v>
      </c>
      <c r="I1617" s="5" t="str" cm="1">
        <f t="array" ref="I1617">sentimentCategory(H1617)</f>
        <v>Neutral</v>
      </c>
    </row>
    <row r="1618" spans="1:9" x14ac:dyDescent="0.2">
      <c r="A1618" s="3">
        <v>46583.921492997688</v>
      </c>
      <c r="B1618" t="s">
        <v>339</v>
      </c>
      <c r="C1618" t="s">
        <v>143</v>
      </c>
      <c r="D1618" t="s">
        <v>129</v>
      </c>
      <c r="E1618">
        <v>0</v>
      </c>
      <c r="F1618">
        <v>0</v>
      </c>
      <c r="G1618" t="s">
        <v>2</v>
      </c>
      <c r="H1618" cm="1">
        <f t="array" ref="H1618">sentimentCalc(B1618)</f>
        <v>-10</v>
      </c>
      <c r="I1618" s="5" t="str" cm="1">
        <f t="array" ref="I1618">sentimentCategory(H1618)</f>
        <v>Negative</v>
      </c>
    </row>
    <row r="1619" spans="1:9" x14ac:dyDescent="0.2">
      <c r="A1619" s="3">
        <v>46584.921492997688</v>
      </c>
      <c r="B1619" t="s">
        <v>127</v>
      </c>
      <c r="C1619" t="s">
        <v>128</v>
      </c>
      <c r="D1619" t="s">
        <v>129</v>
      </c>
      <c r="E1619">
        <v>0</v>
      </c>
      <c r="F1619">
        <v>0</v>
      </c>
      <c r="G1619" t="s">
        <v>2</v>
      </c>
      <c r="H1619" cm="1">
        <f t="array" ref="H1619">sentimentCalc(B1619)</f>
        <v>-10</v>
      </c>
      <c r="I1619" s="5" t="str" cm="1">
        <f t="array" ref="I1619">sentimentCategory(H1619)</f>
        <v>Negative</v>
      </c>
    </row>
    <row r="1620" spans="1:9" x14ac:dyDescent="0.2">
      <c r="A1620" s="3">
        <v>46585.921492997688</v>
      </c>
      <c r="B1620" t="s">
        <v>159</v>
      </c>
      <c r="C1620" t="s">
        <v>22</v>
      </c>
      <c r="E1620">
        <v>0</v>
      </c>
      <c r="F1620">
        <v>0</v>
      </c>
      <c r="G1620" t="s">
        <v>2</v>
      </c>
      <c r="H1620" cm="1">
        <f t="array" ref="H1620">sentimentCalc(B1620)</f>
        <v>0</v>
      </c>
      <c r="I1620" s="5" t="str" cm="1">
        <f t="array" ref="I1620">sentimentCategory(H1620)</f>
        <v>Neutral</v>
      </c>
    </row>
    <row r="1621" spans="1:9" x14ac:dyDescent="0.2">
      <c r="A1621" s="3">
        <v>46586.921492997688</v>
      </c>
      <c r="B1621" t="s">
        <v>1792</v>
      </c>
      <c r="C1621" t="s">
        <v>33</v>
      </c>
      <c r="D1621" t="s">
        <v>34</v>
      </c>
      <c r="E1621">
        <v>0</v>
      </c>
      <c r="F1621">
        <v>0</v>
      </c>
      <c r="G1621" t="s">
        <v>2</v>
      </c>
      <c r="H1621" cm="1">
        <f t="array" ref="H1621">sentimentCalc(B1621)</f>
        <v>0</v>
      </c>
      <c r="I1621" s="5" t="str" cm="1">
        <f t="array" ref="I1621">sentimentCategory(H1621)</f>
        <v>Neutral</v>
      </c>
    </row>
    <row r="1622" spans="1:9" x14ac:dyDescent="0.2">
      <c r="A1622" s="3"/>
      <c r="H1622" cm="1">
        <f t="array" ref="H1622">sentimentCalc(B1622)</f>
        <v>0</v>
      </c>
      <c r="I1622" s="5" t="str" cm="1">
        <f t="array" ref="I1622">sentimentCategory(H1622)</f>
        <v>Neutral</v>
      </c>
    </row>
    <row r="1623" spans="1:9" x14ac:dyDescent="0.2">
      <c r="A1623" s="3">
        <v>46588.921492997688</v>
      </c>
      <c r="B1623" t="s">
        <v>37</v>
      </c>
      <c r="C1623" t="s">
        <v>33</v>
      </c>
      <c r="D1623" t="s">
        <v>34</v>
      </c>
      <c r="E1623">
        <v>0</v>
      </c>
      <c r="F1623">
        <v>0</v>
      </c>
      <c r="G1623" t="s">
        <v>2</v>
      </c>
      <c r="H1623" cm="1">
        <f t="array" ref="H1623">sentimentCalc(B1623)</f>
        <v>0</v>
      </c>
      <c r="I1623" s="5" t="str" cm="1">
        <f t="array" ref="I1623">sentimentCategory(H1623)</f>
        <v>Neutral</v>
      </c>
    </row>
    <row r="1624" spans="1:9" x14ac:dyDescent="0.2">
      <c r="A1624" s="3">
        <v>46589.921492997688</v>
      </c>
      <c r="B1624" t="s">
        <v>36</v>
      </c>
      <c r="C1624" t="s">
        <v>33</v>
      </c>
      <c r="D1624" t="s">
        <v>34</v>
      </c>
      <c r="E1624">
        <v>0</v>
      </c>
      <c r="F1624">
        <v>0</v>
      </c>
      <c r="G1624" t="s">
        <v>2</v>
      </c>
      <c r="H1624" cm="1">
        <f t="array" ref="H1624">sentimentCalc(B1624)</f>
        <v>10</v>
      </c>
      <c r="I1624" s="5" t="str" cm="1">
        <f t="array" ref="I1624">sentimentCategory(H1624)</f>
        <v>Positive</v>
      </c>
    </row>
    <row r="1625" spans="1:9" x14ac:dyDescent="0.2">
      <c r="A1625" s="3">
        <v>46590.921492997688</v>
      </c>
      <c r="B1625" t="s">
        <v>1793</v>
      </c>
      <c r="C1625" t="s">
        <v>1794</v>
      </c>
      <c r="D1625" t="s">
        <v>567</v>
      </c>
      <c r="E1625">
        <v>0</v>
      </c>
      <c r="F1625">
        <v>1</v>
      </c>
      <c r="G1625" t="s">
        <v>2</v>
      </c>
      <c r="H1625" cm="1">
        <f t="array" ref="H1625">sentimentCalc(B1625)</f>
        <v>0</v>
      </c>
      <c r="I1625" s="5" t="str" cm="1">
        <f t="array" ref="I1625">sentimentCategory(H1625)</f>
        <v>Neutral</v>
      </c>
    </row>
    <row r="1626" spans="1:9" x14ac:dyDescent="0.2">
      <c r="A1626" s="3">
        <v>46591.921492997688</v>
      </c>
      <c r="B1626" t="s">
        <v>165</v>
      </c>
      <c r="C1626" t="s">
        <v>22</v>
      </c>
      <c r="E1626">
        <v>0</v>
      </c>
      <c r="F1626">
        <v>0</v>
      </c>
      <c r="G1626" t="s">
        <v>2</v>
      </c>
      <c r="H1626" cm="1">
        <f t="array" ref="H1626">sentimentCalc(B1626)</f>
        <v>0</v>
      </c>
      <c r="I1626" s="5" t="str" cm="1">
        <f t="array" ref="I1626">sentimentCategory(H1626)</f>
        <v>Neutral</v>
      </c>
    </row>
    <row r="1627" spans="1:9" x14ac:dyDescent="0.2">
      <c r="A1627" s="3">
        <v>46592.921492997688</v>
      </c>
      <c r="B1627" t="s">
        <v>1795</v>
      </c>
      <c r="C1627" t="s">
        <v>1796</v>
      </c>
      <c r="E1627">
        <v>0</v>
      </c>
      <c r="F1627">
        <v>0</v>
      </c>
      <c r="G1627" t="s">
        <v>2</v>
      </c>
      <c r="H1627" cm="1">
        <f t="array" ref="H1627">sentimentCalc(B1627)</f>
        <v>0</v>
      </c>
      <c r="I1627" s="5" t="str" cm="1">
        <f t="array" ref="I1627">sentimentCategory(H1627)</f>
        <v>Neutral</v>
      </c>
    </row>
    <row r="1628" spans="1:9" x14ac:dyDescent="0.2">
      <c r="A1628" s="3">
        <v>46593.921492997688</v>
      </c>
      <c r="B1628" t="s">
        <v>1797</v>
      </c>
      <c r="C1628" t="s">
        <v>134</v>
      </c>
      <c r="E1628">
        <v>0</v>
      </c>
      <c r="F1628">
        <v>0</v>
      </c>
      <c r="G1628" t="s">
        <v>2</v>
      </c>
      <c r="H1628" cm="1">
        <f t="array" ref="H1628">sentimentCalc(B1628)</f>
        <v>0</v>
      </c>
      <c r="I1628" s="5" t="str" cm="1">
        <f t="array" ref="I1628">sentimentCategory(H1628)</f>
        <v>Neutral</v>
      </c>
    </row>
    <row r="1629" spans="1:9" x14ac:dyDescent="0.2">
      <c r="A1629" s="3">
        <v>46594.921492997688</v>
      </c>
      <c r="B1629" t="s">
        <v>1798</v>
      </c>
      <c r="C1629" t="s">
        <v>286</v>
      </c>
      <c r="E1629">
        <v>0</v>
      </c>
      <c r="F1629">
        <v>0</v>
      </c>
      <c r="G1629" t="s">
        <v>2</v>
      </c>
      <c r="H1629" cm="1">
        <f t="array" ref="H1629">sentimentCalc(B1629)</f>
        <v>10</v>
      </c>
      <c r="I1629" s="5" t="str" cm="1">
        <f t="array" ref="I1629">sentimentCategory(H1629)</f>
        <v>Positive</v>
      </c>
    </row>
    <row r="1630" spans="1:9" x14ac:dyDescent="0.2">
      <c r="A1630" s="3">
        <v>46595.921492997688</v>
      </c>
      <c r="B1630" t="s">
        <v>1799</v>
      </c>
      <c r="C1630" t="s">
        <v>1702</v>
      </c>
      <c r="D1630" t="s">
        <v>1703</v>
      </c>
      <c r="E1630">
        <v>0</v>
      </c>
      <c r="F1630">
        <v>0</v>
      </c>
      <c r="G1630" t="s">
        <v>2</v>
      </c>
      <c r="H1630" cm="1">
        <f t="array" ref="H1630">sentimentCalc(B1630)</f>
        <v>0</v>
      </c>
      <c r="I1630" s="5" t="str" cm="1">
        <f t="array" ref="I1630">sentimentCategory(H1630)</f>
        <v>Neutral</v>
      </c>
    </row>
    <row r="1631" spans="1:9" x14ac:dyDescent="0.2">
      <c r="A1631" s="3">
        <v>46596.921492997688</v>
      </c>
      <c r="B1631" t="s">
        <v>1800</v>
      </c>
      <c r="C1631" t="s">
        <v>1618</v>
      </c>
      <c r="D1631" t="s">
        <v>1619</v>
      </c>
      <c r="E1631">
        <v>4</v>
      </c>
      <c r="F1631">
        <v>7</v>
      </c>
      <c r="G1631" t="s">
        <v>2</v>
      </c>
      <c r="H1631" cm="1">
        <f t="array" ref="H1631">sentimentCalc(B1631)</f>
        <v>0</v>
      </c>
      <c r="I1631" s="5" t="str" cm="1">
        <f t="array" ref="I1631">sentimentCategory(H1631)</f>
        <v>Neutral</v>
      </c>
    </row>
    <row r="1632" spans="1:9" x14ac:dyDescent="0.2">
      <c r="A1632" s="3">
        <v>46597.921492997688</v>
      </c>
      <c r="B1632" t="s">
        <v>1801</v>
      </c>
      <c r="C1632" t="s">
        <v>1802</v>
      </c>
      <c r="D1632" t="s">
        <v>1803</v>
      </c>
      <c r="E1632">
        <v>0</v>
      </c>
      <c r="F1632">
        <v>0</v>
      </c>
      <c r="G1632" t="s">
        <v>2</v>
      </c>
      <c r="H1632" cm="1">
        <f t="array" ref="H1632">sentimentCalc(B1632)</f>
        <v>0</v>
      </c>
      <c r="I1632" s="5" t="str" cm="1">
        <f t="array" ref="I1632">sentimentCategory(H1632)</f>
        <v>Neutral</v>
      </c>
    </row>
    <row r="1633" spans="1:9" x14ac:dyDescent="0.2">
      <c r="A1633" s="3">
        <v>46598.921492997688</v>
      </c>
      <c r="B1633" t="s">
        <v>1804</v>
      </c>
      <c r="C1633" t="s">
        <v>1805</v>
      </c>
      <c r="D1633" t="s">
        <v>1806</v>
      </c>
      <c r="E1633">
        <v>0</v>
      </c>
      <c r="F1633">
        <v>0</v>
      </c>
      <c r="G1633" t="s">
        <v>2</v>
      </c>
      <c r="H1633" cm="1">
        <f t="array" ref="H1633">sentimentCalc(B1633)</f>
        <v>0</v>
      </c>
      <c r="I1633" s="5" t="str" cm="1">
        <f t="array" ref="I1633">sentimentCategory(H1633)</f>
        <v>Neutral</v>
      </c>
    </row>
    <row r="1634" spans="1:9" x14ac:dyDescent="0.2">
      <c r="A1634" s="3">
        <v>46599.921492997688</v>
      </c>
      <c r="B1634" t="s">
        <v>1807</v>
      </c>
      <c r="C1634" t="s">
        <v>1808</v>
      </c>
      <c r="E1634">
        <v>0</v>
      </c>
      <c r="F1634">
        <v>0</v>
      </c>
      <c r="G1634" t="s">
        <v>2</v>
      </c>
      <c r="H1634" cm="1">
        <f t="array" ref="H1634">sentimentCalc(B1634)</f>
        <v>0</v>
      </c>
      <c r="I1634" s="5" t="str" cm="1">
        <f t="array" ref="I1634">sentimentCategory(H1634)</f>
        <v>Neutral</v>
      </c>
    </row>
    <row r="1635" spans="1:9" x14ac:dyDescent="0.2">
      <c r="A1635" s="3">
        <v>46600.921492997688</v>
      </c>
      <c r="B1635" t="s">
        <v>1809</v>
      </c>
      <c r="C1635" t="s">
        <v>1810</v>
      </c>
      <c r="E1635">
        <v>0</v>
      </c>
      <c r="F1635">
        <v>1</v>
      </c>
      <c r="G1635" t="s">
        <v>2</v>
      </c>
      <c r="H1635" cm="1">
        <f t="array" ref="H1635">sentimentCalc(B1635)</f>
        <v>10</v>
      </c>
      <c r="I1635" s="5" t="str" cm="1">
        <f t="array" ref="I1635">sentimentCategory(H1635)</f>
        <v>Positive</v>
      </c>
    </row>
    <row r="1636" spans="1:9" x14ac:dyDescent="0.2">
      <c r="A1636" s="3">
        <v>46601.921492997688</v>
      </c>
      <c r="B1636" t="s">
        <v>3</v>
      </c>
      <c r="C1636" t="s">
        <v>4</v>
      </c>
      <c r="D1636" t="s">
        <v>5</v>
      </c>
      <c r="E1636">
        <v>0</v>
      </c>
      <c r="F1636">
        <v>0</v>
      </c>
      <c r="G1636" t="s">
        <v>2</v>
      </c>
      <c r="H1636" cm="1">
        <f t="array" ref="H1636">sentimentCalc(B1636)</f>
        <v>0</v>
      </c>
      <c r="I1636" s="5" t="str" cm="1">
        <f t="array" ref="I1636">sentimentCategory(H1636)</f>
        <v>Neutral</v>
      </c>
    </row>
    <row r="1637" spans="1:9" x14ac:dyDescent="0.2">
      <c r="A1637" s="3">
        <v>46602.921492997688</v>
      </c>
      <c r="B1637" t="s">
        <v>1811</v>
      </c>
      <c r="C1637" t="s">
        <v>134</v>
      </c>
      <c r="E1637">
        <v>0</v>
      </c>
      <c r="F1637">
        <v>0</v>
      </c>
      <c r="G1637" t="s">
        <v>2</v>
      </c>
      <c r="H1637" cm="1">
        <f t="array" ref="H1637">sentimentCalc(B1637)</f>
        <v>0</v>
      </c>
      <c r="I1637" s="5" t="str" cm="1">
        <f t="array" ref="I1637">sentimentCategory(H1637)</f>
        <v>Neutral</v>
      </c>
    </row>
    <row r="1638" spans="1:9" x14ac:dyDescent="0.2">
      <c r="A1638" s="3">
        <v>46603.921492997688</v>
      </c>
      <c r="B1638" t="s">
        <v>1812</v>
      </c>
      <c r="C1638" t="s">
        <v>1813</v>
      </c>
      <c r="D1638" t="s">
        <v>1814</v>
      </c>
      <c r="E1638">
        <v>0</v>
      </c>
      <c r="F1638">
        <v>1</v>
      </c>
      <c r="G1638" t="s">
        <v>2</v>
      </c>
      <c r="H1638" cm="1">
        <f t="array" ref="H1638">sentimentCalc(B1638)</f>
        <v>0</v>
      </c>
      <c r="I1638" s="5" t="str" cm="1">
        <f t="array" ref="I1638">sentimentCategory(H1638)</f>
        <v>Neutral</v>
      </c>
    </row>
    <row r="1639" spans="1:9" x14ac:dyDescent="0.2">
      <c r="A1639" s="3">
        <v>46604.921492997688</v>
      </c>
      <c r="B1639" t="s">
        <v>1815</v>
      </c>
      <c r="C1639" t="s">
        <v>178</v>
      </c>
      <c r="D1639" t="s">
        <v>291</v>
      </c>
      <c r="E1639">
        <v>0</v>
      </c>
      <c r="F1639">
        <v>0</v>
      </c>
      <c r="G1639" t="s">
        <v>2</v>
      </c>
      <c r="H1639" cm="1">
        <f t="array" ref="H1639">sentimentCalc(B1639)</f>
        <v>0</v>
      </c>
      <c r="I1639" s="5" t="str" cm="1">
        <f t="array" ref="I1639">sentimentCategory(H1639)</f>
        <v>Neutral</v>
      </c>
    </row>
    <row r="1640" spans="1:9" x14ac:dyDescent="0.2">
      <c r="A1640" s="3"/>
      <c r="H1640" cm="1">
        <f t="array" ref="H1640">sentimentCalc(B1640)</f>
        <v>0</v>
      </c>
      <c r="I1640" s="5" t="str" cm="1">
        <f t="array" ref="I1640">sentimentCategory(H1640)</f>
        <v>Neutral</v>
      </c>
    </row>
    <row r="1641" spans="1:9" x14ac:dyDescent="0.2">
      <c r="A1641" s="3">
        <v>46606.921492997688</v>
      </c>
      <c r="B1641" t="s">
        <v>1816</v>
      </c>
      <c r="C1641" t="s">
        <v>33</v>
      </c>
      <c r="D1641" t="s">
        <v>34</v>
      </c>
      <c r="E1641">
        <v>0</v>
      </c>
      <c r="F1641">
        <v>0</v>
      </c>
      <c r="G1641" t="s">
        <v>2</v>
      </c>
      <c r="H1641" cm="1">
        <f t="array" ref="H1641">sentimentCalc(B1641)</f>
        <v>0</v>
      </c>
      <c r="I1641" s="5" t="str" cm="1">
        <f t="array" ref="I1641">sentimentCategory(H1641)</f>
        <v>Neutral</v>
      </c>
    </row>
    <row r="1642" spans="1:9" x14ac:dyDescent="0.2">
      <c r="A1642" s="3">
        <v>46607.921492997688</v>
      </c>
      <c r="B1642" t="s">
        <v>37</v>
      </c>
      <c r="C1642" t="s">
        <v>33</v>
      </c>
      <c r="D1642" t="s">
        <v>34</v>
      </c>
      <c r="E1642">
        <v>0</v>
      </c>
      <c r="F1642">
        <v>0</v>
      </c>
      <c r="G1642" t="s">
        <v>2</v>
      </c>
      <c r="H1642" cm="1">
        <f t="array" ref="H1642">sentimentCalc(B1642)</f>
        <v>0</v>
      </c>
      <c r="I1642" s="5" t="str" cm="1">
        <f t="array" ref="I1642">sentimentCategory(H1642)</f>
        <v>Neutral</v>
      </c>
    </row>
    <row r="1643" spans="1:9" x14ac:dyDescent="0.2">
      <c r="A1643" s="3">
        <v>46608.921492997688</v>
      </c>
      <c r="B1643" t="s">
        <v>36</v>
      </c>
      <c r="C1643" t="s">
        <v>33</v>
      </c>
      <c r="D1643" t="s">
        <v>34</v>
      </c>
      <c r="E1643">
        <v>0</v>
      </c>
      <c r="F1643">
        <v>0</v>
      </c>
      <c r="G1643" t="s">
        <v>2</v>
      </c>
      <c r="H1643" cm="1">
        <f t="array" ref="H1643">sentimentCalc(B1643)</f>
        <v>10</v>
      </c>
      <c r="I1643" s="5" t="str" cm="1">
        <f t="array" ref="I1643">sentimentCategory(H1643)</f>
        <v>Positive</v>
      </c>
    </row>
    <row r="1644" spans="1:9" x14ac:dyDescent="0.2">
      <c r="A1644" s="3"/>
      <c r="H1644" cm="1">
        <f t="array" ref="H1644">sentimentCalc(B1644)</f>
        <v>0</v>
      </c>
      <c r="I1644" s="5" t="str" cm="1">
        <f t="array" ref="I1644">sentimentCategory(H1644)</f>
        <v>Neutral</v>
      </c>
    </row>
    <row r="1645" spans="1:9" x14ac:dyDescent="0.2">
      <c r="A1645" s="3">
        <v>46610.921492997688</v>
      </c>
      <c r="B1645" t="s">
        <v>432</v>
      </c>
      <c r="C1645" t="s">
        <v>128</v>
      </c>
      <c r="D1645" t="s">
        <v>129</v>
      </c>
      <c r="E1645">
        <v>0</v>
      </c>
      <c r="F1645">
        <v>0</v>
      </c>
      <c r="G1645" t="s">
        <v>2</v>
      </c>
      <c r="H1645" cm="1">
        <f t="array" ref="H1645">sentimentCalc(B1645)</f>
        <v>-10</v>
      </c>
      <c r="I1645" s="5" t="str" cm="1">
        <f t="array" ref="I1645">sentimentCategory(H1645)</f>
        <v>Negative</v>
      </c>
    </row>
    <row r="1646" spans="1:9" x14ac:dyDescent="0.2">
      <c r="A1646" s="3">
        <v>46611.921492997688</v>
      </c>
      <c r="B1646" t="s">
        <v>847</v>
      </c>
      <c r="C1646" t="s">
        <v>128</v>
      </c>
      <c r="D1646" t="s">
        <v>129</v>
      </c>
      <c r="E1646">
        <v>0</v>
      </c>
      <c r="F1646">
        <v>0</v>
      </c>
      <c r="G1646" t="s">
        <v>2</v>
      </c>
      <c r="H1646" cm="1">
        <f t="array" ref="H1646">sentimentCalc(B1646)</f>
        <v>-10</v>
      </c>
      <c r="I1646" s="5" t="str" cm="1">
        <f t="array" ref="I1646">sentimentCategory(H1646)</f>
        <v>Negative</v>
      </c>
    </row>
    <row r="1647" spans="1:9" x14ac:dyDescent="0.2">
      <c r="A1647" s="3">
        <v>46612.921492997688</v>
      </c>
      <c r="B1647" t="s">
        <v>1817</v>
      </c>
      <c r="C1647" t="s">
        <v>286</v>
      </c>
      <c r="E1647">
        <v>0</v>
      </c>
      <c r="F1647">
        <v>1</v>
      </c>
      <c r="G1647" t="s">
        <v>2</v>
      </c>
      <c r="H1647" cm="1">
        <f t="array" ref="H1647">sentimentCalc(B1647)</f>
        <v>0</v>
      </c>
      <c r="I1647" s="5" t="str" cm="1">
        <f t="array" ref="I1647">sentimentCategory(H1647)</f>
        <v>Neutral</v>
      </c>
    </row>
    <row r="1648" spans="1:9" x14ac:dyDescent="0.2">
      <c r="A1648" s="3"/>
      <c r="H1648" cm="1">
        <f t="array" ref="H1648">sentimentCalc(B1648)</f>
        <v>0</v>
      </c>
      <c r="I1648" s="5" t="str" cm="1">
        <f t="array" ref="I1648">sentimentCategory(H1648)</f>
        <v>Neutral</v>
      </c>
    </row>
    <row r="1649" spans="1:9" x14ac:dyDescent="0.2">
      <c r="A1649" s="3">
        <v>46614.921492997688</v>
      </c>
      <c r="B1649" t="s">
        <v>370</v>
      </c>
      <c r="C1649" t="s">
        <v>128</v>
      </c>
      <c r="D1649" t="s">
        <v>129</v>
      </c>
      <c r="E1649">
        <v>0</v>
      </c>
      <c r="F1649">
        <v>0</v>
      </c>
      <c r="G1649" t="s">
        <v>2</v>
      </c>
      <c r="H1649" cm="1">
        <f t="array" ref="H1649">sentimentCalc(B1649)</f>
        <v>-10</v>
      </c>
      <c r="I1649" s="5" t="str" cm="1">
        <f t="array" ref="I1649">sentimentCategory(H1649)</f>
        <v>Negative</v>
      </c>
    </row>
    <row r="1650" spans="1:9" x14ac:dyDescent="0.2">
      <c r="A1650" s="3">
        <v>46615.921492997688</v>
      </c>
      <c r="B1650" t="s">
        <v>1818</v>
      </c>
      <c r="C1650" t="s">
        <v>1819</v>
      </c>
      <c r="D1650" t="s">
        <v>203</v>
      </c>
      <c r="E1650">
        <v>1</v>
      </c>
      <c r="F1650">
        <v>15</v>
      </c>
      <c r="G1650" t="s">
        <v>2</v>
      </c>
      <c r="H1650" cm="1">
        <f t="array" ref="H1650">sentimentCalc(B1650)</f>
        <v>0</v>
      </c>
      <c r="I1650" s="5" t="str" cm="1">
        <f t="array" ref="I1650">sentimentCategory(H1650)</f>
        <v>Neutral</v>
      </c>
    </row>
    <row r="1651" spans="1:9" x14ac:dyDescent="0.2">
      <c r="A1651" s="3">
        <v>46616.921492997688</v>
      </c>
      <c r="B1651" t="s">
        <v>1820</v>
      </c>
      <c r="C1651" t="s">
        <v>1821</v>
      </c>
      <c r="D1651" t="s">
        <v>1822</v>
      </c>
      <c r="E1651">
        <v>0</v>
      </c>
      <c r="F1651">
        <v>0</v>
      </c>
      <c r="G1651" t="s">
        <v>2</v>
      </c>
      <c r="H1651" cm="1">
        <f t="array" ref="H1651">sentimentCalc(B1651)</f>
        <v>0</v>
      </c>
      <c r="I1651" s="5" t="str" cm="1">
        <f t="array" ref="I1651">sentimentCategory(H1651)</f>
        <v>Neutral</v>
      </c>
    </row>
    <row r="1652" spans="1:9" x14ac:dyDescent="0.2">
      <c r="A1652" s="3">
        <v>46617.921492997688</v>
      </c>
      <c r="B1652" t="s">
        <v>1823</v>
      </c>
      <c r="C1652" t="s">
        <v>134</v>
      </c>
      <c r="E1652">
        <v>0</v>
      </c>
      <c r="F1652">
        <v>0</v>
      </c>
      <c r="G1652" t="s">
        <v>2</v>
      </c>
      <c r="H1652" cm="1">
        <f t="array" ref="H1652">sentimentCalc(B1652)</f>
        <v>0</v>
      </c>
      <c r="I1652" s="5" t="str" cm="1">
        <f t="array" ref="I1652">sentimentCategory(H1652)</f>
        <v>Neutral</v>
      </c>
    </row>
    <row r="1653" spans="1:9" x14ac:dyDescent="0.2">
      <c r="A1653" s="3">
        <v>46618.921492997688</v>
      </c>
      <c r="B1653" t="s">
        <v>218</v>
      </c>
      <c r="C1653" t="s">
        <v>22</v>
      </c>
      <c r="E1653">
        <v>0</v>
      </c>
      <c r="F1653">
        <v>0</v>
      </c>
      <c r="G1653" t="s">
        <v>2</v>
      </c>
      <c r="H1653" cm="1">
        <f t="array" ref="H1653">sentimentCalc(B1653)</f>
        <v>0</v>
      </c>
      <c r="I1653" s="5" t="str" cm="1">
        <f t="array" ref="I1653">sentimentCategory(H1653)</f>
        <v>Neutral</v>
      </c>
    </row>
    <row r="1654" spans="1:9" x14ac:dyDescent="0.2">
      <c r="A1654" s="3">
        <v>46619.921492997688</v>
      </c>
      <c r="B1654" t="s">
        <v>838</v>
      </c>
      <c r="C1654" t="s">
        <v>1240</v>
      </c>
      <c r="E1654">
        <v>0</v>
      </c>
      <c r="F1654">
        <v>0</v>
      </c>
      <c r="G1654" t="s">
        <v>2</v>
      </c>
      <c r="H1654" cm="1">
        <f t="array" ref="H1654">sentimentCalc(B1654)</f>
        <v>0</v>
      </c>
      <c r="I1654" s="5" t="str" cm="1">
        <f t="array" ref="I1654">sentimentCategory(H1654)</f>
        <v>Neutral</v>
      </c>
    </row>
    <row r="1655" spans="1:9" x14ac:dyDescent="0.2">
      <c r="A1655" s="3">
        <v>46620.921492997688</v>
      </c>
      <c r="B1655" t="s">
        <v>1824</v>
      </c>
      <c r="C1655" t="s">
        <v>771</v>
      </c>
      <c r="D1655" t="s">
        <v>1825</v>
      </c>
      <c r="E1655">
        <v>0</v>
      </c>
      <c r="F1655">
        <v>2</v>
      </c>
      <c r="G1655" t="s">
        <v>2</v>
      </c>
      <c r="H1655" cm="1">
        <f t="array" ref="H1655">sentimentCalc(B1655)</f>
        <v>0</v>
      </c>
      <c r="I1655" s="5" t="str" cm="1">
        <f t="array" ref="I1655">sentimentCategory(H1655)</f>
        <v>Neutral</v>
      </c>
    </row>
    <row r="1656" spans="1:9" x14ac:dyDescent="0.2">
      <c r="A1656" s="3"/>
      <c r="H1656" cm="1">
        <f t="array" ref="H1656">sentimentCalc(B1656)</f>
        <v>0</v>
      </c>
      <c r="I1656" s="5" t="str" cm="1">
        <f t="array" ref="I1656">sentimentCategory(H1656)</f>
        <v>Neutral</v>
      </c>
    </row>
    <row r="1657" spans="1:9" x14ac:dyDescent="0.2">
      <c r="A1657" s="3"/>
      <c r="H1657" cm="1">
        <f t="array" ref="H1657">sentimentCalc(B1657)</f>
        <v>0</v>
      </c>
      <c r="I1657" s="5" t="str" cm="1">
        <f t="array" ref="I1657">sentimentCategory(H1657)</f>
        <v>Neutral</v>
      </c>
    </row>
    <row r="1658" spans="1:9" x14ac:dyDescent="0.2">
      <c r="A1658" s="3">
        <v>46623.921492997688</v>
      </c>
      <c r="B1658" t="s">
        <v>1827</v>
      </c>
      <c r="C1658" t="s">
        <v>33</v>
      </c>
      <c r="D1658" t="s">
        <v>34</v>
      </c>
      <c r="E1658">
        <v>0</v>
      </c>
      <c r="F1658">
        <v>0</v>
      </c>
      <c r="G1658" t="s">
        <v>2</v>
      </c>
      <c r="H1658" cm="1">
        <f t="array" ref="H1658">sentimentCalc(B1658)</f>
        <v>0</v>
      </c>
      <c r="I1658" s="5" t="str" cm="1">
        <f t="array" ref="I1658">sentimentCategory(H1658)</f>
        <v>Neutral</v>
      </c>
    </row>
    <row r="1659" spans="1:9" x14ac:dyDescent="0.2">
      <c r="A1659" s="3"/>
      <c r="H1659" cm="1">
        <f t="array" ref="H1659">sentimentCalc(B1659)</f>
        <v>0</v>
      </c>
      <c r="I1659" s="5" t="str" cm="1">
        <f t="array" ref="I1659">sentimentCategory(H1659)</f>
        <v>Neutral</v>
      </c>
    </row>
    <row r="1660" spans="1:9" x14ac:dyDescent="0.2">
      <c r="A1660" s="3">
        <v>46625.921492997688</v>
      </c>
      <c r="B1660" t="s">
        <v>1828</v>
      </c>
      <c r="C1660" t="s">
        <v>143</v>
      </c>
      <c r="D1660" t="s">
        <v>129</v>
      </c>
      <c r="E1660">
        <v>0</v>
      </c>
      <c r="F1660">
        <v>0</v>
      </c>
      <c r="G1660" t="s">
        <v>2</v>
      </c>
      <c r="H1660" cm="1">
        <f t="array" ref="H1660">sentimentCalc(B1660)</f>
        <v>0</v>
      </c>
      <c r="I1660" s="5" t="str" cm="1">
        <f t="array" ref="I1660">sentimentCategory(H1660)</f>
        <v>Neutral</v>
      </c>
    </row>
    <row r="1661" spans="1:9" x14ac:dyDescent="0.2">
      <c r="A1661" s="3">
        <v>46626.921492997688</v>
      </c>
      <c r="B1661" t="s">
        <v>966</v>
      </c>
      <c r="C1661" t="s">
        <v>12</v>
      </c>
      <c r="D1661" t="s">
        <v>13</v>
      </c>
      <c r="E1661">
        <v>0</v>
      </c>
      <c r="F1661">
        <v>0</v>
      </c>
      <c r="G1661" t="s">
        <v>2</v>
      </c>
      <c r="H1661" cm="1">
        <f t="array" ref="H1661">sentimentCalc(B1661)</f>
        <v>10</v>
      </c>
      <c r="I1661" s="5" t="str" cm="1">
        <f t="array" ref="I1661">sentimentCategory(H1661)</f>
        <v>Positive</v>
      </c>
    </row>
    <row r="1662" spans="1:9" x14ac:dyDescent="0.2">
      <c r="A1662" s="3"/>
      <c r="H1662" cm="1">
        <f t="array" ref="H1662">sentimentCalc(B1662)</f>
        <v>0</v>
      </c>
      <c r="I1662" s="5" t="str" cm="1">
        <f t="array" ref="I1662">sentimentCategory(H1662)</f>
        <v>Neutral</v>
      </c>
    </row>
    <row r="1663" spans="1:9" x14ac:dyDescent="0.2">
      <c r="A1663" s="3">
        <v>46628.921492997688</v>
      </c>
      <c r="B1663" t="s">
        <v>347</v>
      </c>
      <c r="C1663" t="s">
        <v>143</v>
      </c>
      <c r="D1663" t="s">
        <v>129</v>
      </c>
      <c r="E1663">
        <v>0</v>
      </c>
      <c r="F1663">
        <v>0</v>
      </c>
      <c r="G1663" t="s">
        <v>2</v>
      </c>
      <c r="H1663" cm="1">
        <f t="array" ref="H1663">sentimentCalc(B1663)</f>
        <v>-10</v>
      </c>
      <c r="I1663" s="5" t="str" cm="1">
        <f t="array" ref="I1663">sentimentCategory(H1663)</f>
        <v>Negative</v>
      </c>
    </row>
    <row r="1664" spans="1:9" x14ac:dyDescent="0.2">
      <c r="A1664" s="3">
        <v>46629.921492997688</v>
      </c>
      <c r="B1664" t="s">
        <v>1829</v>
      </c>
      <c r="C1664" t="s">
        <v>1830</v>
      </c>
      <c r="D1664" t="s">
        <v>1831</v>
      </c>
      <c r="E1664">
        <v>0</v>
      </c>
      <c r="F1664">
        <v>1</v>
      </c>
      <c r="G1664" t="s">
        <v>2</v>
      </c>
      <c r="H1664" cm="1">
        <f t="array" ref="H1664">sentimentCalc(B1664)</f>
        <v>10</v>
      </c>
      <c r="I1664" s="5" t="str" cm="1">
        <f t="array" ref="I1664">sentimentCategory(H1664)</f>
        <v>Positive</v>
      </c>
    </row>
    <row r="1665" spans="1:9" x14ac:dyDescent="0.2">
      <c r="A1665" s="3">
        <v>46630.921492997688</v>
      </c>
      <c r="B1665" t="s">
        <v>1832</v>
      </c>
      <c r="C1665" t="s">
        <v>128</v>
      </c>
      <c r="D1665" t="s">
        <v>129</v>
      </c>
      <c r="E1665">
        <v>0</v>
      </c>
      <c r="F1665">
        <v>0</v>
      </c>
      <c r="G1665" t="s">
        <v>2</v>
      </c>
      <c r="H1665" cm="1">
        <f t="array" ref="H1665">sentimentCalc(B1665)</f>
        <v>-10</v>
      </c>
      <c r="I1665" s="5" t="str" cm="1">
        <f t="array" ref="I1665">sentimentCategory(H1665)</f>
        <v>Negative</v>
      </c>
    </row>
    <row r="1666" spans="1:9" x14ac:dyDescent="0.2">
      <c r="A1666" s="3">
        <v>46631.921492997688</v>
      </c>
      <c r="B1666" t="s">
        <v>1833</v>
      </c>
      <c r="C1666" t="s">
        <v>1834</v>
      </c>
      <c r="D1666" t="s">
        <v>1835</v>
      </c>
      <c r="E1666">
        <v>0</v>
      </c>
      <c r="F1666">
        <v>4</v>
      </c>
      <c r="G1666" t="s">
        <v>2</v>
      </c>
      <c r="H1666" cm="1">
        <f t="array" ref="H1666">sentimentCalc(B1666)</f>
        <v>10</v>
      </c>
      <c r="I1666" s="5" t="str" cm="1">
        <f t="array" ref="I1666">sentimentCategory(H1666)</f>
        <v>Positive</v>
      </c>
    </row>
    <row r="1667" spans="1:9" x14ac:dyDescent="0.2">
      <c r="A1667" s="3">
        <v>46632.921492997688</v>
      </c>
      <c r="B1667" t="s">
        <v>816</v>
      </c>
      <c r="C1667" t="s">
        <v>128</v>
      </c>
      <c r="D1667" t="s">
        <v>129</v>
      </c>
      <c r="E1667">
        <v>0</v>
      </c>
      <c r="F1667">
        <v>0</v>
      </c>
      <c r="G1667" t="s">
        <v>2</v>
      </c>
      <c r="H1667" cm="1">
        <f t="array" ref="H1667">sentimentCalc(B1667)</f>
        <v>-10</v>
      </c>
      <c r="I1667" s="5" t="str" cm="1">
        <f t="array" ref="I1667">sentimentCategory(H1667)</f>
        <v>Negative</v>
      </c>
    </row>
    <row r="1668" spans="1:9" x14ac:dyDescent="0.2">
      <c r="A1668" s="3">
        <v>46633.921492997688</v>
      </c>
      <c r="B1668" t="s">
        <v>1836</v>
      </c>
      <c r="C1668" t="s">
        <v>1206</v>
      </c>
      <c r="D1668" t="s">
        <v>1207</v>
      </c>
      <c r="E1668">
        <v>0</v>
      </c>
      <c r="F1668">
        <v>0</v>
      </c>
      <c r="G1668" t="s">
        <v>2</v>
      </c>
      <c r="H1668" cm="1">
        <f t="array" ref="H1668">sentimentCalc(B1668)</f>
        <v>20</v>
      </c>
      <c r="I1668" s="5" t="str" cm="1">
        <f t="array" ref="I1668">sentimentCategory(H1668)</f>
        <v>Positive</v>
      </c>
    </row>
    <row r="1669" spans="1:9" x14ac:dyDescent="0.2">
      <c r="A1669" s="3">
        <v>46634.921492997688</v>
      </c>
      <c r="B1669" t="s">
        <v>3</v>
      </c>
      <c r="C1669" t="s">
        <v>4</v>
      </c>
      <c r="D1669" t="s">
        <v>5</v>
      </c>
      <c r="E1669">
        <v>0</v>
      </c>
      <c r="F1669">
        <v>0</v>
      </c>
      <c r="G1669" t="s">
        <v>2</v>
      </c>
      <c r="H1669" cm="1">
        <f t="array" ref="H1669">sentimentCalc(B1669)</f>
        <v>0</v>
      </c>
      <c r="I1669" s="5" t="str" cm="1">
        <f t="array" ref="I1669">sentimentCategory(H1669)</f>
        <v>Neutral</v>
      </c>
    </row>
    <row r="1670" spans="1:9" x14ac:dyDescent="0.2">
      <c r="A1670" s="3"/>
      <c r="H1670" cm="1">
        <f t="array" ref="H1670">sentimentCalc(B1670)</f>
        <v>0</v>
      </c>
      <c r="I1670" s="5" t="str" cm="1">
        <f t="array" ref="I1670">sentimentCategory(H1670)</f>
        <v>Neutral</v>
      </c>
    </row>
    <row r="1671" spans="1:9" x14ac:dyDescent="0.2">
      <c r="A1671" s="3">
        <v>46636.921492997688</v>
      </c>
      <c r="B1671" t="s">
        <v>398</v>
      </c>
      <c r="C1671" t="s">
        <v>128</v>
      </c>
      <c r="D1671" t="s">
        <v>129</v>
      </c>
      <c r="E1671">
        <v>0</v>
      </c>
      <c r="F1671">
        <v>0</v>
      </c>
      <c r="G1671" t="s">
        <v>2</v>
      </c>
      <c r="H1671" cm="1">
        <f t="array" ref="H1671">sentimentCalc(B1671)</f>
        <v>0</v>
      </c>
      <c r="I1671" s="5" t="str" cm="1">
        <f t="array" ref="I1671">sentimentCategory(H1671)</f>
        <v>Neutral</v>
      </c>
    </row>
    <row r="1672" spans="1:9" x14ac:dyDescent="0.2">
      <c r="A1672" s="3">
        <v>46637.921492997688</v>
      </c>
      <c r="B1672" t="s">
        <v>1837</v>
      </c>
      <c r="C1672" t="s">
        <v>286</v>
      </c>
      <c r="E1672">
        <v>0</v>
      </c>
      <c r="F1672">
        <v>0</v>
      </c>
      <c r="G1672" t="s">
        <v>2</v>
      </c>
      <c r="H1672" cm="1">
        <f t="array" ref="H1672">sentimentCalc(B1672)</f>
        <v>0</v>
      </c>
      <c r="I1672" s="5" t="str" cm="1">
        <f t="array" ref="I1672">sentimentCategory(H1672)</f>
        <v>Neutral</v>
      </c>
    </row>
    <row r="1673" spans="1:9" x14ac:dyDescent="0.2">
      <c r="A1673" s="3">
        <v>46638.921492997688</v>
      </c>
      <c r="B1673" t="s">
        <v>1838</v>
      </c>
      <c r="C1673" t="s">
        <v>286</v>
      </c>
      <c r="E1673">
        <v>1</v>
      </c>
      <c r="F1673">
        <v>1</v>
      </c>
      <c r="G1673" t="s">
        <v>2</v>
      </c>
      <c r="H1673" cm="1">
        <f t="array" ref="H1673">sentimentCalc(B1673)</f>
        <v>0</v>
      </c>
      <c r="I1673" s="5" t="str" cm="1">
        <f t="array" ref="I1673">sentimentCategory(H1673)</f>
        <v>Neutral</v>
      </c>
    </row>
    <row r="1674" spans="1:9" x14ac:dyDescent="0.2">
      <c r="A1674" s="3">
        <v>46639.921492997688</v>
      </c>
      <c r="B1674" t="s">
        <v>1839</v>
      </c>
      <c r="C1674" t="s">
        <v>286</v>
      </c>
      <c r="E1674">
        <v>0</v>
      </c>
      <c r="F1674">
        <v>0</v>
      </c>
      <c r="G1674" t="s">
        <v>2</v>
      </c>
      <c r="H1674" cm="1">
        <f t="array" ref="H1674">sentimentCalc(B1674)</f>
        <v>0</v>
      </c>
      <c r="I1674" s="5" t="str" cm="1">
        <f t="array" ref="I1674">sentimentCategory(H1674)</f>
        <v>Neutral</v>
      </c>
    </row>
    <row r="1675" spans="1:9" x14ac:dyDescent="0.2">
      <c r="A1675" s="3"/>
      <c r="H1675" cm="1">
        <f t="array" ref="H1675">sentimentCalc(B1675)</f>
        <v>0</v>
      </c>
      <c r="I1675" s="5" t="str" cm="1">
        <f t="array" ref="I1675">sentimentCategory(H1675)</f>
        <v>Neutral</v>
      </c>
    </row>
    <row r="1676" spans="1:9" x14ac:dyDescent="0.2">
      <c r="A1676" s="3">
        <v>46641.921492997688</v>
      </c>
      <c r="B1676" t="s">
        <v>1255</v>
      </c>
      <c r="C1676" t="s">
        <v>143</v>
      </c>
      <c r="D1676" t="s">
        <v>129</v>
      </c>
      <c r="E1676">
        <v>0</v>
      </c>
      <c r="F1676">
        <v>0</v>
      </c>
      <c r="G1676" t="s">
        <v>2</v>
      </c>
      <c r="H1676" cm="1">
        <f t="array" ref="H1676">sentimentCalc(B1676)</f>
        <v>-10</v>
      </c>
      <c r="I1676" s="5" t="str" cm="1">
        <f t="array" ref="I1676">sentimentCategory(H1676)</f>
        <v>Negative</v>
      </c>
    </row>
    <row r="1677" spans="1:9" x14ac:dyDescent="0.2">
      <c r="A1677" s="3"/>
      <c r="H1677" cm="1">
        <f t="array" ref="H1677">sentimentCalc(B1677)</f>
        <v>0</v>
      </c>
      <c r="I1677" s="5" t="str" cm="1">
        <f t="array" ref="I1677">sentimentCategory(H1677)</f>
        <v>Neutral</v>
      </c>
    </row>
    <row r="1678" spans="1:9" x14ac:dyDescent="0.2">
      <c r="A1678" s="3">
        <v>46643.921492997688</v>
      </c>
      <c r="B1678" t="s">
        <v>192</v>
      </c>
      <c r="C1678" t="s">
        <v>128</v>
      </c>
      <c r="D1678" t="s">
        <v>129</v>
      </c>
      <c r="E1678">
        <v>0</v>
      </c>
      <c r="F1678">
        <v>0</v>
      </c>
      <c r="G1678" t="s">
        <v>2</v>
      </c>
      <c r="H1678" cm="1">
        <f t="array" ref="H1678">sentimentCalc(B1678)</f>
        <v>-10</v>
      </c>
      <c r="I1678" s="5" t="str" cm="1">
        <f t="array" ref="I1678">sentimentCategory(H1678)</f>
        <v>Negative</v>
      </c>
    </row>
    <row r="1679" spans="1:9" x14ac:dyDescent="0.2">
      <c r="A1679" s="3">
        <v>46644.921492997688</v>
      </c>
      <c r="B1679" t="s">
        <v>36</v>
      </c>
      <c r="C1679" t="s">
        <v>33</v>
      </c>
      <c r="D1679" t="s">
        <v>34</v>
      </c>
      <c r="E1679">
        <v>0</v>
      </c>
      <c r="F1679">
        <v>0</v>
      </c>
      <c r="G1679" t="s">
        <v>2</v>
      </c>
      <c r="H1679" cm="1">
        <f t="array" ref="H1679">sentimentCalc(B1679)</f>
        <v>10</v>
      </c>
      <c r="I1679" s="5" t="str" cm="1">
        <f t="array" ref="I1679">sentimentCategory(H1679)</f>
        <v>Positive</v>
      </c>
    </row>
    <row r="1680" spans="1:9" x14ac:dyDescent="0.2">
      <c r="A1680" s="3">
        <v>46645.921492997688</v>
      </c>
      <c r="B1680" t="s">
        <v>37</v>
      </c>
      <c r="C1680" t="s">
        <v>33</v>
      </c>
      <c r="D1680" t="s">
        <v>34</v>
      </c>
      <c r="E1680">
        <v>0</v>
      </c>
      <c r="F1680">
        <v>0</v>
      </c>
      <c r="G1680" t="s">
        <v>2</v>
      </c>
      <c r="H1680" cm="1">
        <f t="array" ref="H1680">sentimentCalc(B1680)</f>
        <v>0</v>
      </c>
      <c r="I1680" s="5" t="str" cm="1">
        <f t="array" ref="I1680">sentimentCategory(H1680)</f>
        <v>Neutral</v>
      </c>
    </row>
    <row r="1681" spans="1:9" x14ac:dyDescent="0.2">
      <c r="A1681" s="3">
        <v>46646.921492997688</v>
      </c>
      <c r="B1681" t="s">
        <v>1840</v>
      </c>
      <c r="C1681" t="s">
        <v>33</v>
      </c>
      <c r="D1681" t="s">
        <v>34</v>
      </c>
      <c r="E1681">
        <v>0</v>
      </c>
      <c r="F1681">
        <v>0</v>
      </c>
      <c r="G1681" t="s">
        <v>2</v>
      </c>
      <c r="H1681" cm="1">
        <f t="array" ref="H1681">sentimentCalc(B1681)</f>
        <v>0</v>
      </c>
      <c r="I1681" s="5" t="str" cm="1">
        <f t="array" ref="I1681">sentimentCategory(H1681)</f>
        <v>Neutral</v>
      </c>
    </row>
    <row r="1682" spans="1:9" x14ac:dyDescent="0.2">
      <c r="A1682" s="3">
        <v>46647.921492997688</v>
      </c>
      <c r="B1682" t="s">
        <v>35</v>
      </c>
      <c r="C1682" t="s">
        <v>33</v>
      </c>
      <c r="D1682" t="s">
        <v>34</v>
      </c>
      <c r="E1682">
        <v>0</v>
      </c>
      <c r="F1682">
        <v>0</v>
      </c>
      <c r="G1682" t="s">
        <v>2</v>
      </c>
      <c r="H1682" cm="1">
        <f t="array" ref="H1682">sentimentCalc(B1682)</f>
        <v>0</v>
      </c>
      <c r="I1682" s="5" t="str" cm="1">
        <f t="array" ref="I1682">sentimentCategory(H1682)</f>
        <v>Neutral</v>
      </c>
    </row>
    <row r="1683" spans="1:9" x14ac:dyDescent="0.2">
      <c r="A1683" s="3">
        <v>46648.921492997688</v>
      </c>
      <c r="B1683" t="s">
        <v>1841</v>
      </c>
      <c r="C1683" t="s">
        <v>1842</v>
      </c>
      <c r="E1683">
        <v>0</v>
      </c>
      <c r="F1683">
        <v>1</v>
      </c>
      <c r="G1683" t="s">
        <v>2</v>
      </c>
      <c r="H1683" cm="1">
        <f t="array" ref="H1683">sentimentCalc(B1683)</f>
        <v>10</v>
      </c>
      <c r="I1683" s="5" t="str" cm="1">
        <f t="array" ref="I1683">sentimentCategory(H1683)</f>
        <v>Positive</v>
      </c>
    </row>
    <row r="1684" spans="1:9" x14ac:dyDescent="0.2">
      <c r="A1684" s="3">
        <v>46649.921492997688</v>
      </c>
      <c r="B1684" t="s">
        <v>1843</v>
      </c>
      <c r="C1684" t="s">
        <v>1844</v>
      </c>
      <c r="D1684" t="s">
        <v>278</v>
      </c>
      <c r="E1684">
        <v>0</v>
      </c>
      <c r="F1684">
        <v>0</v>
      </c>
      <c r="G1684" t="s">
        <v>2</v>
      </c>
      <c r="H1684" cm="1">
        <f t="array" ref="H1684">sentimentCalc(B1684)</f>
        <v>0</v>
      </c>
      <c r="I1684" s="5" t="str" cm="1">
        <f t="array" ref="I1684">sentimentCategory(H1684)</f>
        <v>Neutral</v>
      </c>
    </row>
    <row r="1685" spans="1:9" x14ac:dyDescent="0.2">
      <c r="A1685" s="3">
        <v>46650.921492997688</v>
      </c>
      <c r="B1685" t="s">
        <v>1845</v>
      </c>
      <c r="C1685" t="s">
        <v>620</v>
      </c>
      <c r="D1685" t="s">
        <v>491</v>
      </c>
      <c r="E1685">
        <v>0</v>
      </c>
      <c r="F1685">
        <v>1</v>
      </c>
      <c r="G1685" t="s">
        <v>2</v>
      </c>
      <c r="H1685" cm="1">
        <f t="array" ref="H1685">sentimentCalc(B1685)</f>
        <v>10</v>
      </c>
      <c r="I1685" s="5" t="str" cm="1">
        <f t="array" ref="I1685">sentimentCategory(H1685)</f>
        <v>Positive</v>
      </c>
    </row>
    <row r="1686" spans="1:9" x14ac:dyDescent="0.2">
      <c r="A1686" s="3">
        <v>46651.921492997688</v>
      </c>
      <c r="B1686" t="s">
        <v>1846</v>
      </c>
      <c r="C1686" t="s">
        <v>1847</v>
      </c>
      <c r="D1686" t="s">
        <v>55</v>
      </c>
      <c r="E1686">
        <v>0</v>
      </c>
      <c r="F1686">
        <v>0</v>
      </c>
      <c r="G1686" t="s">
        <v>2</v>
      </c>
      <c r="H1686" cm="1">
        <f t="array" ref="H1686">sentimentCalc(B1686)</f>
        <v>0</v>
      </c>
      <c r="I1686" s="5" t="str" cm="1">
        <f t="array" ref="I1686">sentimentCategory(H1686)</f>
        <v>Neutral</v>
      </c>
    </row>
    <row r="1687" spans="1:9" x14ac:dyDescent="0.2">
      <c r="A1687" s="3">
        <v>46652.921492997688</v>
      </c>
      <c r="B1687" t="s">
        <v>1848</v>
      </c>
      <c r="C1687" t="s">
        <v>164</v>
      </c>
      <c r="E1687">
        <v>0</v>
      </c>
      <c r="F1687">
        <v>0</v>
      </c>
      <c r="G1687" t="s">
        <v>2</v>
      </c>
      <c r="H1687" cm="1">
        <f t="array" ref="H1687">sentimentCalc(B1687)</f>
        <v>0</v>
      </c>
      <c r="I1687" s="5" t="str" cm="1">
        <f t="array" ref="I1687">sentimentCategory(H1687)</f>
        <v>Neutral</v>
      </c>
    </row>
    <row r="1688" spans="1:9" x14ac:dyDescent="0.2">
      <c r="A1688" s="3">
        <v>46653.921492997688</v>
      </c>
      <c r="B1688" t="s">
        <v>1849</v>
      </c>
      <c r="C1688" t="s">
        <v>1453</v>
      </c>
      <c r="D1688" t="s">
        <v>1850</v>
      </c>
      <c r="E1688">
        <v>0</v>
      </c>
      <c r="F1688">
        <v>0</v>
      </c>
      <c r="G1688" t="s">
        <v>2</v>
      </c>
      <c r="H1688" cm="1">
        <f t="array" ref="H1688">sentimentCalc(B1688)</f>
        <v>0</v>
      </c>
      <c r="I1688" s="5" t="str" cm="1">
        <f t="array" ref="I1688">sentimentCategory(H1688)</f>
        <v>Neutral</v>
      </c>
    </row>
    <row r="1689" spans="1:9" x14ac:dyDescent="0.2">
      <c r="A1689" s="3">
        <v>46654.921492997688</v>
      </c>
      <c r="B1689" t="s">
        <v>1836</v>
      </c>
      <c r="C1689" t="s">
        <v>1332</v>
      </c>
      <c r="D1689" t="s">
        <v>1333</v>
      </c>
      <c r="E1689">
        <v>0</v>
      </c>
      <c r="F1689">
        <v>0</v>
      </c>
      <c r="G1689" t="s">
        <v>2</v>
      </c>
      <c r="H1689" cm="1">
        <f t="array" ref="H1689">sentimentCalc(B1689)</f>
        <v>20</v>
      </c>
      <c r="I1689" s="5" t="str" cm="1">
        <f t="array" ref="I1689">sentimentCategory(H1689)</f>
        <v>Positive</v>
      </c>
    </row>
    <row r="1690" spans="1:9" x14ac:dyDescent="0.2">
      <c r="A1690" s="3">
        <v>46655.921492997688</v>
      </c>
      <c r="B1690" t="s">
        <v>1851</v>
      </c>
      <c r="C1690" t="s">
        <v>1043</v>
      </c>
      <c r="E1690">
        <v>0</v>
      </c>
      <c r="F1690">
        <v>1</v>
      </c>
      <c r="G1690" t="s">
        <v>2</v>
      </c>
      <c r="H1690" cm="1">
        <f t="array" ref="H1690">sentimentCalc(B1690)</f>
        <v>0</v>
      </c>
      <c r="I1690" s="5" t="str" cm="1">
        <f t="array" ref="I1690">sentimentCategory(H1690)</f>
        <v>Neutral</v>
      </c>
    </row>
    <row r="1691" spans="1:9" x14ac:dyDescent="0.2">
      <c r="A1691" s="3">
        <v>46656.921492997688</v>
      </c>
      <c r="B1691" t="s">
        <v>1852</v>
      </c>
      <c r="C1691" t="s">
        <v>1143</v>
      </c>
      <c r="E1691">
        <v>0</v>
      </c>
      <c r="F1691">
        <v>1</v>
      </c>
      <c r="G1691" t="s">
        <v>2</v>
      </c>
      <c r="H1691" cm="1">
        <f t="array" ref="H1691">sentimentCalc(B1691)</f>
        <v>-10</v>
      </c>
      <c r="I1691" s="5" t="str" cm="1">
        <f t="array" ref="I1691">sentimentCategory(H1691)</f>
        <v>Negative</v>
      </c>
    </row>
    <row r="1692" spans="1:9" x14ac:dyDescent="0.2">
      <c r="A1692" s="3">
        <v>46657.921492997688</v>
      </c>
      <c r="B1692" t="s">
        <v>1853</v>
      </c>
      <c r="C1692" t="s">
        <v>986</v>
      </c>
      <c r="D1692" t="s">
        <v>1854</v>
      </c>
      <c r="E1692">
        <v>0</v>
      </c>
      <c r="F1692">
        <v>0</v>
      </c>
      <c r="G1692" t="s">
        <v>2</v>
      </c>
      <c r="H1692" cm="1">
        <f t="array" ref="H1692">sentimentCalc(B1692)</f>
        <v>10</v>
      </c>
      <c r="I1692" s="5" t="str" cm="1">
        <f t="array" ref="I1692">sentimentCategory(H1692)</f>
        <v>Positive</v>
      </c>
    </row>
    <row r="1693" spans="1:9" x14ac:dyDescent="0.2">
      <c r="A1693" s="3">
        <v>46658.921492997688</v>
      </c>
      <c r="B1693" t="s">
        <v>811</v>
      </c>
      <c r="C1693" t="s">
        <v>128</v>
      </c>
      <c r="D1693" t="s">
        <v>129</v>
      </c>
      <c r="E1693">
        <v>0</v>
      </c>
      <c r="F1693">
        <v>0</v>
      </c>
      <c r="G1693" t="s">
        <v>2</v>
      </c>
      <c r="H1693" cm="1">
        <f t="array" ref="H1693">sentimentCalc(B1693)</f>
        <v>-10</v>
      </c>
      <c r="I1693" s="5" t="str" cm="1">
        <f t="array" ref="I1693">sentimentCategory(H1693)</f>
        <v>Negative</v>
      </c>
    </row>
    <row r="1694" spans="1:9" x14ac:dyDescent="0.2">
      <c r="A1694" s="3"/>
      <c r="H1694" cm="1">
        <f t="array" ref="H1694">sentimentCalc(B1694)</f>
        <v>0</v>
      </c>
      <c r="I1694" s="5" t="str" cm="1">
        <f t="array" ref="I1694">sentimentCategory(H1694)</f>
        <v>Neutral</v>
      </c>
    </row>
    <row r="1695" spans="1:9" x14ac:dyDescent="0.2">
      <c r="A1695" s="3">
        <v>46660.921492997688</v>
      </c>
      <c r="B1695" t="s">
        <v>325</v>
      </c>
      <c r="C1695" t="s">
        <v>128</v>
      </c>
      <c r="D1695" t="s">
        <v>129</v>
      </c>
      <c r="E1695">
        <v>0</v>
      </c>
      <c r="F1695">
        <v>0</v>
      </c>
      <c r="G1695" t="s">
        <v>2</v>
      </c>
      <c r="H1695" cm="1">
        <f t="array" ref="H1695">sentimentCalc(B1695)</f>
        <v>-10</v>
      </c>
      <c r="I1695" s="5" t="str" cm="1">
        <f t="array" ref="I1695">sentimentCategory(H1695)</f>
        <v>Negative</v>
      </c>
    </row>
    <row r="1696" spans="1:9" x14ac:dyDescent="0.2">
      <c r="A1696" s="3"/>
      <c r="H1696" cm="1">
        <f t="array" ref="H1696">sentimentCalc(B1696)</f>
        <v>0</v>
      </c>
      <c r="I1696" s="5" t="str" cm="1">
        <f t="array" ref="I1696">sentimentCategory(H1696)</f>
        <v>Neutral</v>
      </c>
    </row>
    <row r="1697" spans="1:9" x14ac:dyDescent="0.2">
      <c r="A1697" s="3">
        <v>46662.921492997688</v>
      </c>
      <c r="B1697" t="s">
        <v>397</v>
      </c>
      <c r="C1697" t="s">
        <v>143</v>
      </c>
      <c r="D1697" t="s">
        <v>129</v>
      </c>
      <c r="E1697">
        <v>0</v>
      </c>
      <c r="F1697">
        <v>0</v>
      </c>
      <c r="G1697" t="s">
        <v>2</v>
      </c>
      <c r="H1697" cm="1">
        <f t="array" ref="H1697">sentimentCalc(B1697)</f>
        <v>-10</v>
      </c>
      <c r="I1697" s="5" t="str" cm="1">
        <f t="array" ref="I1697">sentimentCategory(H1697)</f>
        <v>Negative</v>
      </c>
    </row>
    <row r="1698" spans="1:9" x14ac:dyDescent="0.2">
      <c r="A1698" s="3">
        <v>46663.921492997688</v>
      </c>
      <c r="B1698" t="s">
        <v>1855</v>
      </c>
      <c r="C1698" t="s">
        <v>1856</v>
      </c>
      <c r="E1698">
        <v>0</v>
      </c>
      <c r="F1698">
        <v>2</v>
      </c>
      <c r="G1698" t="s">
        <v>2</v>
      </c>
      <c r="H1698" cm="1">
        <f t="array" ref="H1698">sentimentCalc(B1698)</f>
        <v>0</v>
      </c>
      <c r="I1698" s="5" t="str" cm="1">
        <f t="array" ref="I1698">sentimentCategory(H1698)</f>
        <v>Neutral</v>
      </c>
    </row>
    <row r="1699" spans="1:9" x14ac:dyDescent="0.2">
      <c r="A1699" s="3"/>
      <c r="H1699" cm="1">
        <f t="array" ref="H1699">sentimentCalc(B1699)</f>
        <v>0</v>
      </c>
      <c r="I1699" s="5" t="str" cm="1">
        <f t="array" ref="I1699">sentimentCategory(H1699)</f>
        <v>Neutral</v>
      </c>
    </row>
    <row r="1700" spans="1:9" x14ac:dyDescent="0.2">
      <c r="A1700" s="3">
        <v>46665.921492997688</v>
      </c>
      <c r="B1700" t="s">
        <v>1858</v>
      </c>
      <c r="C1700" t="s">
        <v>1686</v>
      </c>
      <c r="E1700">
        <v>0</v>
      </c>
      <c r="F1700">
        <v>0</v>
      </c>
      <c r="G1700" t="s">
        <v>2</v>
      </c>
      <c r="H1700" cm="1">
        <f t="array" ref="H1700">sentimentCalc(B1700)</f>
        <v>0</v>
      </c>
      <c r="I1700" s="5" t="str" cm="1">
        <f t="array" ref="I1700">sentimentCategory(H1700)</f>
        <v>Neutral</v>
      </c>
    </row>
    <row r="1701" spans="1:9" x14ac:dyDescent="0.2">
      <c r="A1701" s="3">
        <v>46666.921492997688</v>
      </c>
      <c r="B1701" t="s">
        <v>3</v>
      </c>
      <c r="C1701" t="s">
        <v>4</v>
      </c>
      <c r="D1701" t="s">
        <v>5</v>
      </c>
      <c r="E1701">
        <v>0</v>
      </c>
      <c r="F1701">
        <v>0</v>
      </c>
      <c r="G1701" t="s">
        <v>2</v>
      </c>
      <c r="H1701" cm="1">
        <f t="array" ref="H1701">sentimentCalc(B1701)</f>
        <v>0</v>
      </c>
      <c r="I1701" s="5" t="str" cm="1">
        <f t="array" ref="I1701">sentimentCategory(H1701)</f>
        <v>Neutral</v>
      </c>
    </row>
    <row r="1702" spans="1:9" x14ac:dyDescent="0.2">
      <c r="A1702" s="3">
        <v>46667.921492997688</v>
      </c>
      <c r="B1702" t="s">
        <v>1859</v>
      </c>
      <c r="C1702" t="s">
        <v>1291</v>
      </c>
      <c r="D1702" t="s">
        <v>1860</v>
      </c>
      <c r="E1702">
        <v>0</v>
      </c>
      <c r="F1702">
        <v>0</v>
      </c>
      <c r="G1702" t="s">
        <v>2</v>
      </c>
      <c r="H1702" cm="1">
        <f t="array" ref="H1702">sentimentCalc(B1702)</f>
        <v>0</v>
      </c>
      <c r="I1702" s="5" t="str" cm="1">
        <f t="array" ref="I1702">sentimentCategory(H1702)</f>
        <v>Neutral</v>
      </c>
    </row>
    <row r="1703" spans="1:9" x14ac:dyDescent="0.2">
      <c r="A1703" s="3">
        <v>46668.921492997688</v>
      </c>
      <c r="B1703" t="s">
        <v>1861</v>
      </c>
      <c r="C1703" t="s">
        <v>1862</v>
      </c>
      <c r="E1703">
        <v>0</v>
      </c>
      <c r="F1703">
        <v>0</v>
      </c>
      <c r="G1703" t="s">
        <v>2</v>
      </c>
      <c r="H1703" cm="1">
        <f t="array" ref="H1703">sentimentCalc(B1703)</f>
        <v>10</v>
      </c>
      <c r="I1703" s="5" t="str" cm="1">
        <f t="array" ref="I1703">sentimentCategory(H1703)</f>
        <v>Positive</v>
      </c>
    </row>
    <row r="1704" spans="1:9" x14ac:dyDescent="0.2">
      <c r="A1704" s="3">
        <v>46669.921492997688</v>
      </c>
      <c r="B1704" t="s">
        <v>1863</v>
      </c>
      <c r="C1704" t="s">
        <v>1864</v>
      </c>
      <c r="E1704">
        <v>0</v>
      </c>
      <c r="F1704">
        <v>0</v>
      </c>
      <c r="G1704" t="s">
        <v>2</v>
      </c>
      <c r="H1704" cm="1">
        <f t="array" ref="H1704">sentimentCalc(B1704)</f>
        <v>0</v>
      </c>
      <c r="I1704" s="5" t="str" cm="1">
        <f t="array" ref="I1704">sentimentCategory(H1704)</f>
        <v>Neutral</v>
      </c>
    </row>
    <row r="1705" spans="1:9" x14ac:dyDescent="0.2">
      <c r="A1705" s="3">
        <v>46670.921492997688</v>
      </c>
      <c r="B1705" t="s">
        <v>21</v>
      </c>
      <c r="C1705" t="s">
        <v>22</v>
      </c>
      <c r="E1705">
        <v>0</v>
      </c>
      <c r="F1705">
        <v>0</v>
      </c>
      <c r="G1705" t="s">
        <v>2</v>
      </c>
      <c r="H1705" cm="1">
        <f t="array" ref="H1705">sentimentCalc(B1705)</f>
        <v>0</v>
      </c>
      <c r="I1705" s="5" t="str" cm="1">
        <f t="array" ref="I1705">sentimentCategory(H1705)</f>
        <v>Neutral</v>
      </c>
    </row>
    <row r="1706" spans="1:9" x14ac:dyDescent="0.2">
      <c r="A1706" s="3">
        <v>46671.921492997688</v>
      </c>
      <c r="B1706" t="s">
        <v>1865</v>
      </c>
      <c r="C1706" t="s">
        <v>1866</v>
      </c>
      <c r="D1706" t="s">
        <v>1867</v>
      </c>
      <c r="E1706">
        <v>0</v>
      </c>
      <c r="F1706">
        <v>2</v>
      </c>
      <c r="G1706" t="s">
        <v>2</v>
      </c>
      <c r="H1706" cm="1">
        <f t="array" ref="H1706">sentimentCalc(B1706)</f>
        <v>0</v>
      </c>
      <c r="I1706" s="5" t="str" cm="1">
        <f t="array" ref="I1706">sentimentCategory(H1706)</f>
        <v>Neutral</v>
      </c>
    </row>
    <row r="1707" spans="1:9" x14ac:dyDescent="0.2">
      <c r="A1707" s="3">
        <v>46672.921492997688</v>
      </c>
      <c r="B1707" t="s">
        <v>1868</v>
      </c>
      <c r="C1707" t="s">
        <v>608</v>
      </c>
      <c r="D1707" t="s">
        <v>1869</v>
      </c>
      <c r="E1707">
        <v>0</v>
      </c>
      <c r="F1707">
        <v>1</v>
      </c>
      <c r="G1707" t="s">
        <v>2</v>
      </c>
      <c r="H1707" cm="1">
        <f t="array" ref="H1707">sentimentCalc(B1707)</f>
        <v>0</v>
      </c>
      <c r="I1707" s="5" t="str" cm="1">
        <f t="array" ref="I1707">sentimentCategory(H1707)</f>
        <v>Neutral</v>
      </c>
    </row>
    <row r="1708" spans="1:9" x14ac:dyDescent="0.2">
      <c r="A1708" s="3">
        <v>46673.921492997688</v>
      </c>
      <c r="B1708" t="s">
        <v>1870</v>
      </c>
      <c r="C1708" t="s">
        <v>1871</v>
      </c>
      <c r="E1708">
        <v>0</v>
      </c>
      <c r="F1708">
        <v>0</v>
      </c>
      <c r="G1708" t="s">
        <v>2</v>
      </c>
      <c r="H1708" cm="1">
        <f t="array" ref="H1708">sentimentCalc(B1708)</f>
        <v>-10</v>
      </c>
      <c r="I1708" s="5" t="str" cm="1">
        <f t="array" ref="I1708">sentimentCategory(H1708)</f>
        <v>Negative</v>
      </c>
    </row>
    <row r="1709" spans="1:9" x14ac:dyDescent="0.2">
      <c r="A1709" s="3">
        <v>46674.921492997688</v>
      </c>
      <c r="B1709" t="s">
        <v>1872</v>
      </c>
      <c r="C1709" t="s">
        <v>1862</v>
      </c>
      <c r="E1709">
        <v>0</v>
      </c>
      <c r="F1709">
        <v>1</v>
      </c>
      <c r="G1709" t="s">
        <v>2</v>
      </c>
      <c r="H1709" cm="1">
        <f t="array" ref="H1709">sentimentCalc(B1709)</f>
        <v>0</v>
      </c>
      <c r="I1709" s="5" t="str" cm="1">
        <f t="array" ref="I1709">sentimentCategory(H1709)</f>
        <v>Neutral</v>
      </c>
    </row>
    <row r="1710" spans="1:9" x14ac:dyDescent="0.2">
      <c r="A1710" s="3">
        <v>46675.921492997688</v>
      </c>
      <c r="B1710" t="s">
        <v>1873</v>
      </c>
      <c r="C1710" t="s">
        <v>33</v>
      </c>
      <c r="D1710" t="s">
        <v>34</v>
      </c>
      <c r="E1710">
        <v>0</v>
      </c>
      <c r="F1710">
        <v>0</v>
      </c>
      <c r="G1710" t="s">
        <v>2</v>
      </c>
      <c r="H1710" cm="1">
        <f t="array" ref="H1710">sentimentCalc(B1710)</f>
        <v>0</v>
      </c>
      <c r="I1710" s="5" t="str" cm="1">
        <f t="array" ref="I1710">sentimentCategory(H1710)</f>
        <v>Neutral</v>
      </c>
    </row>
    <row r="1711" spans="1:9" x14ac:dyDescent="0.2">
      <c r="A1711" s="3">
        <v>46676.921492997688</v>
      </c>
      <c r="B1711" t="s">
        <v>37</v>
      </c>
      <c r="C1711" t="s">
        <v>33</v>
      </c>
      <c r="D1711" t="s">
        <v>34</v>
      </c>
      <c r="E1711">
        <v>0</v>
      </c>
      <c r="F1711">
        <v>0</v>
      </c>
      <c r="G1711" t="s">
        <v>2</v>
      </c>
      <c r="H1711" cm="1">
        <f t="array" ref="H1711">sentimentCalc(B1711)</f>
        <v>0</v>
      </c>
      <c r="I1711" s="5" t="str" cm="1">
        <f t="array" ref="I1711">sentimentCategory(H1711)</f>
        <v>Neutral</v>
      </c>
    </row>
    <row r="1712" spans="1:9" x14ac:dyDescent="0.2">
      <c r="A1712" s="3">
        <v>46677.921492997688</v>
      </c>
      <c r="B1712" t="s">
        <v>36</v>
      </c>
      <c r="C1712" t="s">
        <v>33</v>
      </c>
      <c r="D1712" t="s">
        <v>34</v>
      </c>
      <c r="E1712">
        <v>0</v>
      </c>
      <c r="F1712">
        <v>0</v>
      </c>
      <c r="G1712" t="s">
        <v>2</v>
      </c>
      <c r="H1712" cm="1">
        <f t="array" ref="H1712">sentimentCalc(B1712)</f>
        <v>10</v>
      </c>
      <c r="I1712" s="5" t="str" cm="1">
        <f t="array" ref="I1712">sentimentCategory(H1712)</f>
        <v>Positive</v>
      </c>
    </row>
    <row r="1713" spans="1:9" x14ac:dyDescent="0.2">
      <c r="A1713" s="3">
        <v>46678.921492997688</v>
      </c>
      <c r="B1713" t="s">
        <v>35</v>
      </c>
      <c r="C1713" t="s">
        <v>33</v>
      </c>
      <c r="D1713" t="s">
        <v>34</v>
      </c>
      <c r="E1713">
        <v>0</v>
      </c>
      <c r="F1713">
        <v>0</v>
      </c>
      <c r="G1713" t="s">
        <v>2</v>
      </c>
      <c r="H1713" cm="1">
        <f t="array" ref="H1713">sentimentCalc(B1713)</f>
        <v>0</v>
      </c>
      <c r="I1713" s="5" t="str" cm="1">
        <f t="array" ref="I1713">sentimentCategory(H1713)</f>
        <v>Neutral</v>
      </c>
    </row>
    <row r="1714" spans="1:9" x14ac:dyDescent="0.2">
      <c r="A1714" s="3">
        <v>46679.921492997688</v>
      </c>
      <c r="B1714" t="s">
        <v>1874</v>
      </c>
      <c r="C1714" t="s">
        <v>1875</v>
      </c>
      <c r="D1714" t="s">
        <v>189</v>
      </c>
      <c r="E1714">
        <v>0</v>
      </c>
      <c r="F1714">
        <v>4</v>
      </c>
      <c r="G1714" t="s">
        <v>2</v>
      </c>
      <c r="H1714" cm="1">
        <f t="array" ref="H1714">sentimentCalc(B1714)</f>
        <v>10</v>
      </c>
      <c r="I1714" s="5" t="str" cm="1">
        <f t="array" ref="I1714">sentimentCategory(H1714)</f>
        <v>Positive</v>
      </c>
    </row>
    <row r="1715" spans="1:9" x14ac:dyDescent="0.2">
      <c r="A1715" s="3">
        <v>46680.921492997688</v>
      </c>
      <c r="B1715" t="s">
        <v>1876</v>
      </c>
      <c r="C1715" t="s">
        <v>1877</v>
      </c>
      <c r="E1715">
        <v>0</v>
      </c>
      <c r="F1715">
        <v>0</v>
      </c>
      <c r="G1715" t="s">
        <v>2</v>
      </c>
      <c r="H1715" cm="1">
        <f t="array" ref="H1715">sentimentCalc(B1715)</f>
        <v>10</v>
      </c>
      <c r="I1715" s="5" t="str" cm="1">
        <f t="array" ref="I1715">sentimentCategory(H1715)</f>
        <v>Positive</v>
      </c>
    </row>
    <row r="1716" spans="1:9" x14ac:dyDescent="0.2">
      <c r="A1716" s="3">
        <v>46681.921492997688</v>
      </c>
      <c r="B1716" t="s">
        <v>1878</v>
      </c>
      <c r="C1716" t="s">
        <v>7</v>
      </c>
      <c r="E1716">
        <v>0</v>
      </c>
      <c r="F1716">
        <v>0</v>
      </c>
      <c r="G1716" t="s">
        <v>2</v>
      </c>
      <c r="H1716" cm="1">
        <f t="array" ref="H1716">sentimentCalc(B1716)</f>
        <v>0</v>
      </c>
      <c r="I1716" s="5" t="str" cm="1">
        <f t="array" ref="I1716">sentimentCategory(H1716)</f>
        <v>Neutral</v>
      </c>
    </row>
    <row r="1717" spans="1:9" x14ac:dyDescent="0.2">
      <c r="A1717" s="3">
        <v>46682.921492997688</v>
      </c>
      <c r="B1717" t="s">
        <v>1879</v>
      </c>
      <c r="C1717" t="s">
        <v>1880</v>
      </c>
      <c r="E1717">
        <v>0</v>
      </c>
      <c r="F1717">
        <v>0</v>
      </c>
      <c r="G1717" t="s">
        <v>2</v>
      </c>
      <c r="H1717" cm="1">
        <f t="array" ref="H1717">sentimentCalc(B1717)</f>
        <v>0</v>
      </c>
      <c r="I1717" s="5" t="str" cm="1">
        <f t="array" ref="I1717">sentimentCategory(H1717)</f>
        <v>Neutral</v>
      </c>
    </row>
    <row r="1718" spans="1:9" x14ac:dyDescent="0.2">
      <c r="A1718" s="3">
        <v>46683.921492997688</v>
      </c>
      <c r="B1718" t="s">
        <v>1881</v>
      </c>
      <c r="C1718" t="s">
        <v>1882</v>
      </c>
      <c r="D1718" t="s">
        <v>1883</v>
      </c>
      <c r="E1718">
        <v>2</v>
      </c>
      <c r="F1718">
        <v>0</v>
      </c>
      <c r="G1718" t="s">
        <v>2</v>
      </c>
      <c r="H1718" cm="1">
        <f t="array" ref="H1718">sentimentCalc(B1718)</f>
        <v>0</v>
      </c>
      <c r="I1718" s="5" t="str" cm="1">
        <f t="array" ref="I1718">sentimentCategory(H1718)</f>
        <v>Neutral</v>
      </c>
    </row>
    <row r="1719" spans="1:9" x14ac:dyDescent="0.2">
      <c r="A1719" s="3">
        <v>46684.921492997688</v>
      </c>
      <c r="B1719" t="s">
        <v>1836</v>
      </c>
      <c r="C1719" t="s">
        <v>669</v>
      </c>
      <c r="D1719" t="s">
        <v>34</v>
      </c>
      <c r="E1719">
        <v>0</v>
      </c>
      <c r="F1719">
        <v>0</v>
      </c>
      <c r="G1719" t="s">
        <v>2</v>
      </c>
      <c r="H1719" cm="1">
        <f t="array" ref="H1719">sentimentCalc(B1719)</f>
        <v>20</v>
      </c>
      <c r="I1719" s="5" t="str" cm="1">
        <f t="array" ref="I1719">sentimentCategory(H1719)</f>
        <v>Positive</v>
      </c>
    </row>
    <row r="1720" spans="1:9" x14ac:dyDescent="0.2">
      <c r="A1720" s="3">
        <v>46685.921492997688</v>
      </c>
      <c r="B1720" t="s">
        <v>3</v>
      </c>
      <c r="C1720" t="s">
        <v>4</v>
      </c>
      <c r="D1720" t="s">
        <v>5</v>
      </c>
      <c r="E1720">
        <v>0</v>
      </c>
      <c r="F1720">
        <v>0</v>
      </c>
      <c r="G1720" t="s">
        <v>2</v>
      </c>
      <c r="H1720" cm="1">
        <f t="array" ref="H1720">sentimentCalc(B1720)</f>
        <v>0</v>
      </c>
      <c r="I1720" s="5" t="str" cm="1">
        <f t="array" ref="I1720">sentimentCategory(H1720)</f>
        <v>Neutral</v>
      </c>
    </row>
    <row r="1721" spans="1:9" x14ac:dyDescent="0.2">
      <c r="A1721" s="3"/>
      <c r="H1721" cm="1">
        <f t="array" ref="H1721">sentimentCalc(B1721)</f>
        <v>0</v>
      </c>
      <c r="I1721" s="5" t="str" cm="1">
        <f t="array" ref="I1721">sentimentCategory(H1721)</f>
        <v>Neutral</v>
      </c>
    </row>
    <row r="1722" spans="1:9" x14ac:dyDescent="0.2">
      <c r="A1722" s="3">
        <v>46687.921492997688</v>
      </c>
      <c r="B1722" t="s">
        <v>1885</v>
      </c>
      <c r="C1722" t="s">
        <v>1886</v>
      </c>
      <c r="E1722">
        <v>0</v>
      </c>
      <c r="F1722">
        <v>1</v>
      </c>
      <c r="G1722" t="s">
        <v>2</v>
      </c>
      <c r="H1722" cm="1">
        <f t="array" ref="H1722">sentimentCalc(B1722)</f>
        <v>0</v>
      </c>
      <c r="I1722" s="5" t="str" cm="1">
        <f t="array" ref="I1722">sentimentCategory(H1722)</f>
        <v>Neutral</v>
      </c>
    </row>
    <row r="1723" spans="1:9" x14ac:dyDescent="0.2">
      <c r="A1723" s="3">
        <v>46688.921492997688</v>
      </c>
      <c r="B1723" t="s">
        <v>1887</v>
      </c>
      <c r="C1723" t="s">
        <v>887</v>
      </c>
      <c r="D1723" t="s">
        <v>1605</v>
      </c>
      <c r="E1723">
        <v>0</v>
      </c>
      <c r="F1723">
        <v>1</v>
      </c>
      <c r="G1723" t="s">
        <v>2</v>
      </c>
      <c r="H1723" cm="1">
        <f t="array" ref="H1723">sentimentCalc(B1723)</f>
        <v>0</v>
      </c>
      <c r="I1723" s="5" t="str" cm="1">
        <f t="array" ref="I1723">sentimentCategory(H1723)</f>
        <v>Neutral</v>
      </c>
    </row>
    <row r="1724" spans="1:9" x14ac:dyDescent="0.2">
      <c r="A1724" s="3">
        <v>46689.921492997688</v>
      </c>
      <c r="B1724" t="s">
        <v>36</v>
      </c>
      <c r="C1724" t="s">
        <v>33</v>
      </c>
      <c r="D1724" t="s">
        <v>34</v>
      </c>
      <c r="E1724">
        <v>0</v>
      </c>
      <c r="F1724">
        <v>0</v>
      </c>
      <c r="G1724" t="s">
        <v>2</v>
      </c>
      <c r="H1724" cm="1">
        <f t="array" ref="H1724">sentimentCalc(B1724)</f>
        <v>10</v>
      </c>
      <c r="I1724" s="5" t="str" cm="1">
        <f t="array" ref="I1724">sentimentCategory(H1724)</f>
        <v>Positive</v>
      </c>
    </row>
    <row r="1725" spans="1:9" x14ac:dyDescent="0.2">
      <c r="A1725" s="3">
        <v>46690.921492997688</v>
      </c>
      <c r="B1725" t="s">
        <v>37</v>
      </c>
      <c r="C1725" t="s">
        <v>33</v>
      </c>
      <c r="D1725" t="s">
        <v>34</v>
      </c>
      <c r="E1725">
        <v>0</v>
      </c>
      <c r="F1725">
        <v>0</v>
      </c>
      <c r="G1725" t="s">
        <v>2</v>
      </c>
      <c r="H1725" cm="1">
        <f t="array" ref="H1725">sentimentCalc(B1725)</f>
        <v>0</v>
      </c>
      <c r="I1725" s="5" t="str" cm="1">
        <f t="array" ref="I1725">sentimentCategory(H1725)</f>
        <v>Neutral</v>
      </c>
    </row>
    <row r="1726" spans="1:9" x14ac:dyDescent="0.2">
      <c r="A1726" s="3">
        <v>46691.921492997688</v>
      </c>
      <c r="B1726" t="s">
        <v>1888</v>
      </c>
      <c r="C1726" t="s">
        <v>33</v>
      </c>
      <c r="D1726" t="s">
        <v>34</v>
      </c>
      <c r="E1726">
        <v>0</v>
      </c>
      <c r="F1726">
        <v>0</v>
      </c>
      <c r="G1726" t="s">
        <v>2</v>
      </c>
      <c r="H1726" cm="1">
        <f t="array" ref="H1726">sentimentCalc(B1726)</f>
        <v>0</v>
      </c>
      <c r="I1726" s="5" t="str" cm="1">
        <f t="array" ref="I1726">sentimentCategory(H1726)</f>
        <v>Neutral</v>
      </c>
    </row>
    <row r="1727" spans="1:9" x14ac:dyDescent="0.2">
      <c r="A1727" s="3">
        <v>46692.921492997688</v>
      </c>
      <c r="B1727" t="s">
        <v>35</v>
      </c>
      <c r="C1727" t="s">
        <v>33</v>
      </c>
      <c r="D1727" t="s">
        <v>34</v>
      </c>
      <c r="E1727">
        <v>0</v>
      </c>
      <c r="F1727">
        <v>0</v>
      </c>
      <c r="G1727" t="s">
        <v>2</v>
      </c>
      <c r="H1727" cm="1">
        <f t="array" ref="H1727">sentimentCalc(B1727)</f>
        <v>0</v>
      </c>
      <c r="I1727" s="5" t="str" cm="1">
        <f t="array" ref="I1727">sentimentCategory(H1727)</f>
        <v>Neutral</v>
      </c>
    </row>
    <row r="1728" spans="1:9" x14ac:dyDescent="0.2">
      <c r="A1728" s="3">
        <v>46693.921492997688</v>
      </c>
      <c r="B1728" t="s">
        <v>1889</v>
      </c>
      <c r="C1728" t="s">
        <v>1890</v>
      </c>
      <c r="D1728" t="s">
        <v>1891</v>
      </c>
      <c r="E1728">
        <v>0</v>
      </c>
      <c r="F1728">
        <v>0</v>
      </c>
      <c r="G1728" t="s">
        <v>2</v>
      </c>
      <c r="H1728" cm="1">
        <f t="array" ref="H1728">sentimentCalc(B1728)</f>
        <v>0</v>
      </c>
      <c r="I1728" s="5" t="str" cm="1">
        <f t="array" ref="I1728">sentimentCategory(H1728)</f>
        <v>Neutral</v>
      </c>
    </row>
    <row r="1729" spans="1:9" x14ac:dyDescent="0.2">
      <c r="A1729" s="3">
        <v>46694.921492997688</v>
      </c>
      <c r="B1729" t="s">
        <v>1892</v>
      </c>
      <c r="C1729" t="s">
        <v>1893</v>
      </c>
      <c r="E1729">
        <v>0</v>
      </c>
      <c r="F1729">
        <v>0</v>
      </c>
      <c r="G1729" t="s">
        <v>2</v>
      </c>
      <c r="H1729" cm="1">
        <f t="array" ref="H1729">sentimentCalc(B1729)</f>
        <v>0</v>
      </c>
      <c r="I1729" s="5" t="str" cm="1">
        <f t="array" ref="I1729">sentimentCategory(H1729)</f>
        <v>Neutral</v>
      </c>
    </row>
    <row r="1730" spans="1:9" x14ac:dyDescent="0.2">
      <c r="A1730" s="3">
        <v>46695.921492997688</v>
      </c>
      <c r="B1730" t="s">
        <v>1894</v>
      </c>
      <c r="C1730" t="s">
        <v>1895</v>
      </c>
      <c r="D1730" t="s">
        <v>1107</v>
      </c>
      <c r="E1730">
        <v>1</v>
      </c>
      <c r="F1730">
        <v>2</v>
      </c>
      <c r="G1730" t="s">
        <v>2</v>
      </c>
      <c r="H1730" cm="1">
        <f t="array" ref="H1730">sentimentCalc(B1730)</f>
        <v>0</v>
      </c>
      <c r="I1730" s="5" t="str" cm="1">
        <f t="array" ref="I1730">sentimentCategory(H1730)</f>
        <v>Neutral</v>
      </c>
    </row>
    <row r="1731" spans="1:9" x14ac:dyDescent="0.2">
      <c r="A1731" s="3">
        <v>46696.921492997688</v>
      </c>
      <c r="B1731" t="s">
        <v>1896</v>
      </c>
      <c r="C1731" t="s">
        <v>1152</v>
      </c>
      <c r="D1731" t="s">
        <v>1153</v>
      </c>
      <c r="E1731">
        <v>0</v>
      </c>
      <c r="F1731">
        <v>0</v>
      </c>
      <c r="G1731" t="s">
        <v>2</v>
      </c>
      <c r="H1731" cm="1">
        <f t="array" ref="H1731">sentimentCalc(B1731)</f>
        <v>0</v>
      </c>
      <c r="I1731" s="5" t="str" cm="1">
        <f t="array" ref="I1731">sentimentCategory(H1731)</f>
        <v>Neutral</v>
      </c>
    </row>
    <row r="1732" spans="1:9" x14ac:dyDescent="0.2">
      <c r="A1732" s="3">
        <v>46697.921492997688</v>
      </c>
      <c r="B1732" t="s">
        <v>1897</v>
      </c>
      <c r="C1732" t="s">
        <v>608</v>
      </c>
      <c r="D1732" t="s">
        <v>1869</v>
      </c>
      <c r="E1732">
        <v>0</v>
      </c>
      <c r="F1732">
        <v>1</v>
      </c>
      <c r="G1732" t="s">
        <v>2</v>
      </c>
      <c r="H1732" cm="1">
        <f t="array" ref="H1732">sentimentCalc(B1732)</f>
        <v>10</v>
      </c>
      <c r="I1732" s="5" t="str" cm="1">
        <f t="array" ref="I1732">sentimentCategory(H1732)</f>
        <v>Positive</v>
      </c>
    </row>
    <row r="1733" spans="1:9" x14ac:dyDescent="0.2">
      <c r="A1733" s="3">
        <v>46698.921492997688</v>
      </c>
      <c r="B1733" t="s">
        <v>1898</v>
      </c>
      <c r="C1733" t="s">
        <v>7</v>
      </c>
      <c r="E1733">
        <v>0</v>
      </c>
      <c r="F1733">
        <v>0</v>
      </c>
      <c r="G1733" t="s">
        <v>2</v>
      </c>
      <c r="H1733" cm="1">
        <f t="array" ref="H1733">sentimentCalc(B1733)</f>
        <v>0</v>
      </c>
      <c r="I1733" s="5" t="str" cm="1">
        <f t="array" ref="I1733">sentimentCategory(H1733)</f>
        <v>Neutral</v>
      </c>
    </row>
    <row r="1734" spans="1:9" x14ac:dyDescent="0.2">
      <c r="A1734" s="3">
        <v>46699.921492997688</v>
      </c>
      <c r="B1734" t="s">
        <v>3</v>
      </c>
      <c r="C1734" t="s">
        <v>4</v>
      </c>
      <c r="D1734" t="s">
        <v>5</v>
      </c>
      <c r="E1734">
        <v>0</v>
      </c>
      <c r="F1734">
        <v>0</v>
      </c>
      <c r="G1734" t="s">
        <v>2</v>
      </c>
      <c r="H1734" cm="1">
        <f t="array" ref="H1734">sentimentCalc(B1734)</f>
        <v>0</v>
      </c>
      <c r="I1734" s="5" t="str" cm="1">
        <f t="array" ref="I1734">sentimentCategory(H1734)</f>
        <v>Neutral</v>
      </c>
    </row>
    <row r="1735" spans="1:9" x14ac:dyDescent="0.2">
      <c r="A1735" s="3">
        <v>46700.921492997688</v>
      </c>
      <c r="B1735" t="s">
        <v>1899</v>
      </c>
      <c r="C1735" t="s">
        <v>1900</v>
      </c>
      <c r="D1735" t="s">
        <v>1901</v>
      </c>
      <c r="E1735">
        <v>0</v>
      </c>
      <c r="F1735">
        <v>0</v>
      </c>
      <c r="G1735" t="s">
        <v>2</v>
      </c>
      <c r="H1735" cm="1">
        <f t="array" ref="H1735">sentimentCalc(B1735)</f>
        <v>0</v>
      </c>
      <c r="I1735" s="5" t="str" cm="1">
        <f t="array" ref="I1735">sentimentCategory(H1735)</f>
        <v>Neutral</v>
      </c>
    </row>
    <row r="1736" spans="1:9" x14ac:dyDescent="0.2">
      <c r="A1736" s="3">
        <v>46701.921492997688</v>
      </c>
      <c r="B1736" t="s">
        <v>1902</v>
      </c>
      <c r="C1736" t="s">
        <v>143</v>
      </c>
      <c r="D1736" t="s">
        <v>1903</v>
      </c>
      <c r="E1736">
        <v>0</v>
      </c>
      <c r="F1736">
        <v>1</v>
      </c>
      <c r="G1736" t="s">
        <v>2</v>
      </c>
      <c r="H1736" cm="1">
        <f t="array" ref="H1736">sentimentCalc(B1736)</f>
        <v>10</v>
      </c>
      <c r="I1736" s="5" t="str" cm="1">
        <f t="array" ref="I1736">sentimentCategory(H1736)</f>
        <v>Positive</v>
      </c>
    </row>
    <row r="1737" spans="1:9" x14ac:dyDescent="0.2">
      <c r="A1737" s="3">
        <v>46702.921492997688</v>
      </c>
      <c r="B1737" t="s">
        <v>94</v>
      </c>
      <c r="C1737" t="s">
        <v>22</v>
      </c>
      <c r="E1737">
        <v>0</v>
      </c>
      <c r="F1737">
        <v>0</v>
      </c>
      <c r="G1737" t="s">
        <v>2</v>
      </c>
      <c r="H1737" cm="1">
        <f t="array" ref="H1737">sentimentCalc(B1737)</f>
        <v>0</v>
      </c>
      <c r="I1737" s="5" t="str" cm="1">
        <f t="array" ref="I1737">sentimentCategory(H1737)</f>
        <v>Neutral</v>
      </c>
    </row>
    <row r="1738" spans="1:9" x14ac:dyDescent="0.2">
      <c r="A1738" s="3">
        <v>46703.921492997688</v>
      </c>
      <c r="B1738" t="s">
        <v>1904</v>
      </c>
      <c r="C1738" t="s">
        <v>1035</v>
      </c>
      <c r="D1738" t="s">
        <v>103</v>
      </c>
      <c r="E1738">
        <v>1</v>
      </c>
      <c r="F1738">
        <v>17</v>
      </c>
      <c r="G1738" t="s">
        <v>2</v>
      </c>
      <c r="H1738" cm="1">
        <f t="array" ref="H1738">sentimentCalc(B1738)</f>
        <v>0</v>
      </c>
      <c r="I1738" s="5" t="str" cm="1">
        <f t="array" ref="I1738">sentimentCategory(H1738)</f>
        <v>Neutral</v>
      </c>
    </row>
    <row r="1739" spans="1:9" x14ac:dyDescent="0.2">
      <c r="A1739" s="3">
        <v>46704.921492997688</v>
      </c>
      <c r="B1739" t="s">
        <v>1905</v>
      </c>
      <c r="C1739" t="s">
        <v>1326</v>
      </c>
      <c r="E1739">
        <v>0</v>
      </c>
      <c r="F1739">
        <v>0</v>
      </c>
      <c r="G1739" t="s">
        <v>2</v>
      </c>
      <c r="H1739" cm="1">
        <f t="array" ref="H1739">sentimentCalc(B1739)</f>
        <v>0</v>
      </c>
      <c r="I1739" s="5" t="str" cm="1">
        <f t="array" ref="I1739">sentimentCategory(H1739)</f>
        <v>Neutral</v>
      </c>
    </row>
    <row r="1740" spans="1:9" x14ac:dyDescent="0.2">
      <c r="A1740" s="3">
        <v>46705.921492997688</v>
      </c>
      <c r="B1740" t="s">
        <v>1906</v>
      </c>
      <c r="C1740" t="s">
        <v>1907</v>
      </c>
      <c r="D1740" t="s">
        <v>1908</v>
      </c>
      <c r="E1740">
        <v>0</v>
      </c>
      <c r="F1740">
        <v>0</v>
      </c>
      <c r="G1740" t="s">
        <v>2</v>
      </c>
      <c r="H1740" cm="1">
        <f t="array" ref="H1740">sentimentCalc(B1740)</f>
        <v>0</v>
      </c>
      <c r="I1740" s="5" t="str" cm="1">
        <f t="array" ref="I1740">sentimentCategory(H1740)</f>
        <v>Neutral</v>
      </c>
    </row>
    <row r="1741" spans="1:9" x14ac:dyDescent="0.2">
      <c r="A1741" s="3">
        <v>46706.921492997688</v>
      </c>
      <c r="B1741" t="s">
        <v>37</v>
      </c>
      <c r="C1741" t="s">
        <v>33</v>
      </c>
      <c r="D1741" t="s">
        <v>34</v>
      </c>
      <c r="E1741">
        <v>0</v>
      </c>
      <c r="F1741">
        <v>0</v>
      </c>
      <c r="G1741" t="s">
        <v>2</v>
      </c>
      <c r="H1741" cm="1">
        <f t="array" ref="H1741">sentimentCalc(B1741)</f>
        <v>0</v>
      </c>
      <c r="I1741" s="5" t="str" cm="1">
        <f t="array" ref="I1741">sentimentCategory(H1741)</f>
        <v>Neutral</v>
      </c>
    </row>
    <row r="1742" spans="1:9" x14ac:dyDescent="0.2">
      <c r="A1742" s="3">
        <v>46707.921492997688</v>
      </c>
      <c r="B1742" t="s">
        <v>1909</v>
      </c>
      <c r="C1742" t="s">
        <v>33</v>
      </c>
      <c r="D1742" t="s">
        <v>34</v>
      </c>
      <c r="E1742">
        <v>0</v>
      </c>
      <c r="F1742">
        <v>0</v>
      </c>
      <c r="G1742" t="s">
        <v>2</v>
      </c>
      <c r="H1742" cm="1">
        <f t="array" ref="H1742">sentimentCalc(B1742)</f>
        <v>0</v>
      </c>
      <c r="I1742" s="5" t="str" cm="1">
        <f t="array" ref="I1742">sentimentCategory(H1742)</f>
        <v>Neutral</v>
      </c>
    </row>
    <row r="1743" spans="1:9" x14ac:dyDescent="0.2">
      <c r="A1743" s="3">
        <v>46708.921492997688</v>
      </c>
      <c r="B1743" t="s">
        <v>36</v>
      </c>
      <c r="C1743" t="s">
        <v>33</v>
      </c>
      <c r="D1743" t="s">
        <v>34</v>
      </c>
      <c r="E1743">
        <v>0</v>
      </c>
      <c r="F1743">
        <v>0</v>
      </c>
      <c r="G1743" t="s">
        <v>2</v>
      </c>
      <c r="H1743" cm="1">
        <f t="array" ref="H1743">sentimentCalc(B1743)</f>
        <v>10</v>
      </c>
      <c r="I1743" s="5" t="str" cm="1">
        <f t="array" ref="I1743">sentimentCategory(H1743)</f>
        <v>Positive</v>
      </c>
    </row>
    <row r="1744" spans="1:9" x14ac:dyDescent="0.2">
      <c r="A1744" s="3">
        <v>46709.921492997688</v>
      </c>
      <c r="B1744" t="s">
        <v>35</v>
      </c>
      <c r="C1744" t="s">
        <v>33</v>
      </c>
      <c r="D1744" t="s">
        <v>34</v>
      </c>
      <c r="E1744">
        <v>0</v>
      </c>
      <c r="F1744">
        <v>0</v>
      </c>
      <c r="G1744" t="s">
        <v>2</v>
      </c>
      <c r="H1744" cm="1">
        <f t="array" ref="H1744">sentimentCalc(B1744)</f>
        <v>0</v>
      </c>
      <c r="I1744" s="5" t="str" cm="1">
        <f t="array" ref="I1744">sentimentCategory(H1744)</f>
        <v>Neutral</v>
      </c>
    </row>
    <row r="1745" spans="1:9" x14ac:dyDescent="0.2">
      <c r="A1745" s="3">
        <v>46710.921492997688</v>
      </c>
      <c r="B1745" t="s">
        <v>11</v>
      </c>
      <c r="C1745" t="s">
        <v>12</v>
      </c>
      <c r="D1745" t="s">
        <v>13</v>
      </c>
      <c r="E1745">
        <v>0</v>
      </c>
      <c r="F1745">
        <v>0</v>
      </c>
      <c r="G1745" t="s">
        <v>2</v>
      </c>
      <c r="H1745" cm="1">
        <f t="array" ref="H1745">sentimentCalc(B1745)</f>
        <v>0</v>
      </c>
      <c r="I1745" s="5" t="str" cm="1">
        <f t="array" ref="I1745">sentimentCategory(H1745)</f>
        <v>Neutral</v>
      </c>
    </row>
    <row r="1746" spans="1:9" x14ac:dyDescent="0.2">
      <c r="A1746" s="3">
        <v>46711.921492997688</v>
      </c>
      <c r="B1746" t="s">
        <v>1910</v>
      </c>
      <c r="C1746" t="s">
        <v>134</v>
      </c>
      <c r="E1746">
        <v>0</v>
      </c>
      <c r="F1746">
        <v>0</v>
      </c>
      <c r="G1746" t="s">
        <v>2</v>
      </c>
      <c r="H1746" cm="1">
        <f t="array" ref="H1746">sentimentCalc(B1746)</f>
        <v>0</v>
      </c>
      <c r="I1746" s="5" t="str" cm="1">
        <f t="array" ref="I1746">sentimentCategory(H1746)</f>
        <v>Neutral</v>
      </c>
    </row>
    <row r="1747" spans="1:9" x14ac:dyDescent="0.2">
      <c r="A1747" s="3">
        <v>46712.921492997688</v>
      </c>
      <c r="B1747" t="s">
        <v>1911</v>
      </c>
      <c r="C1747" t="s">
        <v>1912</v>
      </c>
      <c r="D1747" t="s">
        <v>189</v>
      </c>
      <c r="E1747">
        <v>0</v>
      </c>
      <c r="F1747">
        <v>0</v>
      </c>
      <c r="G1747" t="s">
        <v>2</v>
      </c>
      <c r="H1747" cm="1">
        <f t="array" ref="H1747">sentimentCalc(B1747)</f>
        <v>0</v>
      </c>
      <c r="I1747" s="5" t="str" cm="1">
        <f t="array" ref="I1747">sentimentCategory(H1747)</f>
        <v>Neutral</v>
      </c>
    </row>
    <row r="1748" spans="1:9" x14ac:dyDescent="0.2">
      <c r="A1748" s="3">
        <v>46713.921492997688</v>
      </c>
      <c r="B1748" t="s">
        <v>1726</v>
      </c>
      <c r="C1748" t="s">
        <v>171</v>
      </c>
      <c r="E1748">
        <v>0</v>
      </c>
      <c r="F1748">
        <v>0</v>
      </c>
      <c r="G1748" t="s">
        <v>2</v>
      </c>
      <c r="H1748" cm="1">
        <f t="array" ref="H1748">sentimentCalc(B1748)</f>
        <v>0</v>
      </c>
      <c r="I1748" s="5" t="str" cm="1">
        <f t="array" ref="I1748">sentimentCategory(H1748)</f>
        <v>Neutral</v>
      </c>
    </row>
    <row r="1749" spans="1:9" x14ac:dyDescent="0.2">
      <c r="A1749" s="3">
        <v>46714.921492997688</v>
      </c>
      <c r="B1749" t="s">
        <v>170</v>
      </c>
      <c r="C1749" t="s">
        <v>171</v>
      </c>
      <c r="E1749">
        <v>0</v>
      </c>
      <c r="F1749">
        <v>0</v>
      </c>
      <c r="G1749" t="s">
        <v>2</v>
      </c>
      <c r="H1749" cm="1">
        <f t="array" ref="H1749">sentimentCalc(B1749)</f>
        <v>0</v>
      </c>
      <c r="I1749" s="5" t="str" cm="1">
        <f t="array" ref="I1749">sentimentCategory(H1749)</f>
        <v>Neutral</v>
      </c>
    </row>
    <row r="1750" spans="1:9" x14ac:dyDescent="0.2">
      <c r="A1750" s="3">
        <v>46715.921492997688</v>
      </c>
      <c r="B1750" t="s">
        <v>1913</v>
      </c>
      <c r="C1750" t="s">
        <v>1914</v>
      </c>
      <c r="D1750" t="s">
        <v>1915</v>
      </c>
      <c r="E1750">
        <v>0</v>
      </c>
      <c r="F1750">
        <v>0</v>
      </c>
      <c r="G1750" t="s">
        <v>2</v>
      </c>
      <c r="H1750" cm="1">
        <f t="array" ref="H1750">sentimentCalc(B1750)</f>
        <v>0</v>
      </c>
      <c r="I1750" s="5" t="str" cm="1">
        <f t="array" ref="I1750">sentimentCategory(H1750)</f>
        <v>Neutral</v>
      </c>
    </row>
    <row r="1751" spans="1:9" x14ac:dyDescent="0.2">
      <c r="A1751" s="3">
        <v>46716.921492997688</v>
      </c>
      <c r="B1751" t="s">
        <v>1916</v>
      </c>
      <c r="C1751" t="s">
        <v>1076</v>
      </c>
      <c r="D1751" t="s">
        <v>1107</v>
      </c>
      <c r="E1751">
        <v>5</v>
      </c>
      <c r="F1751">
        <v>0</v>
      </c>
      <c r="G1751" t="s">
        <v>2</v>
      </c>
      <c r="H1751" cm="1">
        <f t="array" ref="H1751">sentimentCalc(B1751)</f>
        <v>10</v>
      </c>
      <c r="I1751" s="5" t="str" cm="1">
        <f t="array" ref="I1751">sentimentCategory(H1751)</f>
        <v>Positive</v>
      </c>
    </row>
    <row r="1752" spans="1:9" x14ac:dyDescent="0.2">
      <c r="A1752" s="3">
        <v>46717.921492997688</v>
      </c>
      <c r="B1752" t="s">
        <v>228</v>
      </c>
      <c r="C1752" t="s">
        <v>33</v>
      </c>
      <c r="D1752" t="s">
        <v>34</v>
      </c>
      <c r="E1752">
        <v>0</v>
      </c>
      <c r="F1752">
        <v>0</v>
      </c>
      <c r="G1752" t="s">
        <v>2</v>
      </c>
      <c r="H1752" cm="1">
        <f t="array" ref="H1752">sentimentCalc(B1752)</f>
        <v>0</v>
      </c>
      <c r="I1752" s="5" t="str" cm="1">
        <f t="array" ref="I1752">sentimentCategory(H1752)</f>
        <v>Neutral</v>
      </c>
    </row>
    <row r="1753" spans="1:9" x14ac:dyDescent="0.2">
      <c r="A1753" s="3">
        <v>46718.921492997688</v>
      </c>
      <c r="B1753" t="s">
        <v>231</v>
      </c>
      <c r="C1753" t="s">
        <v>33</v>
      </c>
      <c r="D1753" t="s">
        <v>34</v>
      </c>
      <c r="E1753">
        <v>0</v>
      </c>
      <c r="F1753">
        <v>0</v>
      </c>
      <c r="G1753" t="s">
        <v>2</v>
      </c>
      <c r="H1753" cm="1">
        <f t="array" ref="H1753">sentimentCalc(B1753)</f>
        <v>0</v>
      </c>
      <c r="I1753" s="5" t="str" cm="1">
        <f t="array" ref="I1753">sentimentCategory(H1753)</f>
        <v>Neutral</v>
      </c>
    </row>
    <row r="1754" spans="1:9" x14ac:dyDescent="0.2">
      <c r="A1754" s="3">
        <v>46719.921492997688</v>
      </c>
      <c r="B1754" t="s">
        <v>226</v>
      </c>
      <c r="C1754" t="s">
        <v>33</v>
      </c>
      <c r="D1754" t="s">
        <v>34</v>
      </c>
      <c r="E1754">
        <v>0</v>
      </c>
      <c r="F1754">
        <v>0</v>
      </c>
      <c r="G1754" t="s">
        <v>2</v>
      </c>
      <c r="H1754" cm="1">
        <f t="array" ref="H1754">sentimentCalc(B1754)</f>
        <v>0</v>
      </c>
      <c r="I1754" s="5" t="str" cm="1">
        <f t="array" ref="I1754">sentimentCategory(H1754)</f>
        <v>Neutral</v>
      </c>
    </row>
    <row r="1755" spans="1:9" x14ac:dyDescent="0.2">
      <c r="A1755" s="3">
        <v>46720.921492997688</v>
      </c>
      <c r="B1755" t="s">
        <v>230</v>
      </c>
      <c r="C1755" t="s">
        <v>33</v>
      </c>
      <c r="D1755" t="s">
        <v>34</v>
      </c>
      <c r="E1755">
        <v>0</v>
      </c>
      <c r="F1755">
        <v>0</v>
      </c>
      <c r="G1755" t="s">
        <v>2</v>
      </c>
      <c r="H1755" cm="1">
        <f t="array" ref="H1755">sentimentCalc(B1755)</f>
        <v>0</v>
      </c>
      <c r="I1755" s="5" t="str" cm="1">
        <f t="array" ref="I1755">sentimentCategory(H1755)</f>
        <v>Neutral</v>
      </c>
    </row>
    <row r="1756" spans="1:9" x14ac:dyDescent="0.2">
      <c r="A1756" s="3">
        <v>46721.921492997688</v>
      </c>
      <c r="B1756" t="s">
        <v>225</v>
      </c>
      <c r="C1756" t="s">
        <v>33</v>
      </c>
      <c r="D1756" t="s">
        <v>34</v>
      </c>
      <c r="E1756">
        <v>0</v>
      </c>
      <c r="F1756">
        <v>0</v>
      </c>
      <c r="G1756" t="s">
        <v>2</v>
      </c>
      <c r="H1756" cm="1">
        <f t="array" ref="H1756">sentimentCalc(B1756)</f>
        <v>0</v>
      </c>
      <c r="I1756" s="5" t="str" cm="1">
        <f t="array" ref="I1756">sentimentCategory(H1756)</f>
        <v>Neutral</v>
      </c>
    </row>
    <row r="1757" spans="1:9" x14ac:dyDescent="0.2">
      <c r="A1757" s="3">
        <v>46722.921492997688</v>
      </c>
      <c r="B1757" t="s">
        <v>229</v>
      </c>
      <c r="C1757" t="s">
        <v>33</v>
      </c>
      <c r="D1757" t="s">
        <v>34</v>
      </c>
      <c r="E1757">
        <v>0</v>
      </c>
      <c r="F1757">
        <v>0</v>
      </c>
      <c r="G1757" t="s">
        <v>2</v>
      </c>
      <c r="H1757" cm="1">
        <f t="array" ref="H1757">sentimentCalc(B1757)</f>
        <v>0</v>
      </c>
      <c r="I1757" s="5" t="str" cm="1">
        <f t="array" ref="I1757">sentimentCategory(H1757)</f>
        <v>Neutral</v>
      </c>
    </row>
    <row r="1758" spans="1:9" x14ac:dyDescent="0.2">
      <c r="A1758" s="3">
        <v>46723.921492997688</v>
      </c>
      <c r="B1758" t="s">
        <v>224</v>
      </c>
      <c r="C1758" t="s">
        <v>33</v>
      </c>
      <c r="D1758" t="s">
        <v>34</v>
      </c>
      <c r="E1758">
        <v>0</v>
      </c>
      <c r="F1758">
        <v>0</v>
      </c>
      <c r="G1758" t="s">
        <v>2</v>
      </c>
      <c r="H1758" cm="1">
        <f t="array" ref="H1758">sentimentCalc(B1758)</f>
        <v>10</v>
      </c>
      <c r="I1758" s="5" t="str" cm="1">
        <f t="array" ref="I1758">sentimentCategory(H1758)</f>
        <v>Positive</v>
      </c>
    </row>
    <row r="1759" spans="1:9" x14ac:dyDescent="0.2">
      <c r="A1759" s="3">
        <v>46724.921492997688</v>
      </c>
      <c r="B1759" t="s">
        <v>227</v>
      </c>
      <c r="C1759" t="s">
        <v>33</v>
      </c>
      <c r="D1759" t="s">
        <v>34</v>
      </c>
      <c r="E1759">
        <v>0</v>
      </c>
      <c r="F1759">
        <v>0</v>
      </c>
      <c r="G1759" t="s">
        <v>2</v>
      </c>
      <c r="H1759" cm="1">
        <f t="array" ref="H1759">sentimentCalc(B1759)</f>
        <v>0</v>
      </c>
      <c r="I1759" s="5" t="str" cm="1">
        <f t="array" ref="I1759">sentimentCategory(H1759)</f>
        <v>Neutral</v>
      </c>
    </row>
    <row r="1760" spans="1:9" x14ac:dyDescent="0.2">
      <c r="A1760" s="3">
        <v>46725.921492997688</v>
      </c>
      <c r="B1760" t="s">
        <v>138</v>
      </c>
      <c r="C1760" t="s">
        <v>22</v>
      </c>
      <c r="E1760">
        <v>0</v>
      </c>
      <c r="F1760">
        <v>0</v>
      </c>
      <c r="G1760" t="s">
        <v>2</v>
      </c>
      <c r="H1760" cm="1">
        <f t="array" ref="H1760">sentimentCalc(B1760)</f>
        <v>0</v>
      </c>
      <c r="I1760" s="5" t="str" cm="1">
        <f t="array" ref="I1760">sentimentCategory(H1760)</f>
        <v>Neutral</v>
      </c>
    </row>
    <row r="1761" spans="1:9" x14ac:dyDescent="0.2">
      <c r="A1761" s="3">
        <v>46726.921492997688</v>
      </c>
      <c r="B1761" t="s">
        <v>144</v>
      </c>
      <c r="C1761" t="s">
        <v>22</v>
      </c>
      <c r="E1761">
        <v>0</v>
      </c>
      <c r="F1761">
        <v>0</v>
      </c>
      <c r="G1761" t="s">
        <v>2</v>
      </c>
      <c r="H1761" cm="1">
        <f t="array" ref="H1761">sentimentCalc(B1761)</f>
        <v>0</v>
      </c>
      <c r="I1761" s="5" t="str" cm="1">
        <f t="array" ref="I1761">sentimentCategory(H1761)</f>
        <v>Neutral</v>
      </c>
    </row>
    <row r="1762" spans="1:9" x14ac:dyDescent="0.2">
      <c r="A1762" s="3">
        <v>46727.921492997688</v>
      </c>
      <c r="B1762" t="s">
        <v>152</v>
      </c>
      <c r="C1762" t="s">
        <v>22</v>
      </c>
      <c r="E1762">
        <v>0</v>
      </c>
      <c r="F1762">
        <v>0</v>
      </c>
      <c r="G1762" t="s">
        <v>2</v>
      </c>
      <c r="H1762" cm="1">
        <f t="array" ref="H1762">sentimentCalc(B1762)</f>
        <v>0</v>
      </c>
      <c r="I1762" s="5" t="str" cm="1">
        <f t="array" ref="I1762">sentimentCategory(H1762)</f>
        <v>Neutral</v>
      </c>
    </row>
    <row r="1763" spans="1:9" x14ac:dyDescent="0.2">
      <c r="A1763" s="3">
        <v>46728.921492997688</v>
      </c>
      <c r="B1763" t="s">
        <v>151</v>
      </c>
      <c r="C1763" t="s">
        <v>22</v>
      </c>
      <c r="E1763">
        <v>0</v>
      </c>
      <c r="F1763">
        <v>0</v>
      </c>
      <c r="G1763" t="s">
        <v>2</v>
      </c>
      <c r="H1763" cm="1">
        <f t="array" ref="H1763">sentimentCalc(B1763)</f>
        <v>0</v>
      </c>
      <c r="I1763" s="5" t="str" cm="1">
        <f t="array" ref="I1763">sentimentCategory(H1763)</f>
        <v>Neutral</v>
      </c>
    </row>
    <row r="1764" spans="1:9" x14ac:dyDescent="0.2">
      <c r="A1764" s="3">
        <v>46729.921492997688</v>
      </c>
      <c r="B1764" t="s">
        <v>153</v>
      </c>
      <c r="C1764" t="s">
        <v>22</v>
      </c>
      <c r="E1764">
        <v>0</v>
      </c>
      <c r="F1764">
        <v>0</v>
      </c>
      <c r="G1764" t="s">
        <v>2</v>
      </c>
      <c r="H1764" cm="1">
        <f t="array" ref="H1764">sentimentCalc(B1764)</f>
        <v>0</v>
      </c>
      <c r="I1764" s="5" t="str" cm="1">
        <f t="array" ref="I1764">sentimentCategory(H1764)</f>
        <v>Neutral</v>
      </c>
    </row>
    <row r="1765" spans="1:9" x14ac:dyDescent="0.2">
      <c r="A1765" s="3">
        <v>46730.921492997688</v>
      </c>
      <c r="B1765" t="s">
        <v>3</v>
      </c>
      <c r="C1765" t="s">
        <v>4</v>
      </c>
      <c r="D1765" t="s">
        <v>5</v>
      </c>
      <c r="E1765">
        <v>0</v>
      </c>
      <c r="F1765">
        <v>0</v>
      </c>
      <c r="G1765" t="s">
        <v>2</v>
      </c>
      <c r="H1765" cm="1">
        <f t="array" ref="H1765">sentimentCalc(B1765)</f>
        <v>0</v>
      </c>
      <c r="I1765" s="5" t="str" cm="1">
        <f t="array" ref="I1765">sentimentCategory(H1765)</f>
        <v>Neutral</v>
      </c>
    </row>
    <row r="1766" spans="1:9" x14ac:dyDescent="0.2">
      <c r="A1766" s="3">
        <v>46731.921492997688</v>
      </c>
      <c r="B1766" t="s">
        <v>154</v>
      </c>
      <c r="C1766" t="s">
        <v>22</v>
      </c>
      <c r="E1766">
        <v>0</v>
      </c>
      <c r="F1766">
        <v>0</v>
      </c>
      <c r="G1766" t="s">
        <v>2</v>
      </c>
      <c r="H1766" cm="1">
        <f t="array" ref="H1766">sentimentCalc(B1766)</f>
        <v>0</v>
      </c>
      <c r="I1766" s="5" t="str" cm="1">
        <f t="array" ref="I1766">sentimentCategory(H1766)</f>
        <v>Neutral</v>
      </c>
    </row>
    <row r="1767" spans="1:9" x14ac:dyDescent="0.2">
      <c r="A1767" s="3">
        <v>46732.921492997688</v>
      </c>
      <c r="B1767" t="s">
        <v>46</v>
      </c>
      <c r="C1767" t="s">
        <v>22</v>
      </c>
      <c r="E1767">
        <v>0</v>
      </c>
      <c r="F1767">
        <v>0</v>
      </c>
      <c r="G1767" t="s">
        <v>2</v>
      </c>
      <c r="H1767" cm="1">
        <f t="array" ref="H1767">sentimentCalc(B1767)</f>
        <v>0</v>
      </c>
      <c r="I1767" s="5" t="str" cm="1">
        <f t="array" ref="I1767">sentimentCategory(H1767)</f>
        <v>Neutral</v>
      </c>
    </row>
    <row r="1768" spans="1:9" x14ac:dyDescent="0.2">
      <c r="A1768" s="3">
        <v>46733.921492997688</v>
      </c>
      <c r="B1768" t="s">
        <v>159</v>
      </c>
      <c r="C1768" t="s">
        <v>22</v>
      </c>
      <c r="E1768">
        <v>0</v>
      </c>
      <c r="F1768">
        <v>0</v>
      </c>
      <c r="G1768" t="s">
        <v>2</v>
      </c>
      <c r="H1768" cm="1">
        <f t="array" ref="H1768">sentimentCalc(B1768)</f>
        <v>0</v>
      </c>
      <c r="I1768" s="5" t="str" cm="1">
        <f t="array" ref="I1768">sentimentCategory(H1768)</f>
        <v>Neutral</v>
      </c>
    </row>
    <row r="1769" spans="1:9" x14ac:dyDescent="0.2">
      <c r="A1769" s="3">
        <v>46734.921492997688</v>
      </c>
      <c r="B1769" t="s">
        <v>1917</v>
      </c>
      <c r="C1769" t="s">
        <v>286</v>
      </c>
      <c r="E1769">
        <v>0</v>
      </c>
      <c r="F1769">
        <v>0</v>
      </c>
      <c r="G1769" t="s">
        <v>2</v>
      </c>
      <c r="H1769" cm="1">
        <f t="array" ref="H1769">sentimentCalc(B1769)</f>
        <v>0</v>
      </c>
      <c r="I1769" s="5" t="str" cm="1">
        <f t="array" ref="I1769">sentimentCategory(H1769)</f>
        <v>Neutral</v>
      </c>
    </row>
    <row r="1770" spans="1:9" x14ac:dyDescent="0.2">
      <c r="A1770" s="3">
        <v>46735.921492997688</v>
      </c>
      <c r="B1770" t="s">
        <v>165</v>
      </c>
      <c r="C1770" t="s">
        <v>22</v>
      </c>
      <c r="E1770">
        <v>0</v>
      </c>
      <c r="F1770">
        <v>0</v>
      </c>
      <c r="G1770" t="s">
        <v>2</v>
      </c>
      <c r="H1770" cm="1">
        <f t="array" ref="H1770">sentimentCalc(B1770)</f>
        <v>0</v>
      </c>
      <c r="I1770" s="5" t="str" cm="1">
        <f t="array" ref="I1770">sentimentCategory(H1770)</f>
        <v>Neutral</v>
      </c>
    </row>
    <row r="1771" spans="1:9" x14ac:dyDescent="0.2">
      <c r="A1771" s="3">
        <v>46736.921492997688</v>
      </c>
      <c r="B1771" t="s">
        <v>1918</v>
      </c>
      <c r="C1771" t="s">
        <v>24</v>
      </c>
      <c r="E1771">
        <v>0</v>
      </c>
      <c r="F1771">
        <v>0</v>
      </c>
      <c r="G1771" t="s">
        <v>2</v>
      </c>
      <c r="H1771" cm="1">
        <f t="array" ref="H1771">sentimentCalc(B1771)</f>
        <v>-10</v>
      </c>
      <c r="I1771" s="5" t="str" cm="1">
        <f t="array" ref="I1771">sentimentCategory(H1771)</f>
        <v>Negative</v>
      </c>
    </row>
    <row r="1772" spans="1:9" x14ac:dyDescent="0.2">
      <c r="A1772" s="3">
        <v>46737.921492997688</v>
      </c>
      <c r="B1772" t="s">
        <v>1919</v>
      </c>
      <c r="C1772" t="s">
        <v>1920</v>
      </c>
      <c r="D1772" t="s">
        <v>34</v>
      </c>
      <c r="E1772">
        <v>0</v>
      </c>
      <c r="F1772">
        <v>0</v>
      </c>
      <c r="G1772" t="s">
        <v>2</v>
      </c>
      <c r="H1772" cm="1">
        <f t="array" ref="H1772">sentimentCalc(B1772)</f>
        <v>0</v>
      </c>
      <c r="I1772" s="5" t="str" cm="1">
        <f t="array" ref="I1772">sentimentCategory(H1772)</f>
        <v>Neutral</v>
      </c>
    </row>
    <row r="1773" spans="1:9" x14ac:dyDescent="0.2">
      <c r="A1773" s="3">
        <v>46738.921492997688</v>
      </c>
      <c r="B1773" t="s">
        <v>1066</v>
      </c>
      <c r="C1773" t="s">
        <v>171</v>
      </c>
      <c r="E1773">
        <v>0</v>
      </c>
      <c r="F1773">
        <v>0</v>
      </c>
      <c r="G1773" t="s">
        <v>2</v>
      </c>
      <c r="H1773" cm="1">
        <f t="array" ref="H1773">sentimentCalc(B1773)</f>
        <v>10</v>
      </c>
      <c r="I1773" s="5" t="str" cm="1">
        <f t="array" ref="I1773">sentimentCategory(H1773)</f>
        <v>Positive</v>
      </c>
    </row>
    <row r="1774" spans="1:9" x14ac:dyDescent="0.2">
      <c r="A1774" s="3">
        <v>46739.921492997688</v>
      </c>
      <c r="B1774" t="s">
        <v>1921</v>
      </c>
      <c r="C1774" t="s">
        <v>1922</v>
      </c>
      <c r="D1774" t="s">
        <v>1285</v>
      </c>
      <c r="E1774">
        <v>0</v>
      </c>
      <c r="F1774">
        <v>0</v>
      </c>
      <c r="G1774" t="s">
        <v>2</v>
      </c>
      <c r="H1774" cm="1">
        <f t="array" ref="H1774">sentimentCalc(B1774)</f>
        <v>10</v>
      </c>
      <c r="I1774" s="5" t="str" cm="1">
        <f t="array" ref="I1774">sentimentCategory(H1774)</f>
        <v>Positive</v>
      </c>
    </row>
    <row r="1775" spans="1:9" x14ac:dyDescent="0.2">
      <c r="A1775" s="3">
        <v>46740.921492997688</v>
      </c>
      <c r="B1775" t="s">
        <v>1923</v>
      </c>
      <c r="C1775" t="s">
        <v>1924</v>
      </c>
      <c r="D1775" t="s">
        <v>1925</v>
      </c>
      <c r="E1775">
        <v>3</v>
      </c>
      <c r="F1775">
        <v>7</v>
      </c>
      <c r="G1775" t="s">
        <v>2</v>
      </c>
      <c r="H1775" cm="1">
        <f t="array" ref="H1775">sentimentCalc(B1775)</f>
        <v>0</v>
      </c>
      <c r="I1775" s="5" t="str" cm="1">
        <f t="array" ref="I1775">sentimentCategory(H1775)</f>
        <v>Neutral</v>
      </c>
    </row>
    <row r="1776" spans="1:9" x14ac:dyDescent="0.2">
      <c r="A1776" s="3">
        <v>46741.921492997688</v>
      </c>
      <c r="B1776" t="s">
        <v>35</v>
      </c>
      <c r="C1776" t="s">
        <v>33</v>
      </c>
      <c r="D1776" t="s">
        <v>34</v>
      </c>
      <c r="E1776">
        <v>0</v>
      </c>
      <c r="F1776">
        <v>0</v>
      </c>
      <c r="G1776" t="s">
        <v>2</v>
      </c>
      <c r="H1776" cm="1">
        <f t="array" ref="H1776">sentimentCalc(B1776)</f>
        <v>0</v>
      </c>
      <c r="I1776" s="5" t="str" cm="1">
        <f t="array" ref="I1776">sentimentCategory(H1776)</f>
        <v>Neutral</v>
      </c>
    </row>
    <row r="1777" spans="1:9" x14ac:dyDescent="0.2">
      <c r="A1777" s="3">
        <v>46742.921492997688</v>
      </c>
      <c r="B1777" t="s">
        <v>36</v>
      </c>
      <c r="C1777" t="s">
        <v>33</v>
      </c>
      <c r="D1777" t="s">
        <v>34</v>
      </c>
      <c r="E1777">
        <v>0</v>
      </c>
      <c r="F1777">
        <v>0</v>
      </c>
      <c r="G1777" t="s">
        <v>2</v>
      </c>
      <c r="H1777" cm="1">
        <f t="array" ref="H1777">sentimentCalc(B1777)</f>
        <v>10</v>
      </c>
      <c r="I1777" s="5" t="str" cm="1">
        <f t="array" ref="I1777">sentimentCategory(H1777)</f>
        <v>Positive</v>
      </c>
    </row>
    <row r="1778" spans="1:9" x14ac:dyDescent="0.2">
      <c r="A1778" s="3">
        <v>46743.921492997688</v>
      </c>
      <c r="B1778" t="s">
        <v>37</v>
      </c>
      <c r="C1778" t="s">
        <v>33</v>
      </c>
      <c r="D1778" t="s">
        <v>34</v>
      </c>
      <c r="E1778">
        <v>0</v>
      </c>
      <c r="F1778">
        <v>0</v>
      </c>
      <c r="G1778" t="s">
        <v>2</v>
      </c>
      <c r="H1778" cm="1">
        <f t="array" ref="H1778">sentimentCalc(B1778)</f>
        <v>0</v>
      </c>
      <c r="I1778" s="5" t="str" cm="1">
        <f t="array" ref="I1778">sentimentCategory(H1778)</f>
        <v>Neutral</v>
      </c>
    </row>
    <row r="1779" spans="1:9" x14ac:dyDescent="0.2">
      <c r="A1779" s="3">
        <v>46744.921492997688</v>
      </c>
      <c r="B1779" t="s">
        <v>1926</v>
      </c>
      <c r="C1779" t="s">
        <v>33</v>
      </c>
      <c r="D1779" t="s">
        <v>34</v>
      </c>
      <c r="E1779">
        <v>0</v>
      </c>
      <c r="F1779">
        <v>0</v>
      </c>
      <c r="G1779" t="s">
        <v>2</v>
      </c>
      <c r="H1779" cm="1">
        <f t="array" ref="H1779">sentimentCalc(B1779)</f>
        <v>0</v>
      </c>
      <c r="I1779" s="5" t="str" cm="1">
        <f t="array" ref="I1779">sentimentCategory(H1779)</f>
        <v>Neutral</v>
      </c>
    </row>
    <row r="1780" spans="1:9" x14ac:dyDescent="0.2">
      <c r="A1780" s="3">
        <v>46745.921492997688</v>
      </c>
      <c r="B1780" t="s">
        <v>1927</v>
      </c>
      <c r="C1780" t="s">
        <v>1638</v>
      </c>
      <c r="D1780" t="s">
        <v>1928</v>
      </c>
      <c r="E1780">
        <v>0</v>
      </c>
      <c r="F1780">
        <v>0</v>
      </c>
      <c r="G1780" t="s">
        <v>2</v>
      </c>
      <c r="H1780" cm="1">
        <f t="array" ref="H1780">sentimentCalc(B1780)</f>
        <v>10</v>
      </c>
      <c r="I1780" s="5" t="str" cm="1">
        <f t="array" ref="I1780">sentimentCategory(H1780)</f>
        <v>Positive</v>
      </c>
    </row>
    <row r="1781" spans="1:9" x14ac:dyDescent="0.2">
      <c r="A1781" s="3">
        <v>46746.921492997688</v>
      </c>
      <c r="B1781" t="s">
        <v>1929</v>
      </c>
      <c r="C1781" t="s">
        <v>290</v>
      </c>
      <c r="D1781" t="s">
        <v>291</v>
      </c>
      <c r="E1781">
        <v>0</v>
      </c>
      <c r="F1781">
        <v>0</v>
      </c>
      <c r="G1781" t="s">
        <v>2</v>
      </c>
      <c r="H1781" cm="1">
        <f t="array" ref="H1781">sentimentCalc(B1781)</f>
        <v>0</v>
      </c>
      <c r="I1781" s="5" t="str" cm="1">
        <f t="array" ref="I1781">sentimentCategory(H1781)</f>
        <v>Neutral</v>
      </c>
    </row>
    <row r="1782" spans="1:9" x14ac:dyDescent="0.2">
      <c r="A1782" s="3">
        <v>46747.921492997688</v>
      </c>
      <c r="B1782" t="s">
        <v>1930</v>
      </c>
      <c r="C1782" t="s">
        <v>669</v>
      </c>
      <c r="D1782" t="s">
        <v>1931</v>
      </c>
      <c r="E1782">
        <v>0</v>
      </c>
      <c r="F1782">
        <v>1</v>
      </c>
      <c r="G1782" t="s">
        <v>2</v>
      </c>
      <c r="H1782" cm="1">
        <f t="array" ref="H1782">sentimentCalc(B1782)</f>
        <v>0</v>
      </c>
      <c r="I1782" s="5" t="str" cm="1">
        <f t="array" ref="I1782">sentimentCategory(H1782)</f>
        <v>Neutral</v>
      </c>
    </row>
    <row r="1783" spans="1:9" x14ac:dyDescent="0.2">
      <c r="A1783" s="3">
        <v>46748.921492997688</v>
      </c>
      <c r="B1783" t="s">
        <v>1932</v>
      </c>
      <c r="C1783" t="s">
        <v>1796</v>
      </c>
      <c r="D1783" t="s">
        <v>1933</v>
      </c>
      <c r="E1783">
        <v>0</v>
      </c>
      <c r="F1783">
        <v>18</v>
      </c>
      <c r="G1783" t="s">
        <v>2</v>
      </c>
      <c r="H1783" cm="1">
        <f t="array" ref="H1783">sentimentCalc(B1783)</f>
        <v>0</v>
      </c>
      <c r="I1783" s="5" t="str" cm="1">
        <f t="array" ref="I1783">sentimentCategory(H1783)</f>
        <v>Neutral</v>
      </c>
    </row>
    <row r="1784" spans="1:9" x14ac:dyDescent="0.2">
      <c r="A1784" s="3">
        <v>46749.921492997688</v>
      </c>
      <c r="B1784" t="s">
        <v>1795</v>
      </c>
      <c r="C1784" t="s">
        <v>1934</v>
      </c>
      <c r="D1784" t="s">
        <v>109</v>
      </c>
      <c r="E1784">
        <v>0</v>
      </c>
      <c r="F1784">
        <v>0</v>
      </c>
      <c r="G1784" t="s">
        <v>2</v>
      </c>
      <c r="H1784" cm="1">
        <f t="array" ref="H1784">sentimentCalc(B1784)</f>
        <v>0</v>
      </c>
      <c r="I1784" s="5" t="str" cm="1">
        <f t="array" ref="I1784">sentimentCategory(H1784)</f>
        <v>Neutral</v>
      </c>
    </row>
    <row r="1785" spans="1:9" x14ac:dyDescent="0.2">
      <c r="A1785" s="3">
        <v>46750.921492997688</v>
      </c>
      <c r="B1785" t="s">
        <v>1935</v>
      </c>
      <c r="C1785" t="s">
        <v>1152</v>
      </c>
      <c r="D1785" t="s">
        <v>1153</v>
      </c>
      <c r="E1785">
        <v>0</v>
      </c>
      <c r="F1785">
        <v>1</v>
      </c>
      <c r="G1785" t="s">
        <v>2</v>
      </c>
      <c r="H1785" cm="1">
        <f t="array" ref="H1785">sentimentCalc(B1785)</f>
        <v>0</v>
      </c>
      <c r="I1785" s="5" t="str" cm="1">
        <f t="array" ref="I1785">sentimentCategory(H1785)</f>
        <v>Neutral</v>
      </c>
    </row>
    <row r="1786" spans="1:9" x14ac:dyDescent="0.2">
      <c r="A1786" s="3">
        <v>46751.921492997688</v>
      </c>
      <c r="B1786" t="s">
        <v>3</v>
      </c>
      <c r="C1786" t="s">
        <v>4</v>
      </c>
      <c r="D1786" t="s">
        <v>5</v>
      </c>
      <c r="E1786">
        <v>0</v>
      </c>
      <c r="F1786">
        <v>0</v>
      </c>
      <c r="G1786" t="s">
        <v>2</v>
      </c>
      <c r="H1786" cm="1">
        <f t="array" ref="H1786">sentimentCalc(B1786)</f>
        <v>0</v>
      </c>
      <c r="I1786" s="5" t="str" cm="1">
        <f t="array" ref="I1786">sentimentCategory(H1786)</f>
        <v>Neutral</v>
      </c>
    </row>
    <row r="1787" spans="1:9" x14ac:dyDescent="0.2">
      <c r="A1787" s="3">
        <v>46752.921492997688</v>
      </c>
      <c r="B1787" t="s">
        <v>1936</v>
      </c>
      <c r="C1787" t="s">
        <v>1937</v>
      </c>
      <c r="D1787" t="s">
        <v>1938</v>
      </c>
      <c r="E1787">
        <v>0</v>
      </c>
      <c r="F1787">
        <v>0</v>
      </c>
      <c r="G1787" t="s">
        <v>2</v>
      </c>
      <c r="H1787" cm="1">
        <f t="array" ref="H1787">sentimentCalc(B1787)</f>
        <v>10</v>
      </c>
      <c r="I1787" s="5" t="str" cm="1">
        <f t="array" ref="I1787">sentimentCategory(H1787)</f>
        <v>Positive</v>
      </c>
    </row>
    <row r="1788" spans="1:9" x14ac:dyDescent="0.2">
      <c r="A1788" s="3">
        <v>46753.921492997688</v>
      </c>
      <c r="B1788" t="s">
        <v>729</v>
      </c>
      <c r="C1788" t="s">
        <v>290</v>
      </c>
      <c r="D1788" t="s">
        <v>291</v>
      </c>
      <c r="E1788">
        <v>0</v>
      </c>
      <c r="F1788">
        <v>0</v>
      </c>
      <c r="G1788" t="s">
        <v>2</v>
      </c>
      <c r="H1788" cm="1">
        <f t="array" ref="H1788">sentimentCalc(B1788)</f>
        <v>0</v>
      </c>
      <c r="I1788" s="5" t="str" cm="1">
        <f t="array" ref="I1788">sentimentCategory(H1788)</f>
        <v>Neutral</v>
      </c>
    </row>
    <row r="1789" spans="1:9" x14ac:dyDescent="0.2">
      <c r="A1789" s="3">
        <v>46754.921492997688</v>
      </c>
      <c r="B1789" t="s">
        <v>997</v>
      </c>
      <c r="C1789" t="s">
        <v>1939</v>
      </c>
      <c r="D1789" t="s">
        <v>1693</v>
      </c>
      <c r="E1789">
        <v>0</v>
      </c>
      <c r="F1789">
        <v>0</v>
      </c>
      <c r="G1789" t="s">
        <v>2</v>
      </c>
      <c r="H1789" cm="1">
        <f t="array" ref="H1789">sentimentCalc(B1789)</f>
        <v>10</v>
      </c>
      <c r="I1789" s="5" t="str" cm="1">
        <f t="array" ref="I1789">sentimentCategory(H1789)</f>
        <v>Positive</v>
      </c>
    </row>
    <row r="1790" spans="1:9" x14ac:dyDescent="0.2">
      <c r="A1790" s="3">
        <v>46755.921492997688</v>
      </c>
      <c r="B1790" t="s">
        <v>735</v>
      </c>
      <c r="C1790" t="s">
        <v>98</v>
      </c>
      <c r="D1790" t="s">
        <v>13</v>
      </c>
      <c r="E1790">
        <v>0</v>
      </c>
      <c r="F1790">
        <v>0</v>
      </c>
      <c r="G1790" t="s">
        <v>2</v>
      </c>
      <c r="H1790" cm="1">
        <f t="array" ref="H1790">sentimentCalc(B1790)</f>
        <v>10</v>
      </c>
      <c r="I1790" s="5" t="str" cm="1">
        <f t="array" ref="I1790">sentimentCategory(H1790)</f>
        <v>Positive</v>
      </c>
    </row>
    <row r="1791" spans="1:9" x14ac:dyDescent="0.2">
      <c r="A1791" s="3">
        <v>46756.921492997688</v>
      </c>
      <c r="B1791" t="s">
        <v>325</v>
      </c>
      <c r="C1791" t="s">
        <v>143</v>
      </c>
      <c r="D1791" t="s">
        <v>129</v>
      </c>
      <c r="E1791">
        <v>0</v>
      </c>
      <c r="F1791">
        <v>0</v>
      </c>
      <c r="G1791" t="s">
        <v>2</v>
      </c>
      <c r="H1791" cm="1">
        <f t="array" ref="H1791">sentimentCalc(B1791)</f>
        <v>-10</v>
      </c>
      <c r="I1791" s="5" t="str" cm="1">
        <f t="array" ref="I1791">sentimentCategory(H1791)</f>
        <v>Negative</v>
      </c>
    </row>
    <row r="1792" spans="1:9" x14ac:dyDescent="0.2">
      <c r="A1792" s="3">
        <v>46757.921492997688</v>
      </c>
      <c r="B1792" t="s">
        <v>1940</v>
      </c>
      <c r="C1792" t="s">
        <v>1941</v>
      </c>
      <c r="D1792" t="s">
        <v>1942</v>
      </c>
      <c r="E1792">
        <v>1</v>
      </c>
      <c r="F1792">
        <v>4</v>
      </c>
      <c r="G1792" t="s">
        <v>2</v>
      </c>
      <c r="H1792" cm="1">
        <f t="array" ref="H1792">sentimentCalc(B1792)</f>
        <v>0</v>
      </c>
      <c r="I1792" s="5" t="str" cm="1">
        <f t="array" ref="I1792">sentimentCategory(H1792)</f>
        <v>Neutral</v>
      </c>
    </row>
    <row r="1793" spans="1:9" x14ac:dyDescent="0.2">
      <c r="A1793" s="3">
        <v>46758.921492997688</v>
      </c>
      <c r="B1793" t="s">
        <v>1943</v>
      </c>
      <c r="C1793" t="s">
        <v>1106</v>
      </c>
      <c r="D1793" t="s">
        <v>1107</v>
      </c>
      <c r="E1793">
        <v>50</v>
      </c>
      <c r="F1793">
        <v>45</v>
      </c>
      <c r="G1793" t="s">
        <v>2</v>
      </c>
      <c r="H1793" cm="1">
        <f t="array" ref="H1793">sentimentCalc(B1793)</f>
        <v>0</v>
      </c>
      <c r="I1793" s="5" t="str" cm="1">
        <f t="array" ref="I1793">sentimentCategory(H1793)</f>
        <v>Neutral</v>
      </c>
    </row>
    <row r="1794" spans="1:9" x14ac:dyDescent="0.2">
      <c r="A1794" s="3">
        <v>46759.921492997688</v>
      </c>
      <c r="B1794" t="s">
        <v>1828</v>
      </c>
      <c r="C1794" t="s">
        <v>143</v>
      </c>
      <c r="D1794" t="s">
        <v>129</v>
      </c>
      <c r="E1794">
        <v>0</v>
      </c>
      <c r="F1794">
        <v>0</v>
      </c>
      <c r="G1794" t="s">
        <v>2</v>
      </c>
      <c r="H1794" cm="1">
        <f t="array" ref="H1794">sentimentCalc(B1794)</f>
        <v>0</v>
      </c>
      <c r="I1794" s="5" t="str" cm="1">
        <f t="array" ref="I1794">sentimentCategory(H1794)</f>
        <v>Neutral</v>
      </c>
    </row>
    <row r="1795" spans="1:9" x14ac:dyDescent="0.2">
      <c r="A1795" s="3">
        <v>46760.921492997688</v>
      </c>
      <c r="B1795" t="s">
        <v>1944</v>
      </c>
      <c r="C1795" t="s">
        <v>1945</v>
      </c>
      <c r="E1795">
        <v>0</v>
      </c>
      <c r="F1795">
        <v>0</v>
      </c>
      <c r="G1795" t="s">
        <v>2</v>
      </c>
      <c r="H1795" cm="1">
        <f t="array" ref="H1795">sentimentCalc(B1795)</f>
        <v>0</v>
      </c>
      <c r="I1795" s="5" t="str" cm="1">
        <f t="array" ref="I1795">sentimentCategory(H1795)</f>
        <v>Neutral</v>
      </c>
    </row>
    <row r="1796" spans="1:9" x14ac:dyDescent="0.2">
      <c r="A1796" s="3">
        <v>46761.921492997688</v>
      </c>
      <c r="B1796" t="s">
        <v>1946</v>
      </c>
      <c r="C1796" t="s">
        <v>1847</v>
      </c>
      <c r="D1796" t="s">
        <v>1947</v>
      </c>
      <c r="E1796">
        <v>0</v>
      </c>
      <c r="F1796">
        <v>0</v>
      </c>
      <c r="G1796" t="s">
        <v>2</v>
      </c>
      <c r="H1796" cm="1">
        <f t="array" ref="H1796">sentimentCalc(B1796)</f>
        <v>0</v>
      </c>
      <c r="I1796" s="5" t="str" cm="1">
        <f t="array" ref="I1796">sentimentCategory(H1796)</f>
        <v>Neutral</v>
      </c>
    </row>
    <row r="1797" spans="1:9" x14ac:dyDescent="0.2">
      <c r="A1797" s="3">
        <v>46762.921492997688</v>
      </c>
      <c r="B1797" t="s">
        <v>1948</v>
      </c>
      <c r="C1797" t="s">
        <v>1847</v>
      </c>
      <c r="D1797" t="s">
        <v>1947</v>
      </c>
      <c r="E1797">
        <v>1</v>
      </c>
      <c r="F1797">
        <v>3</v>
      </c>
      <c r="G1797" t="s">
        <v>2</v>
      </c>
      <c r="H1797" cm="1">
        <f t="array" ref="H1797">sentimentCalc(B1797)</f>
        <v>0</v>
      </c>
      <c r="I1797" s="5" t="str" cm="1">
        <f t="array" ref="I1797">sentimentCategory(H1797)</f>
        <v>Neutral</v>
      </c>
    </row>
    <row r="1798" spans="1:9" x14ac:dyDescent="0.2">
      <c r="A1798" s="3">
        <v>46763.921492997688</v>
      </c>
      <c r="B1798" t="s">
        <v>1949</v>
      </c>
      <c r="C1798" t="s">
        <v>1950</v>
      </c>
      <c r="E1798">
        <v>0</v>
      </c>
      <c r="F1798">
        <v>0</v>
      </c>
      <c r="G1798" t="s">
        <v>2</v>
      </c>
      <c r="H1798" cm="1">
        <f t="array" ref="H1798">sentimentCalc(B1798)</f>
        <v>10</v>
      </c>
      <c r="I1798" s="5" t="str" cm="1">
        <f t="array" ref="I1798">sentimentCategory(H1798)</f>
        <v>Positive</v>
      </c>
    </row>
    <row r="1799" spans="1:9" x14ac:dyDescent="0.2">
      <c r="A1799" s="3">
        <v>46764.921492997688</v>
      </c>
      <c r="B1799" t="s">
        <v>218</v>
      </c>
      <c r="C1799" t="s">
        <v>22</v>
      </c>
      <c r="E1799">
        <v>0</v>
      </c>
      <c r="F1799">
        <v>0</v>
      </c>
      <c r="G1799" t="s">
        <v>2</v>
      </c>
      <c r="H1799" cm="1">
        <f t="array" ref="H1799">sentimentCalc(B1799)</f>
        <v>0</v>
      </c>
      <c r="I1799" s="5" t="str" cm="1">
        <f t="array" ref="I1799">sentimentCategory(H1799)</f>
        <v>Neutral</v>
      </c>
    </row>
    <row r="1800" spans="1:9" x14ac:dyDescent="0.2">
      <c r="A1800" s="3">
        <v>46765.921492997688</v>
      </c>
      <c r="B1800" t="s">
        <v>1533</v>
      </c>
      <c r="C1800" t="s">
        <v>98</v>
      </c>
      <c r="D1800" t="s">
        <v>13</v>
      </c>
      <c r="E1800">
        <v>0</v>
      </c>
      <c r="F1800">
        <v>0</v>
      </c>
      <c r="G1800" t="s">
        <v>2</v>
      </c>
      <c r="H1800" cm="1">
        <f t="array" ref="H1800">sentimentCalc(B1800)</f>
        <v>0</v>
      </c>
      <c r="I1800" s="5" t="str" cm="1">
        <f t="array" ref="I1800">sentimentCategory(H1800)</f>
        <v>Neutral</v>
      </c>
    </row>
    <row r="1801" spans="1:9" x14ac:dyDescent="0.2">
      <c r="A1801" s="3">
        <v>46766.921492997688</v>
      </c>
      <c r="B1801" t="s">
        <v>1951</v>
      </c>
      <c r="C1801" t="s">
        <v>1952</v>
      </c>
      <c r="D1801" t="s">
        <v>1953</v>
      </c>
      <c r="E1801">
        <v>0</v>
      </c>
      <c r="F1801">
        <v>1</v>
      </c>
      <c r="G1801" t="s">
        <v>2</v>
      </c>
      <c r="H1801" cm="1">
        <f t="array" ref="H1801">sentimentCalc(B1801)</f>
        <v>0</v>
      </c>
      <c r="I1801" s="5" t="str" cm="1">
        <f t="array" ref="I1801">sentimentCategory(H1801)</f>
        <v>Neutral</v>
      </c>
    </row>
    <row r="1802" spans="1:9" x14ac:dyDescent="0.2">
      <c r="A1802" s="3">
        <v>46767.921492997688</v>
      </c>
      <c r="B1802" t="s">
        <v>1954</v>
      </c>
      <c r="C1802" t="s">
        <v>7</v>
      </c>
      <c r="E1802">
        <v>0</v>
      </c>
      <c r="F1802">
        <v>0</v>
      </c>
      <c r="G1802" t="s">
        <v>2</v>
      </c>
      <c r="H1802" cm="1">
        <f t="array" ref="H1802">sentimentCalc(B1802)</f>
        <v>0</v>
      </c>
      <c r="I1802" s="5" t="str" cm="1">
        <f t="array" ref="I1802">sentimentCategory(H1802)</f>
        <v>Neutral</v>
      </c>
    </row>
    <row r="1803" spans="1:9" x14ac:dyDescent="0.2">
      <c r="A1803" s="3">
        <v>46768.921492997688</v>
      </c>
      <c r="B1803" t="s">
        <v>1955</v>
      </c>
      <c r="C1803" t="s">
        <v>171</v>
      </c>
      <c r="E1803">
        <v>0</v>
      </c>
      <c r="F1803">
        <v>0</v>
      </c>
      <c r="G1803" t="s">
        <v>2</v>
      </c>
      <c r="H1803" cm="1">
        <f t="array" ref="H1803">sentimentCalc(B1803)</f>
        <v>0</v>
      </c>
      <c r="I1803" s="5" t="str" cm="1">
        <f t="array" ref="I1803">sentimentCategory(H1803)</f>
        <v>Neutral</v>
      </c>
    </row>
    <row r="1804" spans="1:9" x14ac:dyDescent="0.2">
      <c r="A1804" s="3">
        <v>46769.921492997688</v>
      </c>
      <c r="B1804" t="s">
        <v>36</v>
      </c>
      <c r="C1804" t="s">
        <v>33</v>
      </c>
      <c r="D1804" t="s">
        <v>34</v>
      </c>
      <c r="E1804">
        <v>0</v>
      </c>
      <c r="F1804">
        <v>0</v>
      </c>
      <c r="G1804" t="s">
        <v>2</v>
      </c>
      <c r="H1804" cm="1">
        <f t="array" ref="H1804">sentimentCalc(B1804)</f>
        <v>10</v>
      </c>
      <c r="I1804" s="5" t="str" cm="1">
        <f t="array" ref="I1804">sentimentCategory(H1804)</f>
        <v>Positive</v>
      </c>
    </row>
    <row r="1805" spans="1:9" x14ac:dyDescent="0.2">
      <c r="A1805" s="3">
        <v>46770.921492997688</v>
      </c>
      <c r="B1805" t="s">
        <v>1956</v>
      </c>
      <c r="C1805" t="s">
        <v>33</v>
      </c>
      <c r="D1805" t="s">
        <v>34</v>
      </c>
      <c r="E1805">
        <v>0</v>
      </c>
      <c r="F1805">
        <v>0</v>
      </c>
      <c r="G1805" t="s">
        <v>2</v>
      </c>
      <c r="H1805" cm="1">
        <f t="array" ref="H1805">sentimentCalc(B1805)</f>
        <v>0</v>
      </c>
      <c r="I1805" s="5" t="str" cm="1">
        <f t="array" ref="I1805">sentimentCategory(H1805)</f>
        <v>Neutral</v>
      </c>
    </row>
    <row r="1806" spans="1:9" x14ac:dyDescent="0.2">
      <c r="A1806" s="3"/>
      <c r="H1806" cm="1">
        <f t="array" ref="H1806">sentimentCalc(B1806)</f>
        <v>0</v>
      </c>
      <c r="I1806" s="5" t="str" cm="1">
        <f t="array" ref="I1806">sentimentCategory(H1806)</f>
        <v>Neutral</v>
      </c>
    </row>
    <row r="1807" spans="1:9" x14ac:dyDescent="0.2">
      <c r="A1807" s="3">
        <v>46772.921492997688</v>
      </c>
      <c r="B1807" t="s">
        <v>35</v>
      </c>
      <c r="C1807" t="s">
        <v>33</v>
      </c>
      <c r="D1807" t="s">
        <v>34</v>
      </c>
      <c r="E1807">
        <v>0</v>
      </c>
      <c r="F1807">
        <v>0</v>
      </c>
      <c r="G1807" t="s">
        <v>2</v>
      </c>
      <c r="H1807" cm="1">
        <f t="array" ref="H1807">sentimentCalc(B1807)</f>
        <v>0</v>
      </c>
      <c r="I1807" s="5" t="str" cm="1">
        <f t="array" ref="I1807">sentimentCategory(H1807)</f>
        <v>Neutral</v>
      </c>
    </row>
    <row r="1808" spans="1:9" x14ac:dyDescent="0.2">
      <c r="A1808" s="3">
        <v>46773.921492997688</v>
      </c>
      <c r="B1808" t="s">
        <v>1957</v>
      </c>
      <c r="C1808" t="s">
        <v>905</v>
      </c>
      <c r="D1808" t="s">
        <v>1958</v>
      </c>
      <c r="E1808">
        <v>0</v>
      </c>
      <c r="F1808">
        <v>0</v>
      </c>
      <c r="G1808" t="s">
        <v>2</v>
      </c>
      <c r="H1808" cm="1">
        <f t="array" ref="H1808">sentimentCalc(B1808)</f>
        <v>0</v>
      </c>
      <c r="I1808" s="5" t="str" cm="1">
        <f t="array" ref="I1808">sentimentCategory(H1808)</f>
        <v>Neutral</v>
      </c>
    </row>
    <row r="1809" spans="1:9" x14ac:dyDescent="0.2">
      <c r="A1809" s="3">
        <v>46774.921492997688</v>
      </c>
      <c r="B1809" t="s">
        <v>1959</v>
      </c>
      <c r="C1809" t="s">
        <v>1960</v>
      </c>
      <c r="D1809" t="s">
        <v>786</v>
      </c>
      <c r="E1809">
        <v>0</v>
      </c>
      <c r="F1809">
        <v>1</v>
      </c>
      <c r="G1809" t="s">
        <v>2</v>
      </c>
      <c r="H1809" cm="1">
        <f t="array" ref="H1809">sentimentCalc(B1809)</f>
        <v>0</v>
      </c>
      <c r="I1809" s="5" t="str" cm="1">
        <f t="array" ref="I1809">sentimentCategory(H1809)</f>
        <v>Neutral</v>
      </c>
    </row>
    <row r="1810" spans="1:9" x14ac:dyDescent="0.2">
      <c r="A1810" s="3">
        <v>46775.921492997688</v>
      </c>
      <c r="B1810" t="s">
        <v>3</v>
      </c>
      <c r="C1810" t="s">
        <v>4</v>
      </c>
      <c r="D1810" t="s">
        <v>5</v>
      </c>
      <c r="E1810">
        <v>0</v>
      </c>
      <c r="F1810">
        <v>0</v>
      </c>
      <c r="G1810" t="s">
        <v>2</v>
      </c>
      <c r="H1810" cm="1">
        <f t="array" ref="H1810">sentimentCalc(B1810)</f>
        <v>0</v>
      </c>
      <c r="I1810" s="5" t="str" cm="1">
        <f t="array" ref="I1810">sentimentCategory(H1810)</f>
        <v>Neutral</v>
      </c>
    </row>
    <row r="1811" spans="1:9" x14ac:dyDescent="0.2">
      <c r="A1811" s="3">
        <v>46776.921492997688</v>
      </c>
      <c r="B1811" t="s">
        <v>1961</v>
      </c>
      <c r="C1811" t="s">
        <v>1962</v>
      </c>
      <c r="E1811">
        <v>0</v>
      </c>
      <c r="F1811">
        <v>0</v>
      </c>
      <c r="G1811" t="s">
        <v>2</v>
      </c>
      <c r="H1811" cm="1">
        <f t="array" ref="H1811">sentimentCalc(B1811)</f>
        <v>0</v>
      </c>
      <c r="I1811" s="5" t="str" cm="1">
        <f t="array" ref="I1811">sentimentCategory(H1811)</f>
        <v>Neutral</v>
      </c>
    </row>
    <row r="1812" spans="1:9" x14ac:dyDescent="0.2">
      <c r="A1812" s="3">
        <v>46777.921492997688</v>
      </c>
      <c r="B1812" t="s">
        <v>1963</v>
      </c>
      <c r="C1812" t="s">
        <v>1964</v>
      </c>
      <c r="E1812">
        <v>0</v>
      </c>
      <c r="F1812">
        <v>0</v>
      </c>
      <c r="G1812" t="s">
        <v>2</v>
      </c>
      <c r="H1812" cm="1">
        <f t="array" ref="H1812">sentimentCalc(B1812)</f>
        <v>0</v>
      </c>
      <c r="I1812" s="5" t="str" cm="1">
        <f t="array" ref="I1812">sentimentCategory(H1812)</f>
        <v>Neutral</v>
      </c>
    </row>
    <row r="1813" spans="1:9" x14ac:dyDescent="0.2">
      <c r="A1813" s="3">
        <v>46778.921492997688</v>
      </c>
      <c r="B1813" t="s">
        <v>1965</v>
      </c>
      <c r="C1813" t="s">
        <v>1962</v>
      </c>
      <c r="E1813">
        <v>0</v>
      </c>
      <c r="F1813">
        <v>0</v>
      </c>
      <c r="G1813" t="s">
        <v>2</v>
      </c>
      <c r="H1813" cm="1">
        <f t="array" ref="H1813">sentimentCalc(B1813)</f>
        <v>0</v>
      </c>
      <c r="I1813" s="5" t="str" cm="1">
        <f t="array" ref="I1813">sentimentCategory(H1813)</f>
        <v>Neutral</v>
      </c>
    </row>
    <row r="1814" spans="1:9" x14ac:dyDescent="0.2">
      <c r="A1814" s="3">
        <v>46779.921492997688</v>
      </c>
      <c r="B1814" t="s">
        <v>1966</v>
      </c>
      <c r="C1814" t="s">
        <v>1268</v>
      </c>
      <c r="D1814" t="s">
        <v>1269</v>
      </c>
      <c r="E1814">
        <v>0</v>
      </c>
      <c r="F1814">
        <v>1</v>
      </c>
      <c r="G1814" t="s">
        <v>2</v>
      </c>
      <c r="H1814" cm="1">
        <f t="array" ref="H1814">sentimentCalc(B1814)</f>
        <v>10</v>
      </c>
      <c r="I1814" s="5" t="str" cm="1">
        <f t="array" ref="I1814">sentimentCategory(H1814)</f>
        <v>Positive</v>
      </c>
    </row>
    <row r="1815" spans="1:9" x14ac:dyDescent="0.2">
      <c r="A1815" s="3">
        <v>46780.921492997688</v>
      </c>
      <c r="B1815" t="s">
        <v>1967</v>
      </c>
      <c r="C1815" t="s">
        <v>1968</v>
      </c>
      <c r="D1815" t="s">
        <v>1969</v>
      </c>
      <c r="E1815">
        <v>0</v>
      </c>
      <c r="F1815">
        <v>0</v>
      </c>
      <c r="G1815" t="s">
        <v>2</v>
      </c>
      <c r="H1815" cm="1">
        <f t="array" ref="H1815">sentimentCalc(B1815)</f>
        <v>10</v>
      </c>
      <c r="I1815" s="5" t="str" cm="1">
        <f t="array" ref="I1815">sentimentCategory(H1815)</f>
        <v>Positive</v>
      </c>
    </row>
    <row r="1816" spans="1:9" x14ac:dyDescent="0.2">
      <c r="A1816" s="3">
        <v>46781.921492997688</v>
      </c>
      <c r="B1816" t="s">
        <v>1970</v>
      </c>
      <c r="C1816" t="s">
        <v>1971</v>
      </c>
      <c r="D1816" t="s">
        <v>786</v>
      </c>
      <c r="E1816">
        <v>3</v>
      </c>
      <c r="F1816">
        <v>7</v>
      </c>
      <c r="G1816" t="s">
        <v>2</v>
      </c>
      <c r="H1816" cm="1">
        <f t="array" ref="H1816">sentimentCalc(B1816)</f>
        <v>0</v>
      </c>
      <c r="I1816" s="5" t="str" cm="1">
        <f t="array" ref="I1816">sentimentCategory(H1816)</f>
        <v>Neutral</v>
      </c>
    </row>
    <row r="1817" spans="1:9" x14ac:dyDescent="0.2">
      <c r="A1817" s="3">
        <v>46782.921492997688</v>
      </c>
      <c r="B1817" t="s">
        <v>1972</v>
      </c>
      <c r="C1817" t="s">
        <v>1973</v>
      </c>
      <c r="E1817">
        <v>0</v>
      </c>
      <c r="F1817">
        <v>1</v>
      </c>
      <c r="G1817" t="s">
        <v>2</v>
      </c>
      <c r="H1817" cm="1">
        <f t="array" ref="H1817">sentimentCalc(B1817)</f>
        <v>0</v>
      </c>
      <c r="I1817" s="5" t="str" cm="1">
        <f t="array" ref="I1817">sentimentCategory(H1817)</f>
        <v>Neutral</v>
      </c>
    </row>
    <row r="1818" spans="1:9" x14ac:dyDescent="0.2">
      <c r="A1818" s="3">
        <v>46783.921492997688</v>
      </c>
      <c r="B1818" t="s">
        <v>1974</v>
      </c>
      <c r="C1818" t="s">
        <v>1975</v>
      </c>
      <c r="D1818" t="s">
        <v>1976</v>
      </c>
      <c r="E1818">
        <v>0</v>
      </c>
      <c r="F1818">
        <v>0</v>
      </c>
      <c r="G1818" t="s">
        <v>2</v>
      </c>
      <c r="H1818" cm="1">
        <f t="array" ref="H1818">sentimentCalc(B1818)</f>
        <v>0</v>
      </c>
      <c r="I1818" s="5" t="str" cm="1">
        <f t="array" ref="I1818">sentimentCategory(H1818)</f>
        <v>Neutral</v>
      </c>
    </row>
    <row r="1819" spans="1:9" x14ac:dyDescent="0.2">
      <c r="A1819" s="3">
        <v>46784.921492997688</v>
      </c>
      <c r="B1819" t="s">
        <v>1977</v>
      </c>
      <c r="C1819" t="s">
        <v>1978</v>
      </c>
      <c r="D1819" t="s">
        <v>1979</v>
      </c>
      <c r="E1819">
        <v>0</v>
      </c>
      <c r="F1819">
        <v>1</v>
      </c>
      <c r="G1819" t="s">
        <v>2</v>
      </c>
      <c r="H1819" cm="1">
        <f t="array" ref="H1819">sentimentCalc(B1819)</f>
        <v>0</v>
      </c>
      <c r="I1819" s="5" t="str" cm="1">
        <f t="array" ref="I1819">sentimentCategory(H1819)</f>
        <v>Neutral</v>
      </c>
    </row>
    <row r="1820" spans="1:9" x14ac:dyDescent="0.2">
      <c r="A1820" s="3">
        <v>46785.921492997688</v>
      </c>
      <c r="B1820" t="s">
        <v>1980</v>
      </c>
      <c r="C1820" t="s">
        <v>1981</v>
      </c>
      <c r="D1820" t="s">
        <v>278</v>
      </c>
      <c r="E1820">
        <v>0</v>
      </c>
      <c r="F1820">
        <v>0</v>
      </c>
      <c r="G1820" t="s">
        <v>2</v>
      </c>
      <c r="H1820" cm="1">
        <f t="array" ref="H1820">sentimentCalc(B1820)</f>
        <v>0</v>
      </c>
      <c r="I1820" s="5" t="str" cm="1">
        <f t="array" ref="I1820">sentimentCategory(H1820)</f>
        <v>Neutral</v>
      </c>
    </row>
    <row r="1821" spans="1:9" x14ac:dyDescent="0.2">
      <c r="A1821" s="3">
        <v>46786.921492997688</v>
      </c>
      <c r="B1821" t="s">
        <v>1982</v>
      </c>
      <c r="C1821" t="s">
        <v>1983</v>
      </c>
      <c r="D1821" t="s">
        <v>1984</v>
      </c>
      <c r="E1821">
        <v>1</v>
      </c>
      <c r="F1821">
        <v>1</v>
      </c>
      <c r="G1821" t="s">
        <v>2</v>
      </c>
      <c r="H1821" cm="1">
        <f t="array" ref="H1821">sentimentCalc(B1821)</f>
        <v>0</v>
      </c>
      <c r="I1821" s="5" t="str" cm="1">
        <f t="array" ref="I1821">sentimentCategory(H1821)</f>
        <v>Neutral</v>
      </c>
    </row>
    <row r="1822" spans="1:9" x14ac:dyDescent="0.2">
      <c r="A1822" s="3">
        <v>46787.921492997688</v>
      </c>
      <c r="B1822" t="s">
        <v>1985</v>
      </c>
      <c r="C1822" t="s">
        <v>956</v>
      </c>
      <c r="E1822">
        <v>0</v>
      </c>
      <c r="F1822">
        <v>2</v>
      </c>
      <c r="G1822" t="s">
        <v>2</v>
      </c>
      <c r="H1822" cm="1">
        <f t="array" ref="H1822">sentimentCalc(B1822)</f>
        <v>0</v>
      </c>
      <c r="I1822" s="5" t="str" cm="1">
        <f t="array" ref="I1822">sentimentCategory(H1822)</f>
        <v>Neutral</v>
      </c>
    </row>
    <row r="1823" spans="1:9" x14ac:dyDescent="0.2">
      <c r="A1823" s="3">
        <v>46788.921492997688</v>
      </c>
      <c r="B1823" t="s">
        <v>1986</v>
      </c>
      <c r="C1823" t="s">
        <v>1564</v>
      </c>
      <c r="E1823">
        <v>0</v>
      </c>
      <c r="F1823">
        <v>0</v>
      </c>
      <c r="G1823" t="s">
        <v>2</v>
      </c>
      <c r="H1823" cm="1">
        <f t="array" ref="H1823">sentimentCalc(B1823)</f>
        <v>0</v>
      </c>
      <c r="I1823" s="5" t="str" cm="1">
        <f t="array" ref="I1823">sentimentCategory(H1823)</f>
        <v>Neutral</v>
      </c>
    </row>
    <row r="1824" spans="1:9" x14ac:dyDescent="0.2">
      <c r="A1824" s="3">
        <v>46789.921492997688</v>
      </c>
      <c r="B1824" t="s">
        <v>806</v>
      </c>
      <c r="C1824" t="s">
        <v>134</v>
      </c>
      <c r="E1824">
        <v>0</v>
      </c>
      <c r="F1824">
        <v>0</v>
      </c>
      <c r="G1824" t="s">
        <v>2</v>
      </c>
      <c r="H1824" cm="1">
        <f t="array" ref="H1824">sentimentCalc(B1824)</f>
        <v>0</v>
      </c>
      <c r="I1824" s="5" t="str" cm="1">
        <f t="array" ref="I1824">sentimentCategory(H1824)</f>
        <v>Neutral</v>
      </c>
    </row>
    <row r="1825" spans="1:9" x14ac:dyDescent="0.2">
      <c r="A1825" s="3">
        <v>46790.921492997688</v>
      </c>
      <c r="B1825" t="s">
        <v>1987</v>
      </c>
      <c r="C1825" t="s">
        <v>1988</v>
      </c>
      <c r="E1825">
        <v>0</v>
      </c>
      <c r="F1825">
        <v>0</v>
      </c>
      <c r="G1825" t="s">
        <v>2</v>
      </c>
      <c r="H1825" cm="1">
        <f t="array" ref="H1825">sentimentCalc(B1825)</f>
        <v>0</v>
      </c>
      <c r="I1825" s="5" t="str" cm="1">
        <f t="array" ref="I1825">sentimentCategory(H1825)</f>
        <v>Neutral</v>
      </c>
    </row>
    <row r="1826" spans="1:9" x14ac:dyDescent="0.2">
      <c r="A1826" s="3">
        <v>46791.921492997688</v>
      </c>
      <c r="B1826" t="s">
        <v>476</v>
      </c>
      <c r="C1826" t="s">
        <v>143</v>
      </c>
      <c r="D1826" t="s">
        <v>129</v>
      </c>
      <c r="E1826">
        <v>0</v>
      </c>
      <c r="F1826">
        <v>0</v>
      </c>
      <c r="G1826" t="s">
        <v>2</v>
      </c>
      <c r="H1826" cm="1">
        <f t="array" ref="H1826">sentimentCalc(B1826)</f>
        <v>-10</v>
      </c>
      <c r="I1826" s="5" t="str" cm="1">
        <f t="array" ref="I1826">sentimentCategory(H1826)</f>
        <v>Negative</v>
      </c>
    </row>
    <row r="1827" spans="1:9" x14ac:dyDescent="0.2">
      <c r="A1827" s="3">
        <v>46792.921492997688</v>
      </c>
      <c r="B1827" t="s">
        <v>141</v>
      </c>
      <c r="C1827" t="s">
        <v>143</v>
      </c>
      <c r="D1827" t="s">
        <v>129</v>
      </c>
      <c r="E1827">
        <v>0</v>
      </c>
      <c r="F1827">
        <v>0</v>
      </c>
      <c r="G1827" t="s">
        <v>2</v>
      </c>
      <c r="H1827" cm="1">
        <f t="array" ref="H1827">sentimentCalc(B1827)</f>
        <v>0</v>
      </c>
      <c r="I1827" s="5" t="str" cm="1">
        <f t="array" ref="I1827">sentimentCategory(H1827)</f>
        <v>Neutral</v>
      </c>
    </row>
    <row r="1828" spans="1:9" x14ac:dyDescent="0.2">
      <c r="A1828" s="3">
        <v>46793.921492997688</v>
      </c>
      <c r="B1828" t="s">
        <v>1989</v>
      </c>
      <c r="C1828" t="s">
        <v>1983</v>
      </c>
      <c r="D1828" t="s">
        <v>1984</v>
      </c>
      <c r="E1828">
        <v>0</v>
      </c>
      <c r="F1828">
        <v>0</v>
      </c>
      <c r="G1828" t="s">
        <v>2</v>
      </c>
      <c r="H1828" cm="1">
        <f t="array" ref="H1828">sentimentCalc(B1828)</f>
        <v>0</v>
      </c>
      <c r="I1828" s="5" t="str" cm="1">
        <f t="array" ref="I1828">sentimentCategory(H1828)</f>
        <v>Neutral</v>
      </c>
    </row>
    <row r="1829" spans="1:9" x14ac:dyDescent="0.2">
      <c r="A1829" s="3">
        <v>46794.921492997688</v>
      </c>
      <c r="B1829" t="s">
        <v>3</v>
      </c>
      <c r="C1829" t="s">
        <v>4</v>
      </c>
      <c r="D1829" t="s">
        <v>5</v>
      </c>
      <c r="E1829">
        <v>0</v>
      </c>
      <c r="F1829">
        <v>0</v>
      </c>
      <c r="G1829" t="s">
        <v>2</v>
      </c>
      <c r="H1829" cm="1">
        <f t="array" ref="H1829">sentimentCalc(B1829)</f>
        <v>0</v>
      </c>
      <c r="I1829" s="5" t="str" cm="1">
        <f t="array" ref="I1829">sentimentCategory(H1829)</f>
        <v>Neutral</v>
      </c>
    </row>
    <row r="1830" spans="1:9" x14ac:dyDescent="0.2">
      <c r="A1830" s="3">
        <v>46795.921492997688</v>
      </c>
      <c r="B1830" t="s">
        <v>21</v>
      </c>
      <c r="C1830" t="s">
        <v>22</v>
      </c>
      <c r="E1830">
        <v>0</v>
      </c>
      <c r="F1830">
        <v>0</v>
      </c>
      <c r="G1830" t="s">
        <v>2</v>
      </c>
      <c r="H1830" cm="1">
        <f t="array" ref="H1830">sentimentCalc(B1830)</f>
        <v>0</v>
      </c>
      <c r="I1830" s="5" t="str" cm="1">
        <f t="array" ref="I1830">sentimentCategory(H1830)</f>
        <v>Neutral</v>
      </c>
    </row>
    <row r="1831" spans="1:9" x14ac:dyDescent="0.2">
      <c r="A1831" s="3">
        <v>46796.921492997688</v>
      </c>
      <c r="B1831" t="s">
        <v>1990</v>
      </c>
      <c r="C1831" t="s">
        <v>1415</v>
      </c>
      <c r="D1831" t="s">
        <v>210</v>
      </c>
      <c r="E1831">
        <v>0</v>
      </c>
      <c r="F1831">
        <v>0</v>
      </c>
      <c r="G1831" t="s">
        <v>2</v>
      </c>
      <c r="H1831" cm="1">
        <f t="array" ref="H1831">sentimentCalc(B1831)</f>
        <v>0</v>
      </c>
      <c r="I1831" s="5" t="str" cm="1">
        <f t="array" ref="I1831">sentimentCategory(H1831)</f>
        <v>Neutral</v>
      </c>
    </row>
    <row r="1832" spans="1:9" x14ac:dyDescent="0.2">
      <c r="A1832" s="3">
        <v>46797.921492997688</v>
      </c>
      <c r="B1832" t="s">
        <v>1991</v>
      </c>
      <c r="C1832" t="s">
        <v>1992</v>
      </c>
      <c r="E1832">
        <v>0</v>
      </c>
      <c r="F1832">
        <v>0</v>
      </c>
      <c r="G1832" t="s">
        <v>2</v>
      </c>
      <c r="H1832" cm="1">
        <f t="array" ref="H1832">sentimentCalc(B1832)</f>
        <v>0</v>
      </c>
      <c r="I1832" s="5" t="str" cm="1">
        <f t="array" ref="I1832">sentimentCategory(H1832)</f>
        <v>Neutral</v>
      </c>
    </row>
    <row r="1833" spans="1:9" x14ac:dyDescent="0.2">
      <c r="A1833" s="3">
        <v>46798.921492997688</v>
      </c>
      <c r="B1833" t="s">
        <v>1993</v>
      </c>
      <c r="C1833" t="s">
        <v>1912</v>
      </c>
      <c r="D1833" t="s">
        <v>189</v>
      </c>
      <c r="E1833">
        <v>0</v>
      </c>
      <c r="F1833">
        <v>0</v>
      </c>
      <c r="G1833" t="s">
        <v>2</v>
      </c>
      <c r="H1833" cm="1">
        <f t="array" ref="H1833">sentimentCalc(B1833)</f>
        <v>0</v>
      </c>
      <c r="I1833" s="5" t="str" cm="1">
        <f t="array" ref="I1833">sentimentCategory(H1833)</f>
        <v>Neutral</v>
      </c>
    </row>
    <row r="1834" spans="1:9" x14ac:dyDescent="0.2">
      <c r="A1834" s="3"/>
      <c r="H1834" cm="1">
        <f t="array" ref="H1834">sentimentCalc(B1834)</f>
        <v>0</v>
      </c>
      <c r="I1834" s="5" t="str" cm="1">
        <f t="array" ref="I1834">sentimentCategory(H1834)</f>
        <v>Neutral</v>
      </c>
    </row>
    <row r="1835" spans="1:9" x14ac:dyDescent="0.2">
      <c r="A1835" s="3">
        <v>46800.921492997688</v>
      </c>
      <c r="B1835" t="s">
        <v>1994</v>
      </c>
      <c r="C1835" t="s">
        <v>33</v>
      </c>
      <c r="D1835" t="s">
        <v>34</v>
      </c>
      <c r="E1835">
        <v>0</v>
      </c>
      <c r="F1835">
        <v>0</v>
      </c>
      <c r="G1835" t="s">
        <v>2</v>
      </c>
      <c r="H1835" cm="1">
        <f t="array" ref="H1835">sentimentCalc(B1835)</f>
        <v>0</v>
      </c>
      <c r="I1835" s="5" t="str" cm="1">
        <f t="array" ref="I1835">sentimentCategory(H1835)</f>
        <v>Neutral</v>
      </c>
    </row>
    <row r="1836" spans="1:9" x14ac:dyDescent="0.2">
      <c r="A1836" s="3">
        <v>46801.921492997688</v>
      </c>
      <c r="B1836" t="s">
        <v>37</v>
      </c>
      <c r="C1836" t="s">
        <v>33</v>
      </c>
      <c r="D1836" t="s">
        <v>34</v>
      </c>
      <c r="E1836">
        <v>0</v>
      </c>
      <c r="F1836">
        <v>0</v>
      </c>
      <c r="G1836" t="s">
        <v>2</v>
      </c>
      <c r="H1836" cm="1">
        <f t="array" ref="H1836">sentimentCalc(B1836)</f>
        <v>0</v>
      </c>
      <c r="I1836" s="5" t="str" cm="1">
        <f t="array" ref="I1836">sentimentCategory(H1836)</f>
        <v>Neutral</v>
      </c>
    </row>
    <row r="1837" spans="1:9" x14ac:dyDescent="0.2">
      <c r="A1837" s="3">
        <v>46802.921492997688</v>
      </c>
      <c r="B1837" t="s">
        <v>36</v>
      </c>
      <c r="C1837" t="s">
        <v>33</v>
      </c>
      <c r="D1837" t="s">
        <v>34</v>
      </c>
      <c r="E1837">
        <v>0</v>
      </c>
      <c r="F1837">
        <v>0</v>
      </c>
      <c r="G1837" t="s">
        <v>2</v>
      </c>
      <c r="H1837" cm="1">
        <f t="array" ref="H1837">sentimentCalc(B1837)</f>
        <v>10</v>
      </c>
      <c r="I1837" s="5" t="str" cm="1">
        <f t="array" ref="I1837">sentimentCategory(H1837)</f>
        <v>Positive</v>
      </c>
    </row>
    <row r="1838" spans="1:9" x14ac:dyDescent="0.2">
      <c r="A1838" s="3">
        <v>46803.921492997688</v>
      </c>
      <c r="B1838" t="s">
        <v>1995</v>
      </c>
      <c r="C1838" t="s">
        <v>1996</v>
      </c>
      <c r="E1838">
        <v>0</v>
      </c>
      <c r="F1838">
        <v>1</v>
      </c>
      <c r="G1838" t="s">
        <v>2</v>
      </c>
      <c r="H1838" cm="1">
        <f t="array" ref="H1838">sentimentCalc(B1838)</f>
        <v>0</v>
      </c>
      <c r="I1838" s="5" t="str" cm="1">
        <f t="array" ref="I1838">sentimentCategory(H1838)</f>
        <v>Neutral</v>
      </c>
    </row>
    <row r="1839" spans="1:9" x14ac:dyDescent="0.2">
      <c r="A1839" s="3">
        <v>46804.921492997688</v>
      </c>
      <c r="B1839" t="s">
        <v>1997</v>
      </c>
      <c r="C1839" t="s">
        <v>1912</v>
      </c>
      <c r="D1839" t="s">
        <v>189</v>
      </c>
      <c r="E1839">
        <v>0</v>
      </c>
      <c r="F1839">
        <v>0</v>
      </c>
      <c r="G1839" t="s">
        <v>2</v>
      </c>
      <c r="H1839" cm="1">
        <f t="array" ref="H1839">sentimentCalc(B1839)</f>
        <v>0</v>
      </c>
      <c r="I1839" s="5" t="str" cm="1">
        <f t="array" ref="I1839">sentimentCategory(H1839)</f>
        <v>Neutral</v>
      </c>
    </row>
    <row r="1840" spans="1:9" x14ac:dyDescent="0.2">
      <c r="A1840" s="3">
        <v>46805.921492997688</v>
      </c>
      <c r="B1840" t="s">
        <v>1998</v>
      </c>
      <c r="C1840" t="s">
        <v>1999</v>
      </c>
      <c r="E1840">
        <v>0</v>
      </c>
      <c r="F1840">
        <v>2</v>
      </c>
      <c r="G1840" t="s">
        <v>2</v>
      </c>
      <c r="H1840" cm="1">
        <f t="array" ref="H1840">sentimentCalc(B1840)</f>
        <v>0</v>
      </c>
      <c r="I1840" s="5" t="str" cm="1">
        <f t="array" ref="I1840">sentimentCategory(H1840)</f>
        <v>Neutral</v>
      </c>
    </row>
    <row r="1841" spans="1:9" x14ac:dyDescent="0.2">
      <c r="A1841" s="3">
        <v>46806.921492997688</v>
      </c>
      <c r="B1841" t="s">
        <v>2000</v>
      </c>
      <c r="C1841" t="s">
        <v>1240</v>
      </c>
      <c r="E1841">
        <v>0</v>
      </c>
      <c r="F1841">
        <v>0</v>
      </c>
      <c r="G1841" t="s">
        <v>2</v>
      </c>
      <c r="H1841" cm="1">
        <f t="array" ref="H1841">sentimentCalc(B1841)</f>
        <v>0</v>
      </c>
      <c r="I1841" s="5" t="str" cm="1">
        <f t="array" ref="I1841">sentimentCategory(H1841)</f>
        <v>Neutral</v>
      </c>
    </row>
    <row r="1842" spans="1:9" x14ac:dyDescent="0.2">
      <c r="A1842" s="3">
        <v>46807.921492997688</v>
      </c>
      <c r="B1842" t="s">
        <v>2001</v>
      </c>
      <c r="C1842" t="s">
        <v>290</v>
      </c>
      <c r="D1842" t="s">
        <v>291</v>
      </c>
      <c r="E1842">
        <v>0</v>
      </c>
      <c r="F1842">
        <v>0</v>
      </c>
      <c r="G1842" t="s">
        <v>2</v>
      </c>
      <c r="H1842" cm="1">
        <f t="array" ref="H1842">sentimentCalc(B1842)</f>
        <v>0</v>
      </c>
      <c r="I1842" s="5" t="str" cm="1">
        <f t="array" ref="I1842">sentimentCategory(H1842)</f>
        <v>Neutral</v>
      </c>
    </row>
    <row r="1843" spans="1:9" x14ac:dyDescent="0.2">
      <c r="A1843" s="3">
        <v>46808.921492997688</v>
      </c>
      <c r="B1843" t="s">
        <v>2002</v>
      </c>
      <c r="C1843" t="s">
        <v>614</v>
      </c>
      <c r="D1843" t="s">
        <v>1695</v>
      </c>
      <c r="E1843">
        <v>0</v>
      </c>
      <c r="F1843">
        <v>0</v>
      </c>
      <c r="G1843" t="s">
        <v>2</v>
      </c>
      <c r="H1843" cm="1">
        <f t="array" ref="H1843">sentimentCalc(B1843)</f>
        <v>0</v>
      </c>
      <c r="I1843" s="5" t="str" cm="1">
        <f t="array" ref="I1843">sentimentCategory(H1843)</f>
        <v>Neutral</v>
      </c>
    </row>
    <row r="1844" spans="1:9" x14ac:dyDescent="0.2">
      <c r="A1844" s="3">
        <v>46809.921492997688</v>
      </c>
      <c r="B1844" t="s">
        <v>2003</v>
      </c>
      <c r="C1844" t="s">
        <v>2004</v>
      </c>
      <c r="D1844" t="s">
        <v>2005</v>
      </c>
      <c r="E1844">
        <v>0</v>
      </c>
      <c r="F1844">
        <v>1</v>
      </c>
      <c r="G1844" t="s">
        <v>2</v>
      </c>
      <c r="H1844" cm="1">
        <f t="array" ref="H1844">sentimentCalc(B1844)</f>
        <v>0</v>
      </c>
      <c r="I1844" s="5" t="str" cm="1">
        <f t="array" ref="I1844">sentimentCategory(H1844)</f>
        <v>Neutral</v>
      </c>
    </row>
    <row r="1845" spans="1:9" x14ac:dyDescent="0.2">
      <c r="A1845" s="3">
        <v>46810.921492997688</v>
      </c>
      <c r="B1845" t="s">
        <v>2006</v>
      </c>
      <c r="C1845" t="s">
        <v>1999</v>
      </c>
      <c r="E1845">
        <v>1</v>
      </c>
      <c r="F1845">
        <v>3</v>
      </c>
      <c r="G1845" t="s">
        <v>2</v>
      </c>
      <c r="H1845" cm="1">
        <f t="array" ref="H1845">sentimentCalc(B1845)</f>
        <v>10</v>
      </c>
      <c r="I1845" s="5" t="str" cm="1">
        <f t="array" ref="I1845">sentimentCategory(H1845)</f>
        <v>Positive</v>
      </c>
    </row>
    <row r="1846" spans="1:9" x14ac:dyDescent="0.2">
      <c r="A1846" s="3">
        <v>46811.921492997688</v>
      </c>
      <c r="B1846" t="s">
        <v>3</v>
      </c>
      <c r="C1846" t="s">
        <v>4</v>
      </c>
      <c r="D1846" t="s">
        <v>5</v>
      </c>
      <c r="E1846">
        <v>0</v>
      </c>
      <c r="F1846">
        <v>0</v>
      </c>
      <c r="G1846" t="s">
        <v>2</v>
      </c>
      <c r="H1846" cm="1">
        <f t="array" ref="H1846">sentimentCalc(B1846)</f>
        <v>0</v>
      </c>
      <c r="I1846" s="5" t="str" cm="1">
        <f t="array" ref="I1846">sentimentCategory(H1846)</f>
        <v>Neutral</v>
      </c>
    </row>
    <row r="1847" spans="1:9" x14ac:dyDescent="0.2">
      <c r="A1847" s="3">
        <v>46812.921492997688</v>
      </c>
      <c r="B1847" t="s">
        <v>2007</v>
      </c>
      <c r="C1847" t="s">
        <v>1702</v>
      </c>
      <c r="D1847" t="s">
        <v>1703</v>
      </c>
      <c r="E1847">
        <v>0</v>
      </c>
      <c r="F1847">
        <v>0</v>
      </c>
      <c r="G1847" t="s">
        <v>2</v>
      </c>
      <c r="H1847" cm="1">
        <f t="array" ref="H1847">sentimentCalc(B1847)</f>
        <v>0</v>
      </c>
      <c r="I1847" s="5" t="str" cm="1">
        <f t="array" ref="I1847">sentimentCategory(H1847)</f>
        <v>Neutral</v>
      </c>
    </row>
    <row r="1848" spans="1:9" x14ac:dyDescent="0.2">
      <c r="A1848" s="3">
        <v>46813.921492997688</v>
      </c>
      <c r="B1848" t="s">
        <v>1272</v>
      </c>
      <c r="C1848" t="s">
        <v>286</v>
      </c>
      <c r="E1848">
        <v>0</v>
      </c>
      <c r="F1848">
        <v>0</v>
      </c>
      <c r="G1848" t="s">
        <v>2</v>
      </c>
      <c r="H1848" cm="1">
        <f t="array" ref="H1848">sentimentCalc(B1848)</f>
        <v>0</v>
      </c>
      <c r="I1848" s="5" t="str" cm="1">
        <f t="array" ref="I1848">sentimentCategory(H1848)</f>
        <v>Neutral</v>
      </c>
    </row>
    <row r="1849" spans="1:9" x14ac:dyDescent="0.2">
      <c r="A1849" s="3">
        <v>46814.921492997688</v>
      </c>
      <c r="B1849" t="s">
        <v>423</v>
      </c>
      <c r="C1849" t="s">
        <v>128</v>
      </c>
      <c r="D1849" t="s">
        <v>129</v>
      </c>
      <c r="E1849">
        <v>0</v>
      </c>
      <c r="F1849">
        <v>0</v>
      </c>
      <c r="G1849" t="s">
        <v>2</v>
      </c>
      <c r="H1849" cm="1">
        <f t="array" ref="H1849">sentimentCalc(B1849)</f>
        <v>-10</v>
      </c>
      <c r="I1849" s="5" t="str" cm="1">
        <f t="array" ref="I1849">sentimentCategory(H1849)</f>
        <v>Negative</v>
      </c>
    </row>
    <row r="1850" spans="1:9" x14ac:dyDescent="0.2">
      <c r="A1850" s="3">
        <v>46815.921492997688</v>
      </c>
      <c r="B1850" t="s">
        <v>2008</v>
      </c>
      <c r="C1850" t="s">
        <v>286</v>
      </c>
      <c r="E1850">
        <v>0</v>
      </c>
      <c r="F1850">
        <v>0</v>
      </c>
      <c r="G1850" t="s">
        <v>2</v>
      </c>
      <c r="H1850" cm="1">
        <f t="array" ref="H1850">sentimentCalc(B1850)</f>
        <v>0</v>
      </c>
      <c r="I1850" s="5" t="str" cm="1">
        <f t="array" ref="I1850">sentimentCategory(H1850)</f>
        <v>Neutral</v>
      </c>
    </row>
    <row r="1851" spans="1:9" x14ac:dyDescent="0.2">
      <c r="A1851" s="3">
        <v>46816.921492997688</v>
      </c>
      <c r="B1851" t="s">
        <v>2009</v>
      </c>
      <c r="C1851" t="s">
        <v>1453</v>
      </c>
      <c r="D1851" t="s">
        <v>1850</v>
      </c>
      <c r="E1851">
        <v>0</v>
      </c>
      <c r="F1851">
        <v>0</v>
      </c>
      <c r="G1851" t="s">
        <v>2</v>
      </c>
      <c r="H1851" cm="1">
        <f t="array" ref="H1851">sentimentCalc(B1851)</f>
        <v>0</v>
      </c>
      <c r="I1851" s="5" t="str" cm="1">
        <f t="array" ref="I1851">sentimentCategory(H1851)</f>
        <v>Neutral</v>
      </c>
    </row>
    <row r="1852" spans="1:9" x14ac:dyDescent="0.2">
      <c r="A1852" s="3">
        <v>46817.921492997688</v>
      </c>
      <c r="B1852" t="s">
        <v>2010</v>
      </c>
      <c r="C1852" t="s">
        <v>1453</v>
      </c>
      <c r="D1852" t="s">
        <v>1850</v>
      </c>
      <c r="E1852">
        <v>0</v>
      </c>
      <c r="F1852">
        <v>0</v>
      </c>
      <c r="G1852" t="s">
        <v>2</v>
      </c>
      <c r="H1852" cm="1">
        <f t="array" ref="H1852">sentimentCalc(B1852)</f>
        <v>0</v>
      </c>
      <c r="I1852" s="5" t="str" cm="1">
        <f t="array" ref="I1852">sentimentCategory(H1852)</f>
        <v>Neutral</v>
      </c>
    </row>
    <row r="1853" spans="1:9" x14ac:dyDescent="0.2">
      <c r="A1853" s="3">
        <v>46818.921492997688</v>
      </c>
      <c r="B1853" t="s">
        <v>2011</v>
      </c>
      <c r="C1853" t="s">
        <v>1453</v>
      </c>
      <c r="D1853" t="s">
        <v>1850</v>
      </c>
      <c r="E1853">
        <v>0</v>
      </c>
      <c r="F1853">
        <v>0</v>
      </c>
      <c r="G1853" t="s">
        <v>2</v>
      </c>
      <c r="H1853" cm="1">
        <f t="array" ref="H1853">sentimentCalc(B1853)</f>
        <v>0</v>
      </c>
      <c r="I1853" s="5" t="str" cm="1">
        <f t="array" ref="I1853">sentimentCategory(H1853)</f>
        <v>Neutral</v>
      </c>
    </row>
    <row r="1854" spans="1:9" x14ac:dyDescent="0.2">
      <c r="A1854" s="3">
        <v>46819.921492997688</v>
      </c>
      <c r="B1854" t="s">
        <v>2012</v>
      </c>
      <c r="C1854" t="s">
        <v>1453</v>
      </c>
      <c r="D1854" t="s">
        <v>1850</v>
      </c>
      <c r="E1854">
        <v>0</v>
      </c>
      <c r="F1854">
        <v>0</v>
      </c>
      <c r="G1854" t="s">
        <v>2</v>
      </c>
      <c r="H1854" cm="1">
        <f t="array" ref="H1854">sentimentCalc(B1854)</f>
        <v>0</v>
      </c>
      <c r="I1854" s="5" t="str" cm="1">
        <f t="array" ref="I1854">sentimentCategory(H1854)</f>
        <v>Neutral</v>
      </c>
    </row>
    <row r="1855" spans="1:9" x14ac:dyDescent="0.2">
      <c r="A1855" s="3">
        <v>46820.921492997688</v>
      </c>
      <c r="B1855" t="s">
        <v>2013</v>
      </c>
      <c r="C1855" t="s">
        <v>1453</v>
      </c>
      <c r="D1855" t="s">
        <v>1850</v>
      </c>
      <c r="E1855">
        <v>0</v>
      </c>
      <c r="F1855">
        <v>0</v>
      </c>
      <c r="G1855" t="s">
        <v>2</v>
      </c>
      <c r="H1855" cm="1">
        <f t="array" ref="H1855">sentimentCalc(B1855)</f>
        <v>0</v>
      </c>
      <c r="I1855" s="5" t="str" cm="1">
        <f t="array" ref="I1855">sentimentCategory(H1855)</f>
        <v>Neutral</v>
      </c>
    </row>
    <row r="1856" spans="1:9" x14ac:dyDescent="0.2">
      <c r="A1856" s="3">
        <v>46821.921492997688</v>
      </c>
      <c r="B1856" t="s">
        <v>2014</v>
      </c>
      <c r="C1856" t="s">
        <v>620</v>
      </c>
      <c r="D1856" t="s">
        <v>2015</v>
      </c>
      <c r="E1856">
        <v>0</v>
      </c>
      <c r="F1856">
        <v>0</v>
      </c>
      <c r="G1856" t="s">
        <v>2</v>
      </c>
      <c r="H1856" cm="1">
        <f t="array" ref="H1856">sentimentCalc(B1856)</f>
        <v>10</v>
      </c>
      <c r="I1856" s="5" t="str" cm="1">
        <f t="array" ref="I1856">sentimentCategory(H1856)</f>
        <v>Positive</v>
      </c>
    </row>
    <row r="1857" spans="1:9" x14ac:dyDescent="0.2">
      <c r="A1857" s="3">
        <v>46822.921492997688</v>
      </c>
      <c r="B1857" t="s">
        <v>2016</v>
      </c>
      <c r="C1857" t="s">
        <v>1453</v>
      </c>
      <c r="D1857" t="s">
        <v>1850</v>
      </c>
      <c r="E1857">
        <v>0</v>
      </c>
      <c r="F1857">
        <v>0</v>
      </c>
      <c r="G1857" t="s">
        <v>2</v>
      </c>
      <c r="H1857" cm="1">
        <f t="array" ref="H1857">sentimentCalc(B1857)</f>
        <v>0</v>
      </c>
      <c r="I1857" s="5" t="str" cm="1">
        <f t="array" ref="I1857">sentimentCategory(H1857)</f>
        <v>Neutral</v>
      </c>
    </row>
    <row r="1858" spans="1:9" x14ac:dyDescent="0.2">
      <c r="A1858" s="3">
        <v>46823.921492997688</v>
      </c>
      <c r="B1858" t="s">
        <v>2017</v>
      </c>
      <c r="C1858" t="s">
        <v>1453</v>
      </c>
      <c r="D1858" t="s">
        <v>1850</v>
      </c>
      <c r="E1858">
        <v>1</v>
      </c>
      <c r="F1858">
        <v>1</v>
      </c>
      <c r="G1858" t="s">
        <v>2</v>
      </c>
      <c r="H1858" cm="1">
        <f t="array" ref="H1858">sentimentCalc(B1858)</f>
        <v>0</v>
      </c>
      <c r="I1858" s="5" t="str" cm="1">
        <f t="array" ref="I1858">sentimentCategory(H1858)</f>
        <v>Neutral</v>
      </c>
    </row>
    <row r="1859" spans="1:9" x14ac:dyDescent="0.2">
      <c r="A1859" s="3">
        <v>46824.921492997688</v>
      </c>
      <c r="B1859" t="s">
        <v>2018</v>
      </c>
      <c r="C1859" t="s">
        <v>2019</v>
      </c>
      <c r="E1859">
        <v>0</v>
      </c>
      <c r="F1859">
        <v>3</v>
      </c>
      <c r="G1859" t="s">
        <v>2</v>
      </c>
      <c r="H1859" cm="1">
        <f t="array" ref="H1859">sentimentCalc(B1859)</f>
        <v>10</v>
      </c>
      <c r="I1859" s="5" t="str" cm="1">
        <f t="array" ref="I1859">sentimentCategory(H1859)</f>
        <v>Positive</v>
      </c>
    </row>
    <row r="1860" spans="1:9" x14ac:dyDescent="0.2">
      <c r="A1860" s="3">
        <v>46825.921492997688</v>
      </c>
      <c r="B1860" t="s">
        <v>2020</v>
      </c>
      <c r="C1860" t="s">
        <v>2021</v>
      </c>
      <c r="D1860" t="s">
        <v>158</v>
      </c>
      <c r="E1860">
        <v>0</v>
      </c>
      <c r="F1860">
        <v>1</v>
      </c>
      <c r="G1860" t="s">
        <v>2</v>
      </c>
      <c r="H1860" cm="1">
        <f t="array" ref="H1860">sentimentCalc(B1860)</f>
        <v>0</v>
      </c>
      <c r="I1860" s="5" t="str" cm="1">
        <f t="array" ref="I1860">sentimentCategory(H1860)</f>
        <v>Neutral</v>
      </c>
    </row>
    <row r="1861" spans="1:9" x14ac:dyDescent="0.2">
      <c r="A1861" s="3">
        <v>46826.921492997688</v>
      </c>
      <c r="B1861" t="s">
        <v>2022</v>
      </c>
      <c r="C1861" t="s">
        <v>2023</v>
      </c>
      <c r="D1861" t="s">
        <v>2024</v>
      </c>
      <c r="E1861">
        <v>0</v>
      </c>
      <c r="F1861">
        <v>2</v>
      </c>
      <c r="G1861" t="s">
        <v>2</v>
      </c>
      <c r="H1861" cm="1">
        <f t="array" ref="H1861">sentimentCalc(B1861)</f>
        <v>-10</v>
      </c>
      <c r="I1861" s="5" t="str" cm="1">
        <f t="array" ref="I1861">sentimentCategory(H1861)</f>
        <v>Negative</v>
      </c>
    </row>
    <row r="1862" spans="1:9" x14ac:dyDescent="0.2">
      <c r="A1862" s="3"/>
      <c r="H1862" cm="1">
        <f t="array" ref="H1862">sentimentCalc(B1862)</f>
        <v>0</v>
      </c>
      <c r="I1862" s="5" t="str" cm="1">
        <f t="array" ref="I1862">sentimentCategory(H1862)</f>
        <v>Neutral</v>
      </c>
    </row>
    <row r="1863" spans="1:9" x14ac:dyDescent="0.2">
      <c r="A1863" s="3">
        <v>46828.921492997688</v>
      </c>
      <c r="B1863" t="s">
        <v>37</v>
      </c>
      <c r="C1863" t="s">
        <v>33</v>
      </c>
      <c r="D1863" t="s">
        <v>34</v>
      </c>
      <c r="E1863">
        <v>0</v>
      </c>
      <c r="F1863">
        <v>0</v>
      </c>
      <c r="G1863" t="s">
        <v>2</v>
      </c>
      <c r="H1863" cm="1">
        <f t="array" ref="H1863">sentimentCalc(B1863)</f>
        <v>0</v>
      </c>
      <c r="I1863" s="5" t="str" cm="1">
        <f t="array" ref="I1863">sentimentCategory(H1863)</f>
        <v>Neutral</v>
      </c>
    </row>
    <row r="1864" spans="1:9" x14ac:dyDescent="0.2">
      <c r="A1864" s="3">
        <v>46829.921492997688</v>
      </c>
      <c r="B1864" t="s">
        <v>36</v>
      </c>
      <c r="C1864" t="s">
        <v>33</v>
      </c>
      <c r="D1864" t="s">
        <v>34</v>
      </c>
      <c r="E1864">
        <v>0</v>
      </c>
      <c r="F1864">
        <v>0</v>
      </c>
      <c r="G1864" t="s">
        <v>2</v>
      </c>
      <c r="H1864" cm="1">
        <f t="array" ref="H1864">sentimentCalc(B1864)</f>
        <v>10</v>
      </c>
      <c r="I1864" s="5" t="str" cm="1">
        <f t="array" ref="I1864">sentimentCategory(H1864)</f>
        <v>Positive</v>
      </c>
    </row>
    <row r="1865" spans="1:9" x14ac:dyDescent="0.2">
      <c r="A1865" s="3">
        <v>46830.921492997688</v>
      </c>
      <c r="B1865" t="s">
        <v>2025</v>
      </c>
      <c r="C1865" t="s">
        <v>33</v>
      </c>
      <c r="D1865" t="s">
        <v>34</v>
      </c>
      <c r="E1865">
        <v>0</v>
      </c>
      <c r="F1865">
        <v>0</v>
      </c>
      <c r="G1865" t="s">
        <v>2</v>
      </c>
      <c r="H1865" cm="1">
        <f t="array" ref="H1865">sentimentCalc(B1865)</f>
        <v>0</v>
      </c>
      <c r="I1865" s="5" t="str" cm="1">
        <f t="array" ref="I1865">sentimentCategory(H1865)</f>
        <v>Neutral</v>
      </c>
    </row>
    <row r="1866" spans="1:9" x14ac:dyDescent="0.2">
      <c r="A1866" s="3">
        <v>46831.921492997688</v>
      </c>
      <c r="B1866" t="s">
        <v>2026</v>
      </c>
      <c r="C1866" t="s">
        <v>2027</v>
      </c>
      <c r="D1866" t="s">
        <v>2028</v>
      </c>
      <c r="E1866">
        <v>0</v>
      </c>
      <c r="F1866">
        <v>0</v>
      </c>
      <c r="G1866" t="s">
        <v>2</v>
      </c>
      <c r="H1866" cm="1">
        <f t="array" ref="H1866">sentimentCalc(B1866)</f>
        <v>0</v>
      </c>
      <c r="I1866" s="5" t="str" cm="1">
        <f t="array" ref="I1866">sentimentCategory(H1866)</f>
        <v>Neutral</v>
      </c>
    </row>
    <row r="1867" spans="1:9" x14ac:dyDescent="0.2">
      <c r="A1867" s="3">
        <v>46832.921492997688</v>
      </c>
      <c r="B1867" t="s">
        <v>2029</v>
      </c>
      <c r="C1867" t="s">
        <v>1866</v>
      </c>
      <c r="D1867" t="s">
        <v>278</v>
      </c>
      <c r="E1867">
        <v>1</v>
      </c>
      <c r="F1867">
        <v>8</v>
      </c>
      <c r="G1867" t="s">
        <v>2</v>
      </c>
      <c r="H1867" cm="1">
        <f t="array" ref="H1867">sentimentCalc(B1867)</f>
        <v>0</v>
      </c>
      <c r="I1867" s="5" t="str" cm="1">
        <f t="array" ref="I1867">sentimentCategory(H1867)</f>
        <v>Neutral</v>
      </c>
    </row>
    <row r="1868" spans="1:9" x14ac:dyDescent="0.2">
      <c r="A1868" s="3"/>
      <c r="H1868" cm="1">
        <f t="array" ref="H1868">sentimentCalc(B1868)</f>
        <v>0</v>
      </c>
      <c r="I1868" s="5" t="str" cm="1">
        <f t="array" ref="I1868">sentimentCategory(H1868)</f>
        <v>Neutral</v>
      </c>
    </row>
    <row r="1869" spans="1:9" x14ac:dyDescent="0.2">
      <c r="A1869" s="3">
        <v>46834.921492997688</v>
      </c>
      <c r="B1869" t="s">
        <v>371</v>
      </c>
      <c r="C1869" t="s">
        <v>128</v>
      </c>
      <c r="D1869" t="s">
        <v>129</v>
      </c>
      <c r="E1869">
        <v>0</v>
      </c>
      <c r="F1869">
        <v>0</v>
      </c>
      <c r="G1869" t="s">
        <v>2</v>
      </c>
      <c r="H1869" cm="1">
        <f t="array" ref="H1869">sentimentCalc(B1869)</f>
        <v>-10</v>
      </c>
      <c r="I1869" s="5" t="str" cm="1">
        <f t="array" ref="I1869">sentimentCategory(H1869)</f>
        <v>Negative</v>
      </c>
    </row>
    <row r="1870" spans="1:9" x14ac:dyDescent="0.2">
      <c r="A1870" s="3">
        <v>46835.921492997688</v>
      </c>
      <c r="B1870" t="s">
        <v>2030</v>
      </c>
      <c r="C1870" t="s">
        <v>2031</v>
      </c>
      <c r="D1870" t="s">
        <v>2032</v>
      </c>
      <c r="E1870">
        <v>0</v>
      </c>
      <c r="F1870">
        <v>1</v>
      </c>
      <c r="G1870" t="s">
        <v>2</v>
      </c>
      <c r="H1870" cm="1">
        <f t="array" ref="H1870">sentimentCalc(B1870)</f>
        <v>0</v>
      </c>
      <c r="I1870" s="5" t="str" cm="1">
        <f t="array" ref="I1870">sentimentCategory(H1870)</f>
        <v>Neutral</v>
      </c>
    </row>
    <row r="1871" spans="1:9" x14ac:dyDescent="0.2">
      <c r="A1871" s="3"/>
      <c r="H1871" cm="1">
        <f t="array" ref="H1871">sentimentCalc(B1871)</f>
        <v>0</v>
      </c>
      <c r="I1871" s="5" t="str" cm="1">
        <f t="array" ref="I1871">sentimentCategory(H1871)</f>
        <v>Neutral</v>
      </c>
    </row>
    <row r="1872" spans="1:9" x14ac:dyDescent="0.2">
      <c r="A1872" s="3">
        <v>46837.921492997688</v>
      </c>
      <c r="B1872" t="s">
        <v>336</v>
      </c>
      <c r="C1872" t="s">
        <v>143</v>
      </c>
      <c r="D1872" t="s">
        <v>129</v>
      </c>
      <c r="E1872">
        <v>0</v>
      </c>
      <c r="F1872">
        <v>0</v>
      </c>
      <c r="G1872" t="s">
        <v>2</v>
      </c>
      <c r="H1872" cm="1">
        <f t="array" ref="H1872">sentimentCalc(B1872)</f>
        <v>0</v>
      </c>
      <c r="I1872" s="5" t="str" cm="1">
        <f t="array" ref="I1872">sentimentCategory(H1872)</f>
        <v>Neutral</v>
      </c>
    </row>
    <row r="1873" spans="1:9" x14ac:dyDescent="0.2">
      <c r="A1873" s="3">
        <v>46838.921492997688</v>
      </c>
      <c r="B1873" t="s">
        <v>3</v>
      </c>
      <c r="C1873" t="s">
        <v>4</v>
      </c>
      <c r="D1873" t="s">
        <v>5</v>
      </c>
      <c r="E1873">
        <v>0</v>
      </c>
      <c r="F1873">
        <v>0</v>
      </c>
      <c r="G1873" t="s">
        <v>2</v>
      </c>
      <c r="H1873" cm="1">
        <f t="array" ref="H1873">sentimentCalc(B1873)</f>
        <v>0</v>
      </c>
      <c r="I1873" s="5" t="str" cm="1">
        <f t="array" ref="I1873">sentimentCategory(H1873)</f>
        <v>Neutral</v>
      </c>
    </row>
    <row r="1874" spans="1:9" x14ac:dyDescent="0.2">
      <c r="A1874" s="3">
        <v>46839.921492997688</v>
      </c>
      <c r="B1874" t="s">
        <v>2033</v>
      </c>
      <c r="C1874" t="s">
        <v>686</v>
      </c>
      <c r="D1874" t="s">
        <v>13</v>
      </c>
      <c r="E1874">
        <v>0</v>
      </c>
      <c r="F1874">
        <v>0</v>
      </c>
      <c r="G1874" t="s">
        <v>2</v>
      </c>
      <c r="H1874" cm="1">
        <f t="array" ref="H1874">sentimentCalc(B1874)</f>
        <v>0</v>
      </c>
      <c r="I1874" s="5" t="str" cm="1">
        <f t="array" ref="I1874">sentimentCategory(H1874)</f>
        <v>Neutral</v>
      </c>
    </row>
    <row r="1875" spans="1:9" x14ac:dyDescent="0.2">
      <c r="A1875" s="3">
        <v>46840.921492997688</v>
      </c>
      <c r="B1875" t="s">
        <v>94</v>
      </c>
      <c r="C1875" t="s">
        <v>22</v>
      </c>
      <c r="E1875">
        <v>0</v>
      </c>
      <c r="F1875">
        <v>0</v>
      </c>
      <c r="G1875" t="s">
        <v>2</v>
      </c>
      <c r="H1875" cm="1">
        <f t="array" ref="H1875">sentimentCalc(B1875)</f>
        <v>0</v>
      </c>
      <c r="I1875" s="5" t="str" cm="1">
        <f t="array" ref="I1875">sentimentCategory(H1875)</f>
        <v>Neutral</v>
      </c>
    </row>
    <row r="1876" spans="1:9" x14ac:dyDescent="0.2">
      <c r="A1876" s="3">
        <v>46841.921492997688</v>
      </c>
      <c r="B1876" t="s">
        <v>2034</v>
      </c>
      <c r="C1876" t="s">
        <v>2035</v>
      </c>
      <c r="E1876">
        <v>0</v>
      </c>
      <c r="F1876">
        <v>0</v>
      </c>
      <c r="G1876" t="s">
        <v>2</v>
      </c>
      <c r="H1876" cm="1">
        <f t="array" ref="H1876">sentimentCalc(B1876)</f>
        <v>0</v>
      </c>
      <c r="I1876" s="5" t="str" cm="1">
        <f t="array" ref="I1876">sentimentCategory(H1876)</f>
        <v>Neutral</v>
      </c>
    </row>
    <row r="1877" spans="1:9" x14ac:dyDescent="0.2">
      <c r="A1877" s="3">
        <v>46842.921492997688</v>
      </c>
      <c r="B1877" t="s">
        <v>2036</v>
      </c>
      <c r="C1877" t="s">
        <v>2037</v>
      </c>
      <c r="D1877" t="s">
        <v>2038</v>
      </c>
      <c r="E1877">
        <v>0</v>
      </c>
      <c r="F1877">
        <v>0</v>
      </c>
      <c r="G1877" t="s">
        <v>2</v>
      </c>
      <c r="H1877" cm="1">
        <f t="array" ref="H1877">sentimentCalc(B1877)</f>
        <v>10</v>
      </c>
      <c r="I1877" s="5" t="str" cm="1">
        <f t="array" ref="I1877">sentimentCategory(H1877)</f>
        <v>Positive</v>
      </c>
    </row>
    <row r="1878" spans="1:9" x14ac:dyDescent="0.2">
      <c r="A1878" s="3">
        <v>46843.921492997688</v>
      </c>
      <c r="B1878" t="s">
        <v>2039</v>
      </c>
      <c r="C1878" t="s">
        <v>2040</v>
      </c>
      <c r="D1878" t="s">
        <v>2041</v>
      </c>
      <c r="E1878">
        <v>0</v>
      </c>
      <c r="F1878">
        <v>1</v>
      </c>
      <c r="G1878" t="s">
        <v>2</v>
      </c>
      <c r="H1878" cm="1">
        <f t="array" ref="H1878">sentimentCalc(B1878)</f>
        <v>0</v>
      </c>
      <c r="I1878" s="5" t="str" cm="1">
        <f t="array" ref="I1878">sentimentCategory(H1878)</f>
        <v>Neutral</v>
      </c>
    </row>
    <row r="1879" spans="1:9" x14ac:dyDescent="0.2">
      <c r="A1879" s="3">
        <v>46844.921492997688</v>
      </c>
      <c r="B1879" t="s">
        <v>2042</v>
      </c>
      <c r="C1879" t="s">
        <v>2043</v>
      </c>
      <c r="D1879" t="s">
        <v>2044</v>
      </c>
      <c r="E1879">
        <v>0</v>
      </c>
      <c r="F1879">
        <v>0</v>
      </c>
      <c r="G1879" t="s">
        <v>2</v>
      </c>
      <c r="H1879" cm="1">
        <f t="array" ref="H1879">sentimentCalc(B1879)</f>
        <v>0</v>
      </c>
      <c r="I1879" s="5" t="str" cm="1">
        <f t="array" ref="I1879">sentimentCategory(H1879)</f>
        <v>Neutral</v>
      </c>
    </row>
    <row r="1880" spans="1:9" x14ac:dyDescent="0.2">
      <c r="A1880" s="3">
        <v>46845.921492997688</v>
      </c>
      <c r="B1880" t="s">
        <v>2045</v>
      </c>
      <c r="C1880" t="s">
        <v>259</v>
      </c>
      <c r="E1880">
        <v>0</v>
      </c>
      <c r="F1880">
        <v>0</v>
      </c>
      <c r="G1880" t="s">
        <v>2</v>
      </c>
      <c r="H1880" cm="1">
        <f t="array" ref="H1880">sentimentCalc(B1880)</f>
        <v>0</v>
      </c>
      <c r="I1880" s="5" t="str" cm="1">
        <f t="array" ref="I1880">sentimentCategory(H1880)</f>
        <v>Neutral</v>
      </c>
    </row>
    <row r="1881" spans="1:9" x14ac:dyDescent="0.2">
      <c r="A1881" s="3"/>
      <c r="H1881" cm="1">
        <f t="array" ref="H1881">sentimentCalc(B1881)</f>
        <v>0</v>
      </c>
      <c r="I1881" s="5" t="str" cm="1">
        <f t="array" ref="I1881">sentimentCategory(H1881)</f>
        <v>Neutral</v>
      </c>
    </row>
    <row r="1882" spans="1:9" x14ac:dyDescent="0.2">
      <c r="A1882" s="3">
        <v>46847.921492997688</v>
      </c>
      <c r="B1882" t="s">
        <v>397</v>
      </c>
      <c r="C1882" t="s">
        <v>143</v>
      </c>
      <c r="D1882" t="s">
        <v>129</v>
      </c>
      <c r="E1882">
        <v>0</v>
      </c>
      <c r="F1882">
        <v>0</v>
      </c>
      <c r="G1882" t="s">
        <v>2</v>
      </c>
      <c r="H1882" cm="1">
        <f t="array" ref="H1882">sentimentCalc(B1882)</f>
        <v>-10</v>
      </c>
      <c r="I1882" s="5" t="str" cm="1">
        <f t="array" ref="I1882">sentimentCategory(H1882)</f>
        <v>Negative</v>
      </c>
    </row>
    <row r="1883" spans="1:9" x14ac:dyDescent="0.2">
      <c r="A1883" s="3">
        <v>46848.921492997688</v>
      </c>
      <c r="B1883" t="s">
        <v>2045</v>
      </c>
      <c r="C1883" t="s">
        <v>1550</v>
      </c>
      <c r="D1883" t="s">
        <v>2046</v>
      </c>
      <c r="E1883">
        <v>0</v>
      </c>
      <c r="F1883">
        <v>0</v>
      </c>
      <c r="G1883" t="s">
        <v>2</v>
      </c>
      <c r="H1883" cm="1">
        <f t="array" ref="H1883">sentimentCalc(B1883)</f>
        <v>0</v>
      </c>
      <c r="I1883" s="5" t="str" cm="1">
        <f t="array" ref="I1883">sentimentCategory(H1883)</f>
        <v>Neutral</v>
      </c>
    </row>
    <row r="1884" spans="1:9" x14ac:dyDescent="0.2">
      <c r="A1884" s="3">
        <v>46849.921492997688</v>
      </c>
      <c r="B1884" t="s">
        <v>2047</v>
      </c>
      <c r="C1884" t="s">
        <v>1143</v>
      </c>
      <c r="E1884">
        <v>0</v>
      </c>
      <c r="F1884">
        <v>0</v>
      </c>
      <c r="G1884" t="s">
        <v>2</v>
      </c>
      <c r="H1884" cm="1">
        <f t="array" ref="H1884">sentimentCalc(B1884)</f>
        <v>0</v>
      </c>
      <c r="I1884" s="5" t="str" cm="1">
        <f t="array" ref="I1884">sentimentCategory(H1884)</f>
        <v>Neutral</v>
      </c>
    </row>
    <row r="1885" spans="1:9" x14ac:dyDescent="0.2">
      <c r="A1885" s="3">
        <v>46850.921492997688</v>
      </c>
      <c r="B1885" t="s">
        <v>2048</v>
      </c>
      <c r="C1885" t="s">
        <v>1819</v>
      </c>
      <c r="D1885" t="s">
        <v>203</v>
      </c>
      <c r="E1885">
        <v>0</v>
      </c>
      <c r="F1885">
        <v>3</v>
      </c>
      <c r="G1885" t="s">
        <v>2</v>
      </c>
      <c r="H1885" cm="1">
        <f t="array" ref="H1885">sentimentCalc(B1885)</f>
        <v>0</v>
      </c>
      <c r="I1885" s="5" t="str" cm="1">
        <f t="array" ref="I1885">sentimentCategory(H1885)</f>
        <v>Neutral</v>
      </c>
    </row>
    <row r="1886" spans="1:9" x14ac:dyDescent="0.2">
      <c r="A1886" s="3">
        <v>46851.921492997688</v>
      </c>
      <c r="B1886" t="s">
        <v>2049</v>
      </c>
      <c r="C1886" t="s">
        <v>1819</v>
      </c>
      <c r="D1886" t="s">
        <v>203</v>
      </c>
      <c r="E1886">
        <v>1</v>
      </c>
      <c r="F1886">
        <v>44</v>
      </c>
      <c r="G1886" t="s">
        <v>2</v>
      </c>
      <c r="H1886" cm="1">
        <f t="array" ref="H1886">sentimentCalc(B1886)</f>
        <v>0</v>
      </c>
      <c r="I1886" s="5" t="str" cm="1">
        <f t="array" ref="I1886">sentimentCategory(H1886)</f>
        <v>Neutral</v>
      </c>
    </row>
    <row r="1887" spans="1:9" x14ac:dyDescent="0.2">
      <c r="A1887" s="3">
        <v>46852.921492997688</v>
      </c>
      <c r="B1887" t="s">
        <v>2050</v>
      </c>
      <c r="C1887" t="s">
        <v>512</v>
      </c>
      <c r="E1887">
        <v>0</v>
      </c>
      <c r="F1887">
        <v>0</v>
      </c>
      <c r="G1887" t="s">
        <v>2</v>
      </c>
      <c r="H1887" cm="1">
        <f t="array" ref="H1887">sentimentCalc(B1887)</f>
        <v>0</v>
      </c>
      <c r="I1887" s="5" t="str" cm="1">
        <f t="array" ref="I1887">sentimentCategory(H1887)</f>
        <v>Neutral</v>
      </c>
    </row>
    <row r="1888" spans="1:9" x14ac:dyDescent="0.2">
      <c r="A1888" s="3">
        <v>46853.921492997688</v>
      </c>
      <c r="B1888" t="s">
        <v>2051</v>
      </c>
      <c r="C1888" t="s">
        <v>2052</v>
      </c>
      <c r="D1888" t="s">
        <v>2053</v>
      </c>
      <c r="E1888">
        <v>0</v>
      </c>
      <c r="F1888">
        <v>1</v>
      </c>
      <c r="G1888" t="s">
        <v>2</v>
      </c>
      <c r="H1888" cm="1">
        <f t="array" ref="H1888">sentimentCalc(B1888)</f>
        <v>0</v>
      </c>
      <c r="I1888" s="5" t="str" cm="1">
        <f t="array" ref="I1888">sentimentCategory(H1888)</f>
        <v>Neutral</v>
      </c>
    </row>
    <row r="1889" spans="1:9" x14ac:dyDescent="0.2">
      <c r="A1889" s="3">
        <v>46854.921492997688</v>
      </c>
      <c r="B1889" t="s">
        <v>2054</v>
      </c>
      <c r="C1889" t="s">
        <v>2055</v>
      </c>
      <c r="D1889" t="s">
        <v>2056</v>
      </c>
      <c r="E1889">
        <v>0</v>
      </c>
      <c r="F1889">
        <v>1</v>
      </c>
      <c r="G1889" t="s">
        <v>2</v>
      </c>
      <c r="H1889" cm="1">
        <f t="array" ref="H1889">sentimentCalc(B1889)</f>
        <v>0</v>
      </c>
      <c r="I1889" s="5" t="str" cm="1">
        <f t="array" ref="I1889">sentimentCategory(H1889)</f>
        <v>Neutral</v>
      </c>
    </row>
    <row r="1890" spans="1:9" x14ac:dyDescent="0.2">
      <c r="A1890" s="3"/>
      <c r="H1890" cm="1">
        <f t="array" ref="H1890">sentimentCalc(B1890)</f>
        <v>0</v>
      </c>
      <c r="I1890" s="5" t="str" cm="1">
        <f t="array" ref="I1890">sentimentCategory(H1890)</f>
        <v>Neutral</v>
      </c>
    </row>
    <row r="1891" spans="1:9" x14ac:dyDescent="0.2">
      <c r="A1891" s="3">
        <v>46856.921492997688</v>
      </c>
      <c r="B1891" t="s">
        <v>1828</v>
      </c>
      <c r="C1891" t="s">
        <v>143</v>
      </c>
      <c r="D1891" t="s">
        <v>129</v>
      </c>
      <c r="E1891">
        <v>0</v>
      </c>
      <c r="F1891">
        <v>0</v>
      </c>
      <c r="G1891" t="s">
        <v>2</v>
      </c>
      <c r="H1891" cm="1">
        <f t="array" ref="H1891">sentimentCalc(B1891)</f>
        <v>0</v>
      </c>
      <c r="I1891" s="5" t="str" cm="1">
        <f t="array" ref="I1891">sentimentCategory(H1891)</f>
        <v>Neutral</v>
      </c>
    </row>
    <row r="1892" spans="1:9" x14ac:dyDescent="0.2">
      <c r="A1892" s="3">
        <v>46857.921492997688</v>
      </c>
      <c r="B1892" t="s">
        <v>2057</v>
      </c>
      <c r="C1892" t="s">
        <v>2058</v>
      </c>
      <c r="E1892">
        <v>1</v>
      </c>
      <c r="F1892">
        <v>0</v>
      </c>
      <c r="G1892" t="s">
        <v>2</v>
      </c>
      <c r="H1892" cm="1">
        <f t="array" ref="H1892">sentimentCalc(B1892)</f>
        <v>0</v>
      </c>
      <c r="I1892" s="5" t="str" cm="1">
        <f t="array" ref="I1892">sentimentCategory(H1892)</f>
        <v>Neutral</v>
      </c>
    </row>
    <row r="1893" spans="1:9" x14ac:dyDescent="0.2">
      <c r="A1893" s="3">
        <v>46858.921492997688</v>
      </c>
      <c r="B1893" t="s">
        <v>2059</v>
      </c>
      <c r="C1893" t="s">
        <v>1675</v>
      </c>
      <c r="E1893">
        <v>0</v>
      </c>
      <c r="F1893">
        <v>1</v>
      </c>
      <c r="G1893" t="s">
        <v>2</v>
      </c>
      <c r="H1893" cm="1">
        <f t="array" ref="H1893">sentimentCalc(B1893)</f>
        <v>0</v>
      </c>
      <c r="I1893" s="5" t="str" cm="1">
        <f t="array" ref="I1893">sentimentCategory(H1893)</f>
        <v>Neutral</v>
      </c>
    </row>
    <row r="1894" spans="1:9" x14ac:dyDescent="0.2">
      <c r="A1894" s="3"/>
      <c r="H1894" cm="1">
        <f t="array" ref="H1894">sentimentCalc(B1894)</f>
        <v>0</v>
      </c>
      <c r="I1894" s="5" t="str" cm="1">
        <f t="array" ref="I1894">sentimentCategory(H1894)</f>
        <v>Neutral</v>
      </c>
    </row>
    <row r="1895" spans="1:9" x14ac:dyDescent="0.2">
      <c r="A1895" s="3">
        <v>46860.921492997688</v>
      </c>
      <c r="B1895" t="s">
        <v>2060</v>
      </c>
      <c r="C1895" t="s">
        <v>487</v>
      </c>
      <c r="D1895" t="s">
        <v>1736</v>
      </c>
      <c r="E1895">
        <v>0</v>
      </c>
      <c r="F1895">
        <v>0</v>
      </c>
      <c r="G1895" t="s">
        <v>2</v>
      </c>
      <c r="H1895" cm="1">
        <f t="array" ref="H1895">sentimentCalc(B1895)</f>
        <v>0</v>
      </c>
      <c r="I1895" s="5" t="str" cm="1">
        <f t="array" ref="I1895">sentimentCategory(H1895)</f>
        <v>Neutral</v>
      </c>
    </row>
    <row r="1896" spans="1:9" x14ac:dyDescent="0.2">
      <c r="A1896" s="3">
        <v>46861.921492997688</v>
      </c>
      <c r="B1896" t="s">
        <v>37</v>
      </c>
      <c r="C1896" t="s">
        <v>33</v>
      </c>
      <c r="D1896" t="s">
        <v>34</v>
      </c>
      <c r="E1896">
        <v>0</v>
      </c>
      <c r="F1896">
        <v>0</v>
      </c>
      <c r="G1896" t="s">
        <v>2</v>
      </c>
      <c r="H1896" cm="1">
        <f t="array" ref="H1896">sentimentCalc(B1896)</f>
        <v>0</v>
      </c>
      <c r="I1896" s="5" t="str" cm="1">
        <f t="array" ref="I1896">sentimentCategory(H1896)</f>
        <v>Neutral</v>
      </c>
    </row>
    <row r="1897" spans="1:9" x14ac:dyDescent="0.2">
      <c r="A1897" s="3">
        <v>46862.921492997688</v>
      </c>
      <c r="B1897" t="s">
        <v>36</v>
      </c>
      <c r="C1897" t="s">
        <v>33</v>
      </c>
      <c r="D1897" t="s">
        <v>34</v>
      </c>
      <c r="E1897">
        <v>0</v>
      </c>
      <c r="F1897">
        <v>0</v>
      </c>
      <c r="G1897" t="s">
        <v>2</v>
      </c>
      <c r="H1897" cm="1">
        <f t="array" ref="H1897">sentimentCalc(B1897)</f>
        <v>10</v>
      </c>
      <c r="I1897" s="5" t="str" cm="1">
        <f t="array" ref="I1897">sentimentCategory(H1897)</f>
        <v>Positive</v>
      </c>
    </row>
    <row r="1898" spans="1:9" x14ac:dyDescent="0.2">
      <c r="A1898" s="3">
        <v>46863.921492997688</v>
      </c>
      <c r="B1898" t="s">
        <v>2061</v>
      </c>
      <c r="C1898" t="s">
        <v>33</v>
      </c>
      <c r="D1898" t="s">
        <v>34</v>
      </c>
      <c r="E1898">
        <v>0</v>
      </c>
      <c r="F1898">
        <v>0</v>
      </c>
      <c r="G1898" t="s">
        <v>2</v>
      </c>
      <c r="H1898" cm="1">
        <f t="array" ref="H1898">sentimentCalc(B1898)</f>
        <v>0</v>
      </c>
      <c r="I1898" s="5" t="str" cm="1">
        <f t="array" ref="I1898">sentimentCategory(H1898)</f>
        <v>Neutral</v>
      </c>
    </row>
    <row r="1899" spans="1:9" x14ac:dyDescent="0.2">
      <c r="A1899" s="3">
        <v>46864.921492997688</v>
      </c>
      <c r="B1899" t="s">
        <v>35</v>
      </c>
      <c r="C1899" t="s">
        <v>33</v>
      </c>
      <c r="D1899" t="s">
        <v>34</v>
      </c>
      <c r="E1899">
        <v>0</v>
      </c>
      <c r="F1899">
        <v>0</v>
      </c>
      <c r="G1899" t="s">
        <v>2</v>
      </c>
      <c r="H1899" cm="1">
        <f t="array" ref="H1899">sentimentCalc(B1899)</f>
        <v>0</v>
      </c>
      <c r="I1899" s="5" t="str" cm="1">
        <f t="array" ref="I1899">sentimentCategory(H1899)</f>
        <v>Neutral</v>
      </c>
    </row>
    <row r="1900" spans="1:9" x14ac:dyDescent="0.2">
      <c r="A1900" s="3">
        <v>46865.921492997688</v>
      </c>
      <c r="B1900" t="s">
        <v>2062</v>
      </c>
      <c r="C1900" t="s">
        <v>2063</v>
      </c>
      <c r="D1900" t="s">
        <v>2064</v>
      </c>
      <c r="E1900">
        <v>0</v>
      </c>
      <c r="F1900">
        <v>0</v>
      </c>
      <c r="G1900" t="s">
        <v>2</v>
      </c>
      <c r="H1900" cm="1">
        <f t="array" ref="H1900">sentimentCalc(B1900)</f>
        <v>0</v>
      </c>
      <c r="I1900" s="5" t="str" cm="1">
        <f t="array" ref="I1900">sentimentCategory(H1900)</f>
        <v>Neutral</v>
      </c>
    </row>
    <row r="1901" spans="1:9" x14ac:dyDescent="0.2">
      <c r="A1901" s="3">
        <v>46866.921492997688</v>
      </c>
      <c r="B1901" t="s">
        <v>2065</v>
      </c>
      <c r="C1901" t="s">
        <v>707</v>
      </c>
      <c r="D1901" t="s">
        <v>1791</v>
      </c>
      <c r="E1901">
        <v>0</v>
      </c>
      <c r="F1901">
        <v>0</v>
      </c>
      <c r="G1901" t="s">
        <v>2</v>
      </c>
      <c r="H1901" cm="1">
        <f t="array" ref="H1901">sentimentCalc(B1901)</f>
        <v>0</v>
      </c>
      <c r="I1901" s="5" t="str" cm="1">
        <f t="array" ref="I1901">sentimentCategory(H1901)</f>
        <v>Neutral</v>
      </c>
    </row>
    <row r="1902" spans="1:9" x14ac:dyDescent="0.2">
      <c r="A1902" s="3">
        <v>46867.921492997688</v>
      </c>
      <c r="B1902" t="s">
        <v>138</v>
      </c>
      <c r="C1902" t="s">
        <v>22</v>
      </c>
      <c r="E1902">
        <v>0</v>
      </c>
      <c r="F1902">
        <v>0</v>
      </c>
      <c r="G1902" t="s">
        <v>2</v>
      </c>
      <c r="H1902" cm="1">
        <f t="array" ref="H1902">sentimentCalc(B1902)</f>
        <v>0</v>
      </c>
      <c r="I1902" s="5" t="str" cm="1">
        <f t="array" ref="I1902">sentimentCategory(H1902)</f>
        <v>Neutral</v>
      </c>
    </row>
    <row r="1903" spans="1:9" x14ac:dyDescent="0.2">
      <c r="A1903" s="3">
        <v>46868.921492997688</v>
      </c>
      <c r="B1903" t="s">
        <v>144</v>
      </c>
      <c r="C1903" t="s">
        <v>22</v>
      </c>
      <c r="E1903">
        <v>0</v>
      </c>
      <c r="F1903">
        <v>0</v>
      </c>
      <c r="G1903" t="s">
        <v>2</v>
      </c>
      <c r="H1903" cm="1">
        <f t="array" ref="H1903">sentimentCalc(B1903)</f>
        <v>0</v>
      </c>
      <c r="I1903" s="5" t="str" cm="1">
        <f t="array" ref="I1903">sentimentCategory(H1903)</f>
        <v>Neutral</v>
      </c>
    </row>
    <row r="1904" spans="1:9" x14ac:dyDescent="0.2">
      <c r="A1904" s="3">
        <v>46869.921492997688</v>
      </c>
      <c r="B1904" t="s">
        <v>2066</v>
      </c>
      <c r="C1904" t="s">
        <v>2067</v>
      </c>
      <c r="D1904" t="s">
        <v>2068</v>
      </c>
      <c r="E1904">
        <v>0</v>
      </c>
      <c r="F1904">
        <v>0</v>
      </c>
      <c r="G1904" t="s">
        <v>2</v>
      </c>
      <c r="H1904" cm="1">
        <f t="array" ref="H1904">sentimentCalc(B1904)</f>
        <v>0</v>
      </c>
      <c r="I1904" s="5" t="str" cm="1">
        <f t="array" ref="I1904">sentimentCategory(H1904)</f>
        <v>Neutral</v>
      </c>
    </row>
    <row r="1905" spans="1:9" x14ac:dyDescent="0.2">
      <c r="A1905" s="3">
        <v>46870.921492997688</v>
      </c>
      <c r="B1905" t="s">
        <v>152</v>
      </c>
      <c r="C1905" t="s">
        <v>22</v>
      </c>
      <c r="E1905">
        <v>0</v>
      </c>
      <c r="F1905">
        <v>0</v>
      </c>
      <c r="G1905" t="s">
        <v>2</v>
      </c>
      <c r="H1905" cm="1">
        <f t="array" ref="H1905">sentimentCalc(B1905)</f>
        <v>0</v>
      </c>
      <c r="I1905" s="5" t="str" cm="1">
        <f t="array" ref="I1905">sentimentCategory(H1905)</f>
        <v>Neutral</v>
      </c>
    </row>
    <row r="1906" spans="1:9" x14ac:dyDescent="0.2">
      <c r="A1906" s="3">
        <v>46871.921492997688</v>
      </c>
      <c r="B1906" t="s">
        <v>151</v>
      </c>
      <c r="C1906" t="s">
        <v>22</v>
      </c>
      <c r="E1906">
        <v>0</v>
      </c>
      <c r="F1906">
        <v>0</v>
      </c>
      <c r="G1906" t="s">
        <v>2</v>
      </c>
      <c r="H1906" cm="1">
        <f t="array" ref="H1906">sentimentCalc(B1906)</f>
        <v>0</v>
      </c>
      <c r="I1906" s="5" t="str" cm="1">
        <f t="array" ref="I1906">sentimentCategory(H1906)</f>
        <v>Neutral</v>
      </c>
    </row>
    <row r="1907" spans="1:9" x14ac:dyDescent="0.2">
      <c r="A1907" s="3">
        <v>46872.921492997688</v>
      </c>
      <c r="B1907" t="s">
        <v>153</v>
      </c>
      <c r="C1907" t="s">
        <v>22</v>
      </c>
      <c r="E1907">
        <v>0</v>
      </c>
      <c r="F1907">
        <v>0</v>
      </c>
      <c r="G1907" t="s">
        <v>2</v>
      </c>
      <c r="H1907" cm="1">
        <f t="array" ref="H1907">sentimentCalc(B1907)</f>
        <v>0</v>
      </c>
      <c r="I1907" s="5" t="str" cm="1">
        <f t="array" ref="I1907">sentimentCategory(H1907)</f>
        <v>Neutral</v>
      </c>
    </row>
    <row r="1908" spans="1:9" x14ac:dyDescent="0.2">
      <c r="A1908" s="3">
        <v>46873.921492997688</v>
      </c>
      <c r="B1908" t="s">
        <v>2069</v>
      </c>
      <c r="C1908" t="s">
        <v>2070</v>
      </c>
      <c r="E1908">
        <v>0</v>
      </c>
      <c r="F1908">
        <v>0</v>
      </c>
      <c r="G1908" t="s">
        <v>2</v>
      </c>
      <c r="H1908" cm="1">
        <f t="array" ref="H1908">sentimentCalc(B1908)</f>
        <v>0</v>
      </c>
      <c r="I1908" s="5" t="str" cm="1">
        <f t="array" ref="I1908">sentimentCategory(H1908)</f>
        <v>Neutral</v>
      </c>
    </row>
    <row r="1909" spans="1:9" x14ac:dyDescent="0.2">
      <c r="A1909" s="3">
        <v>46874.921492997688</v>
      </c>
      <c r="B1909" t="s">
        <v>154</v>
      </c>
      <c r="C1909" t="s">
        <v>22</v>
      </c>
      <c r="E1909">
        <v>0</v>
      </c>
      <c r="F1909">
        <v>0</v>
      </c>
      <c r="G1909" t="s">
        <v>2</v>
      </c>
      <c r="H1909" cm="1">
        <f t="array" ref="H1909">sentimentCalc(B1909)</f>
        <v>0</v>
      </c>
      <c r="I1909" s="5" t="str" cm="1">
        <f t="array" ref="I1909">sentimentCategory(H1909)</f>
        <v>Neutral</v>
      </c>
    </row>
    <row r="1910" spans="1:9" x14ac:dyDescent="0.2">
      <c r="A1910" s="3">
        <v>46875.921492997688</v>
      </c>
      <c r="B1910" t="s">
        <v>3</v>
      </c>
      <c r="C1910" t="s">
        <v>4</v>
      </c>
      <c r="D1910" t="s">
        <v>5</v>
      </c>
      <c r="E1910">
        <v>0</v>
      </c>
      <c r="F1910">
        <v>0</v>
      </c>
      <c r="G1910" t="s">
        <v>2</v>
      </c>
      <c r="H1910" cm="1">
        <f t="array" ref="H1910">sentimentCalc(B1910)</f>
        <v>0</v>
      </c>
      <c r="I1910" s="5" t="str" cm="1">
        <f t="array" ref="I1910">sentimentCategory(H1910)</f>
        <v>Neutral</v>
      </c>
    </row>
    <row r="1911" spans="1:9" x14ac:dyDescent="0.2">
      <c r="A1911" s="3">
        <v>46876.921492997688</v>
      </c>
      <c r="B1911" t="s">
        <v>1278</v>
      </c>
      <c r="C1911" t="s">
        <v>143</v>
      </c>
      <c r="D1911" t="s">
        <v>129</v>
      </c>
      <c r="E1911">
        <v>0</v>
      </c>
      <c r="F1911">
        <v>0</v>
      </c>
      <c r="G1911" t="s">
        <v>2</v>
      </c>
      <c r="H1911" cm="1">
        <f t="array" ref="H1911">sentimentCalc(B1911)</f>
        <v>-10</v>
      </c>
      <c r="I1911" s="5" t="str" cm="1">
        <f t="array" ref="I1911">sentimentCategory(H1911)</f>
        <v>Negative</v>
      </c>
    </row>
    <row r="1912" spans="1:9" x14ac:dyDescent="0.2">
      <c r="A1912" s="3">
        <v>46877.921492997688</v>
      </c>
      <c r="B1912" t="s">
        <v>46</v>
      </c>
      <c r="C1912" t="s">
        <v>22</v>
      </c>
      <c r="E1912">
        <v>0</v>
      </c>
      <c r="F1912">
        <v>0</v>
      </c>
      <c r="G1912" t="s">
        <v>2</v>
      </c>
      <c r="H1912" cm="1">
        <f t="array" ref="H1912">sentimentCalc(B1912)</f>
        <v>0</v>
      </c>
      <c r="I1912" s="5" t="str" cm="1">
        <f t="array" ref="I1912">sentimentCategory(H1912)</f>
        <v>Neutral</v>
      </c>
    </row>
    <row r="1913" spans="1:9" x14ac:dyDescent="0.2">
      <c r="A1913" s="3">
        <v>46878.921492997688</v>
      </c>
      <c r="B1913" t="s">
        <v>1278</v>
      </c>
      <c r="C1913" t="s">
        <v>128</v>
      </c>
      <c r="D1913" t="s">
        <v>129</v>
      </c>
      <c r="E1913">
        <v>0</v>
      </c>
      <c r="F1913">
        <v>0</v>
      </c>
      <c r="G1913" t="s">
        <v>2</v>
      </c>
      <c r="H1913" cm="1">
        <f t="array" ref="H1913">sentimentCalc(B1913)</f>
        <v>-10</v>
      </c>
      <c r="I1913" s="5" t="str" cm="1">
        <f t="array" ref="I1913">sentimentCategory(H1913)</f>
        <v>Negative</v>
      </c>
    </row>
    <row r="1914" spans="1:9" x14ac:dyDescent="0.2">
      <c r="A1914" s="3">
        <v>46879.921492997688</v>
      </c>
      <c r="B1914" t="s">
        <v>159</v>
      </c>
      <c r="C1914" t="s">
        <v>22</v>
      </c>
      <c r="E1914">
        <v>0</v>
      </c>
      <c r="F1914">
        <v>0</v>
      </c>
      <c r="G1914" t="s">
        <v>2</v>
      </c>
      <c r="H1914" cm="1">
        <f t="array" ref="H1914">sentimentCalc(B1914)</f>
        <v>0</v>
      </c>
      <c r="I1914" s="5" t="str" cm="1">
        <f t="array" ref="I1914">sentimentCategory(H1914)</f>
        <v>Neutral</v>
      </c>
    </row>
    <row r="1915" spans="1:9" x14ac:dyDescent="0.2">
      <c r="A1915" s="3">
        <v>46880.921492997688</v>
      </c>
      <c r="B1915" t="s">
        <v>27</v>
      </c>
      <c r="C1915" t="s">
        <v>12</v>
      </c>
      <c r="D1915" t="s">
        <v>13</v>
      </c>
      <c r="E1915">
        <v>0</v>
      </c>
      <c r="F1915">
        <v>0</v>
      </c>
      <c r="G1915" t="s">
        <v>2</v>
      </c>
      <c r="H1915" cm="1">
        <f t="array" ref="H1915">sentimentCalc(B1915)</f>
        <v>10</v>
      </c>
      <c r="I1915" s="5" t="str" cm="1">
        <f t="array" ref="I1915">sentimentCategory(H1915)</f>
        <v>Positive</v>
      </c>
    </row>
    <row r="1916" spans="1:9" x14ac:dyDescent="0.2">
      <c r="A1916" s="3"/>
      <c r="H1916" cm="1">
        <f t="array" ref="H1916">sentimentCalc(B1916)</f>
        <v>0</v>
      </c>
      <c r="I1916" s="5" t="str" cm="1">
        <f t="array" ref="I1916">sentimentCategory(H1916)</f>
        <v>Neutral</v>
      </c>
    </row>
    <row r="1917" spans="1:9" x14ac:dyDescent="0.2">
      <c r="A1917" s="3">
        <v>46882.921492997688</v>
      </c>
      <c r="B1917" t="s">
        <v>165</v>
      </c>
      <c r="C1917" t="s">
        <v>22</v>
      </c>
      <c r="E1917">
        <v>0</v>
      </c>
      <c r="F1917">
        <v>0</v>
      </c>
      <c r="G1917" t="s">
        <v>2</v>
      </c>
      <c r="H1917" cm="1">
        <f t="array" ref="H1917">sentimentCalc(B1917)</f>
        <v>0</v>
      </c>
      <c r="I1917" s="5" t="str" cm="1">
        <f t="array" ref="I1917">sentimentCategory(H1917)</f>
        <v>Neutral</v>
      </c>
    </row>
    <row r="1918" spans="1:9" x14ac:dyDescent="0.2">
      <c r="A1918" s="3">
        <v>46883.921492997688</v>
      </c>
      <c r="B1918" t="s">
        <v>2071</v>
      </c>
      <c r="C1918" t="s">
        <v>2072</v>
      </c>
      <c r="D1918" t="s">
        <v>2073</v>
      </c>
      <c r="E1918">
        <v>0</v>
      </c>
      <c r="F1918">
        <v>0</v>
      </c>
      <c r="G1918" t="s">
        <v>2</v>
      </c>
      <c r="H1918" cm="1">
        <f t="array" ref="H1918">sentimentCalc(B1918)</f>
        <v>0</v>
      </c>
      <c r="I1918" s="5" t="str" cm="1">
        <f t="array" ref="I1918">sentimentCategory(H1918)</f>
        <v>Neutral</v>
      </c>
    </row>
    <row r="1919" spans="1:9" x14ac:dyDescent="0.2">
      <c r="A1919" s="3">
        <v>46884.921492997688</v>
      </c>
      <c r="B1919" t="s">
        <v>2074</v>
      </c>
      <c r="C1919" t="s">
        <v>134</v>
      </c>
      <c r="E1919">
        <v>0</v>
      </c>
      <c r="F1919">
        <v>0</v>
      </c>
      <c r="G1919" t="s">
        <v>2</v>
      </c>
      <c r="H1919" cm="1">
        <f t="array" ref="H1919">sentimentCalc(B1919)</f>
        <v>0</v>
      </c>
      <c r="I1919" s="5" t="str" cm="1">
        <f t="array" ref="I1919">sentimentCategory(H1919)</f>
        <v>Neutral</v>
      </c>
    </row>
    <row r="1920" spans="1:9" x14ac:dyDescent="0.2">
      <c r="A1920" s="3">
        <v>46885.921492997688</v>
      </c>
      <c r="B1920" t="s">
        <v>2075</v>
      </c>
      <c r="C1920" t="s">
        <v>2076</v>
      </c>
      <c r="E1920">
        <v>0</v>
      </c>
      <c r="F1920">
        <v>0</v>
      </c>
      <c r="G1920" t="s">
        <v>2</v>
      </c>
      <c r="H1920" cm="1">
        <f t="array" ref="H1920">sentimentCalc(B1920)</f>
        <v>0</v>
      </c>
      <c r="I1920" s="5" t="str" cm="1">
        <f t="array" ref="I1920">sentimentCategory(H1920)</f>
        <v>Neutral</v>
      </c>
    </row>
    <row r="1921" spans="1:9" x14ac:dyDescent="0.2">
      <c r="A1921" s="3"/>
      <c r="H1921" cm="1">
        <f t="array" ref="H1921">sentimentCalc(B1921)</f>
        <v>0</v>
      </c>
      <c r="I1921" s="5" t="str" cm="1">
        <f t="array" ref="I1921">sentimentCategory(H1921)</f>
        <v>Neutral</v>
      </c>
    </row>
    <row r="1922" spans="1:9" x14ac:dyDescent="0.2">
      <c r="A1922" s="3">
        <v>46887.921492997688</v>
      </c>
      <c r="B1922" t="s">
        <v>2077</v>
      </c>
      <c r="C1922" t="s">
        <v>143</v>
      </c>
      <c r="D1922" t="s">
        <v>129</v>
      </c>
      <c r="E1922">
        <v>0</v>
      </c>
      <c r="F1922">
        <v>0</v>
      </c>
      <c r="G1922" t="s">
        <v>2</v>
      </c>
      <c r="H1922" cm="1">
        <f t="array" ref="H1922">sentimentCalc(B1922)</f>
        <v>0</v>
      </c>
      <c r="I1922" s="5" t="str" cm="1">
        <f t="array" ref="I1922">sentimentCategory(H1922)</f>
        <v>Neutral</v>
      </c>
    </row>
    <row r="1923" spans="1:9" x14ac:dyDescent="0.2">
      <c r="A1923" s="3">
        <v>46888.921492997688</v>
      </c>
      <c r="B1923" t="s">
        <v>217</v>
      </c>
      <c r="C1923" t="s">
        <v>128</v>
      </c>
      <c r="D1923" t="s">
        <v>129</v>
      </c>
      <c r="E1923">
        <v>0</v>
      </c>
      <c r="F1923">
        <v>0</v>
      </c>
      <c r="G1923" t="s">
        <v>2</v>
      </c>
      <c r="H1923" cm="1">
        <f t="array" ref="H1923">sentimentCalc(B1923)</f>
        <v>-10</v>
      </c>
      <c r="I1923" s="5" t="str" cm="1">
        <f t="array" ref="I1923">sentimentCategory(H1923)</f>
        <v>Negative</v>
      </c>
    </row>
    <row r="1924" spans="1:9" x14ac:dyDescent="0.2">
      <c r="A1924" s="3"/>
      <c r="H1924" cm="1">
        <f t="array" ref="H1924">sentimentCalc(B1924)</f>
        <v>0</v>
      </c>
      <c r="I1924" s="5" t="str" cm="1">
        <f t="array" ref="I1924">sentimentCategory(H1924)</f>
        <v>Neutral</v>
      </c>
    </row>
    <row r="1925" spans="1:9" x14ac:dyDescent="0.2">
      <c r="A1925" s="3">
        <v>46890.921492997688</v>
      </c>
      <c r="B1925" t="s">
        <v>192</v>
      </c>
      <c r="C1925" t="s">
        <v>128</v>
      </c>
      <c r="D1925" t="s">
        <v>129</v>
      </c>
      <c r="E1925">
        <v>0</v>
      </c>
      <c r="F1925">
        <v>0</v>
      </c>
      <c r="G1925" t="s">
        <v>2</v>
      </c>
      <c r="H1925" cm="1">
        <f t="array" ref="H1925">sentimentCalc(B1925)</f>
        <v>-10</v>
      </c>
      <c r="I1925" s="5" t="str" cm="1">
        <f t="array" ref="I1925">sentimentCategory(H1925)</f>
        <v>Negative</v>
      </c>
    </row>
    <row r="1926" spans="1:9" x14ac:dyDescent="0.2">
      <c r="A1926" s="3">
        <v>46891.921492997688</v>
      </c>
      <c r="B1926" t="s">
        <v>2078</v>
      </c>
      <c r="C1926" t="s">
        <v>2079</v>
      </c>
      <c r="D1926" t="s">
        <v>2080</v>
      </c>
      <c r="E1926">
        <v>0</v>
      </c>
      <c r="F1926">
        <v>0</v>
      </c>
      <c r="G1926" t="s">
        <v>2</v>
      </c>
      <c r="H1926" cm="1">
        <f t="array" ref="H1926">sentimentCalc(B1926)</f>
        <v>-10</v>
      </c>
      <c r="I1926" s="5" t="str" cm="1">
        <f t="array" ref="I1926">sentimentCategory(H1926)</f>
        <v>Negative</v>
      </c>
    </row>
    <row r="1927" spans="1:9" x14ac:dyDescent="0.2">
      <c r="A1927" s="3">
        <v>46892.921492997688</v>
      </c>
      <c r="B1927" t="s">
        <v>2081</v>
      </c>
      <c r="C1927" t="s">
        <v>2082</v>
      </c>
      <c r="D1927" t="s">
        <v>2083</v>
      </c>
      <c r="E1927">
        <v>0</v>
      </c>
      <c r="F1927">
        <v>0</v>
      </c>
      <c r="G1927" t="s">
        <v>2</v>
      </c>
      <c r="H1927" cm="1">
        <f t="array" ref="H1927">sentimentCalc(B1927)</f>
        <v>10</v>
      </c>
      <c r="I1927" s="5" t="str" cm="1">
        <f t="array" ref="I1927">sentimentCategory(H1927)</f>
        <v>Positive</v>
      </c>
    </row>
    <row r="1928" spans="1:9" x14ac:dyDescent="0.2">
      <c r="A1928" s="3"/>
      <c r="H1928" cm="1">
        <f t="array" ref="H1928">sentimentCalc(B1928)</f>
        <v>0</v>
      </c>
      <c r="I1928" s="5" t="str" cm="1">
        <f t="array" ref="I1928">sentimentCategory(H1928)</f>
        <v>Neutral</v>
      </c>
    </row>
    <row r="1929" spans="1:9" x14ac:dyDescent="0.2">
      <c r="A1929" s="3">
        <v>46894.921492997688</v>
      </c>
      <c r="B1929" t="s">
        <v>646</v>
      </c>
      <c r="C1929" t="s">
        <v>143</v>
      </c>
      <c r="D1929" t="s">
        <v>129</v>
      </c>
      <c r="E1929">
        <v>0</v>
      </c>
      <c r="F1929">
        <v>0</v>
      </c>
      <c r="G1929" t="s">
        <v>2</v>
      </c>
      <c r="H1929" cm="1">
        <f t="array" ref="H1929">sentimentCalc(B1929)</f>
        <v>-10</v>
      </c>
      <c r="I1929" s="5" t="str" cm="1">
        <f t="array" ref="I1929">sentimentCategory(H1929)</f>
        <v>Negative</v>
      </c>
    </row>
    <row r="1930" spans="1:9" x14ac:dyDescent="0.2">
      <c r="A1930" s="3">
        <v>46895.921492997688</v>
      </c>
      <c r="B1930" t="s">
        <v>2084</v>
      </c>
      <c r="C1930" t="s">
        <v>2076</v>
      </c>
      <c r="E1930">
        <v>0</v>
      </c>
      <c r="F1930">
        <v>0</v>
      </c>
      <c r="G1930" t="s">
        <v>2</v>
      </c>
      <c r="H1930" cm="1">
        <f t="array" ref="H1930">sentimentCalc(B1930)</f>
        <v>0</v>
      </c>
      <c r="I1930" s="5" t="str" cm="1">
        <f t="array" ref="I1930">sentimentCategory(H1930)</f>
        <v>Neutral</v>
      </c>
    </row>
    <row r="1931" spans="1:9" x14ac:dyDescent="0.2">
      <c r="A1931" s="3">
        <v>46896.921492997688</v>
      </c>
      <c r="B1931" t="s">
        <v>1974</v>
      </c>
      <c r="C1931" t="s">
        <v>2085</v>
      </c>
      <c r="D1931" t="s">
        <v>2086</v>
      </c>
      <c r="E1931">
        <v>0</v>
      </c>
      <c r="F1931">
        <v>0</v>
      </c>
      <c r="G1931" t="s">
        <v>2</v>
      </c>
      <c r="H1931" cm="1">
        <f t="array" ref="H1931">sentimentCalc(B1931)</f>
        <v>0</v>
      </c>
      <c r="I1931" s="5" t="str" cm="1">
        <f t="array" ref="I1931">sentimentCategory(H1931)</f>
        <v>Neutral</v>
      </c>
    </row>
    <row r="1932" spans="1:9" x14ac:dyDescent="0.2">
      <c r="A1932" s="3">
        <v>46897.921492997688</v>
      </c>
      <c r="B1932" t="s">
        <v>2087</v>
      </c>
      <c r="C1932" t="s">
        <v>2088</v>
      </c>
      <c r="E1932">
        <v>0</v>
      </c>
      <c r="F1932">
        <v>0</v>
      </c>
      <c r="G1932" t="s">
        <v>2</v>
      </c>
      <c r="H1932" cm="1">
        <f t="array" ref="H1932">sentimentCalc(B1932)</f>
        <v>0</v>
      </c>
      <c r="I1932" s="5" t="str" cm="1">
        <f t="array" ref="I1932">sentimentCategory(H1932)</f>
        <v>Neutral</v>
      </c>
    </row>
    <row r="1933" spans="1:9" x14ac:dyDescent="0.2">
      <c r="A1933" s="3">
        <v>46898.921492997688</v>
      </c>
      <c r="B1933" t="s">
        <v>848</v>
      </c>
      <c r="C1933" t="s">
        <v>128</v>
      </c>
      <c r="D1933" t="s">
        <v>129</v>
      </c>
      <c r="E1933">
        <v>0</v>
      </c>
      <c r="F1933">
        <v>0</v>
      </c>
      <c r="G1933" t="s">
        <v>2</v>
      </c>
      <c r="H1933" cm="1">
        <f t="array" ref="H1933">sentimentCalc(B1933)</f>
        <v>-10</v>
      </c>
      <c r="I1933" s="5" t="str" cm="1">
        <f t="array" ref="I1933">sentimentCategory(H1933)</f>
        <v>Negative</v>
      </c>
    </row>
    <row r="1934" spans="1:9" x14ac:dyDescent="0.2">
      <c r="A1934" s="3">
        <v>46899.921492997688</v>
      </c>
      <c r="B1934" t="s">
        <v>2089</v>
      </c>
      <c r="C1934" t="s">
        <v>167</v>
      </c>
      <c r="E1934">
        <v>0</v>
      </c>
      <c r="F1934">
        <v>0</v>
      </c>
      <c r="G1934" t="s">
        <v>2</v>
      </c>
      <c r="H1934" cm="1">
        <f t="array" ref="H1934">sentimentCalc(B1934)</f>
        <v>-10</v>
      </c>
      <c r="I1934" s="5" t="str" cm="1">
        <f t="array" ref="I1934">sentimentCategory(H1934)</f>
        <v>Negative</v>
      </c>
    </row>
    <row r="1935" spans="1:9" x14ac:dyDescent="0.2">
      <c r="A1935" s="3">
        <v>46900.921492997688</v>
      </c>
      <c r="B1935" t="s">
        <v>2090</v>
      </c>
      <c r="C1935" t="s">
        <v>341</v>
      </c>
      <c r="D1935" t="s">
        <v>342</v>
      </c>
      <c r="E1935">
        <v>1</v>
      </c>
      <c r="F1935">
        <v>0</v>
      </c>
      <c r="G1935" t="s">
        <v>2</v>
      </c>
      <c r="H1935" cm="1">
        <f t="array" ref="H1935">sentimentCalc(B1935)</f>
        <v>20</v>
      </c>
      <c r="I1935" s="5" t="str" cm="1">
        <f t="array" ref="I1935">sentimentCategory(H1935)</f>
        <v>Positive</v>
      </c>
    </row>
    <row r="1936" spans="1:9" x14ac:dyDescent="0.2">
      <c r="A1936" s="3">
        <v>46901.921492997688</v>
      </c>
      <c r="B1936" t="s">
        <v>2091</v>
      </c>
      <c r="C1936" t="s">
        <v>33</v>
      </c>
      <c r="D1936" t="s">
        <v>34</v>
      </c>
      <c r="E1936">
        <v>0</v>
      </c>
      <c r="F1936">
        <v>0</v>
      </c>
      <c r="G1936" t="s">
        <v>2</v>
      </c>
      <c r="H1936" cm="1">
        <f t="array" ref="H1936">sentimentCalc(B1936)</f>
        <v>0</v>
      </c>
      <c r="I1936" s="5" t="str" cm="1">
        <f t="array" ref="I1936">sentimentCategory(H1936)</f>
        <v>Neutral</v>
      </c>
    </row>
    <row r="1937" spans="1:9" x14ac:dyDescent="0.2">
      <c r="A1937" s="3">
        <v>46902.921492997688</v>
      </c>
      <c r="B1937" t="s">
        <v>37</v>
      </c>
      <c r="C1937" t="s">
        <v>33</v>
      </c>
      <c r="D1937" t="s">
        <v>34</v>
      </c>
      <c r="E1937">
        <v>0</v>
      </c>
      <c r="F1937">
        <v>0</v>
      </c>
      <c r="G1937" t="s">
        <v>2</v>
      </c>
      <c r="H1937" cm="1">
        <f t="array" ref="H1937">sentimentCalc(B1937)</f>
        <v>0</v>
      </c>
      <c r="I1937" s="5" t="str" cm="1">
        <f t="array" ref="I1937">sentimentCategory(H1937)</f>
        <v>Neutral</v>
      </c>
    </row>
    <row r="1938" spans="1:9" x14ac:dyDescent="0.2">
      <c r="A1938" s="3">
        <v>46903.921492997688</v>
      </c>
      <c r="B1938" t="s">
        <v>36</v>
      </c>
      <c r="C1938" t="s">
        <v>33</v>
      </c>
      <c r="D1938" t="s">
        <v>34</v>
      </c>
      <c r="E1938">
        <v>0</v>
      </c>
      <c r="F1938">
        <v>0</v>
      </c>
      <c r="G1938" t="s">
        <v>2</v>
      </c>
      <c r="H1938" cm="1">
        <f t="array" ref="H1938">sentimentCalc(B1938)</f>
        <v>10</v>
      </c>
      <c r="I1938" s="5" t="str" cm="1">
        <f t="array" ref="I1938">sentimentCategory(H1938)</f>
        <v>Positive</v>
      </c>
    </row>
    <row r="1939" spans="1:9" x14ac:dyDescent="0.2">
      <c r="A1939" s="3">
        <v>46904.921492997688</v>
      </c>
      <c r="B1939" t="s">
        <v>35</v>
      </c>
      <c r="C1939" t="s">
        <v>33</v>
      </c>
      <c r="D1939" t="s">
        <v>34</v>
      </c>
      <c r="E1939">
        <v>0</v>
      </c>
      <c r="F1939">
        <v>0</v>
      </c>
      <c r="G1939" t="s">
        <v>2</v>
      </c>
      <c r="H1939" cm="1">
        <f t="array" ref="H1939">sentimentCalc(B1939)</f>
        <v>0</v>
      </c>
      <c r="I1939" s="5" t="str" cm="1">
        <f t="array" ref="I1939">sentimentCategory(H1939)</f>
        <v>Neutral</v>
      </c>
    </row>
    <row r="1940" spans="1:9" x14ac:dyDescent="0.2">
      <c r="A1940" s="3">
        <v>46905.921492997688</v>
      </c>
      <c r="B1940" t="s">
        <v>2092</v>
      </c>
      <c r="C1940" t="s">
        <v>2093</v>
      </c>
      <c r="D1940" t="s">
        <v>2094</v>
      </c>
      <c r="E1940">
        <v>0</v>
      </c>
      <c r="F1940">
        <v>1</v>
      </c>
      <c r="G1940" t="s">
        <v>2</v>
      </c>
      <c r="H1940" cm="1">
        <f t="array" ref="H1940">sentimentCalc(B1940)</f>
        <v>0</v>
      </c>
      <c r="I1940" s="5" t="str" cm="1">
        <f t="array" ref="I1940">sentimentCategory(H1940)</f>
        <v>Neutral</v>
      </c>
    </row>
    <row r="1941" spans="1:9" x14ac:dyDescent="0.2">
      <c r="A1941" s="3">
        <v>46906.921492997688</v>
      </c>
      <c r="B1941" t="s">
        <v>3</v>
      </c>
      <c r="C1941" t="s">
        <v>4</v>
      </c>
      <c r="D1941" t="s">
        <v>5</v>
      </c>
      <c r="E1941">
        <v>0</v>
      </c>
      <c r="F1941">
        <v>0</v>
      </c>
      <c r="G1941" t="s">
        <v>2</v>
      </c>
      <c r="H1941" cm="1">
        <f t="array" ref="H1941">sentimentCalc(B1941)</f>
        <v>0</v>
      </c>
      <c r="I1941" s="5" t="str" cm="1">
        <f t="array" ref="I1941">sentimentCategory(H1941)</f>
        <v>Neutral</v>
      </c>
    </row>
    <row r="1942" spans="1:9" x14ac:dyDescent="0.2">
      <c r="A1942" s="3">
        <v>46907.921492997688</v>
      </c>
      <c r="B1942" t="s">
        <v>2095</v>
      </c>
      <c r="C1942" t="s">
        <v>286</v>
      </c>
      <c r="E1942">
        <v>0</v>
      </c>
      <c r="F1942">
        <v>0</v>
      </c>
      <c r="G1942" t="s">
        <v>2</v>
      </c>
      <c r="H1942" cm="1">
        <f t="array" ref="H1942">sentimentCalc(B1942)</f>
        <v>0</v>
      </c>
      <c r="I1942" s="5" t="str" cm="1">
        <f t="array" ref="I1942">sentimentCategory(H1942)</f>
        <v>Neutral</v>
      </c>
    </row>
    <row r="1943" spans="1:9" x14ac:dyDescent="0.2">
      <c r="A1943" s="3">
        <v>46908.921492997688</v>
      </c>
      <c r="B1943" t="s">
        <v>2096</v>
      </c>
      <c r="C1943" t="s">
        <v>1120</v>
      </c>
      <c r="D1943" t="s">
        <v>2097</v>
      </c>
      <c r="E1943">
        <v>0</v>
      </c>
      <c r="F1943">
        <v>2</v>
      </c>
      <c r="G1943" t="s">
        <v>2</v>
      </c>
      <c r="H1943" cm="1">
        <f t="array" ref="H1943">sentimentCalc(B1943)</f>
        <v>0</v>
      </c>
      <c r="I1943" s="5" t="str" cm="1">
        <f t="array" ref="I1943">sentimentCategory(H1943)</f>
        <v>Neutral</v>
      </c>
    </row>
    <row r="1944" spans="1:9" x14ac:dyDescent="0.2">
      <c r="A1944" s="3">
        <v>46909.921492997688</v>
      </c>
      <c r="B1944" t="s">
        <v>2098</v>
      </c>
      <c r="C1944" t="s">
        <v>1130</v>
      </c>
      <c r="D1944" t="s">
        <v>291</v>
      </c>
      <c r="E1944">
        <v>1</v>
      </c>
      <c r="F1944">
        <v>2</v>
      </c>
      <c r="G1944" t="s">
        <v>2</v>
      </c>
      <c r="H1944" cm="1">
        <f t="array" ref="H1944">sentimentCalc(B1944)</f>
        <v>0</v>
      </c>
      <c r="I1944" s="5" t="str" cm="1">
        <f t="array" ref="I1944">sentimentCategory(H1944)</f>
        <v>Neutral</v>
      </c>
    </row>
    <row r="1945" spans="1:9" x14ac:dyDescent="0.2">
      <c r="A1945" s="3">
        <v>46910.921492997688</v>
      </c>
      <c r="B1945" t="s">
        <v>2099</v>
      </c>
      <c r="C1945" t="s">
        <v>699</v>
      </c>
      <c r="E1945">
        <v>0</v>
      </c>
      <c r="F1945">
        <v>0</v>
      </c>
      <c r="G1945" t="s">
        <v>2</v>
      </c>
      <c r="H1945" cm="1">
        <f t="array" ref="H1945">sentimentCalc(B1945)</f>
        <v>10</v>
      </c>
      <c r="I1945" s="5" t="str" cm="1">
        <f t="array" ref="I1945">sentimentCategory(H1945)</f>
        <v>Positive</v>
      </c>
    </row>
    <row r="1946" spans="1:9" x14ac:dyDescent="0.2">
      <c r="A1946" s="3">
        <v>46911.921492997688</v>
      </c>
      <c r="B1946" t="s">
        <v>2033</v>
      </c>
      <c r="C1946" t="s">
        <v>686</v>
      </c>
      <c r="D1946" t="s">
        <v>13</v>
      </c>
      <c r="E1946">
        <v>0</v>
      </c>
      <c r="F1946">
        <v>0</v>
      </c>
      <c r="G1946" t="s">
        <v>2</v>
      </c>
      <c r="H1946" cm="1">
        <f t="array" ref="H1946">sentimentCalc(B1946)</f>
        <v>0</v>
      </c>
      <c r="I1946" s="5" t="str" cm="1">
        <f t="array" ref="I1946">sentimentCategory(H1946)</f>
        <v>Neutral</v>
      </c>
    </row>
    <row r="1947" spans="1:9" x14ac:dyDescent="0.2">
      <c r="A1947" s="3">
        <v>46912.921492997688</v>
      </c>
      <c r="B1947" t="s">
        <v>216</v>
      </c>
      <c r="C1947" t="s">
        <v>134</v>
      </c>
      <c r="E1947">
        <v>0</v>
      </c>
      <c r="F1947">
        <v>0</v>
      </c>
      <c r="G1947" t="s">
        <v>2</v>
      </c>
      <c r="H1947" cm="1">
        <f t="array" ref="H1947">sentimentCalc(B1947)</f>
        <v>0</v>
      </c>
      <c r="I1947" s="5" t="str" cm="1">
        <f t="array" ref="I1947">sentimentCategory(H1947)</f>
        <v>Neutral</v>
      </c>
    </row>
    <row r="1948" spans="1:9" x14ac:dyDescent="0.2">
      <c r="A1948" s="3"/>
      <c r="H1948" cm="1">
        <f t="array" ref="H1948">sentimentCalc(B1948)</f>
        <v>0</v>
      </c>
      <c r="I1948" s="5" t="str" cm="1">
        <f t="array" ref="I1948">sentimentCategory(H1948)</f>
        <v>Neutral</v>
      </c>
    </row>
    <row r="1949" spans="1:9" x14ac:dyDescent="0.2">
      <c r="A1949" s="3">
        <v>46914.921492997688</v>
      </c>
      <c r="B1949" t="s">
        <v>396</v>
      </c>
      <c r="C1949" t="s">
        <v>143</v>
      </c>
      <c r="D1949" t="s">
        <v>129</v>
      </c>
      <c r="E1949">
        <v>0</v>
      </c>
      <c r="F1949">
        <v>0</v>
      </c>
      <c r="G1949" t="s">
        <v>2</v>
      </c>
      <c r="H1949" cm="1">
        <f t="array" ref="H1949">sentimentCalc(B1949)</f>
        <v>0</v>
      </c>
      <c r="I1949" s="5" t="str" cm="1">
        <f t="array" ref="I1949">sentimentCategory(H1949)</f>
        <v>Neutral</v>
      </c>
    </row>
    <row r="1950" spans="1:9" x14ac:dyDescent="0.2">
      <c r="A1950" s="3">
        <v>46915.921492997688</v>
      </c>
      <c r="B1950" t="s">
        <v>2100</v>
      </c>
      <c r="C1950" t="s">
        <v>2101</v>
      </c>
      <c r="D1950" t="s">
        <v>2102</v>
      </c>
      <c r="E1950">
        <v>0</v>
      </c>
      <c r="F1950">
        <v>0</v>
      </c>
      <c r="G1950" t="s">
        <v>2</v>
      </c>
      <c r="H1950" cm="1">
        <f t="array" ref="H1950">sentimentCalc(B1950)</f>
        <v>0</v>
      </c>
      <c r="I1950" s="5" t="str" cm="1">
        <f t="array" ref="I1950">sentimentCategory(H1950)</f>
        <v>Neutral</v>
      </c>
    </row>
    <row r="1951" spans="1:9" x14ac:dyDescent="0.2">
      <c r="A1951" s="3">
        <v>46916.921492997688</v>
      </c>
      <c r="B1951" t="s">
        <v>2103</v>
      </c>
      <c r="C1951" t="s">
        <v>1481</v>
      </c>
      <c r="D1951" t="s">
        <v>2104</v>
      </c>
      <c r="E1951">
        <v>0</v>
      </c>
      <c r="F1951">
        <v>0</v>
      </c>
      <c r="G1951" t="s">
        <v>2</v>
      </c>
      <c r="H1951" cm="1">
        <f t="array" ref="H1951">sentimentCalc(B1951)</f>
        <v>0</v>
      </c>
      <c r="I1951" s="5" t="str" cm="1">
        <f t="array" ref="I1951">sentimentCategory(H1951)</f>
        <v>Neutral</v>
      </c>
    </row>
    <row r="1952" spans="1:9" x14ac:dyDescent="0.2">
      <c r="A1952" s="3">
        <v>46917.921492997688</v>
      </c>
      <c r="B1952" t="s">
        <v>155</v>
      </c>
      <c r="C1952" t="s">
        <v>12</v>
      </c>
      <c r="D1952" t="s">
        <v>13</v>
      </c>
      <c r="E1952">
        <v>0</v>
      </c>
      <c r="F1952">
        <v>0</v>
      </c>
      <c r="G1952" t="s">
        <v>2</v>
      </c>
      <c r="H1952" cm="1">
        <f t="array" ref="H1952">sentimentCalc(B1952)</f>
        <v>0</v>
      </c>
      <c r="I1952" s="5" t="str" cm="1">
        <f t="array" ref="I1952">sentimentCategory(H1952)</f>
        <v>Neutral</v>
      </c>
    </row>
    <row r="1953" spans="1:9" x14ac:dyDescent="0.2">
      <c r="A1953" s="3">
        <v>46918.921492997688</v>
      </c>
      <c r="B1953" t="s">
        <v>162</v>
      </c>
      <c r="C1953" t="s">
        <v>134</v>
      </c>
      <c r="E1953">
        <v>0</v>
      </c>
      <c r="F1953">
        <v>0</v>
      </c>
      <c r="G1953" t="s">
        <v>2</v>
      </c>
      <c r="H1953" cm="1">
        <f t="array" ref="H1953">sentimentCalc(B1953)</f>
        <v>0</v>
      </c>
      <c r="I1953" s="5" t="str" cm="1">
        <f t="array" ref="I1953">sentimentCategory(H1953)</f>
        <v>Neutral</v>
      </c>
    </row>
    <row r="1954" spans="1:9" x14ac:dyDescent="0.2">
      <c r="A1954" s="3"/>
      <c r="H1954" cm="1">
        <f t="array" ref="H1954">sentimentCalc(B1954)</f>
        <v>0</v>
      </c>
      <c r="I1954" s="5" t="str" cm="1">
        <f t="array" ref="I1954">sentimentCategory(H1954)</f>
        <v>Neutral</v>
      </c>
    </row>
    <row r="1955" spans="1:9" x14ac:dyDescent="0.2">
      <c r="A1955" s="3">
        <v>46920.921492997688</v>
      </c>
      <c r="B1955" t="s">
        <v>339</v>
      </c>
      <c r="C1955" t="s">
        <v>128</v>
      </c>
      <c r="D1955" t="s">
        <v>129</v>
      </c>
      <c r="E1955">
        <v>0</v>
      </c>
      <c r="F1955">
        <v>0</v>
      </c>
      <c r="G1955" t="s">
        <v>2</v>
      </c>
      <c r="H1955" cm="1">
        <f t="array" ref="H1955">sentimentCalc(B1955)</f>
        <v>-10</v>
      </c>
      <c r="I1955" s="5" t="str" cm="1">
        <f t="array" ref="I1955">sentimentCategory(H1955)</f>
        <v>Negative</v>
      </c>
    </row>
    <row r="1956" spans="1:9" x14ac:dyDescent="0.2">
      <c r="A1956" s="3">
        <v>46921.921492997688</v>
      </c>
      <c r="B1956" t="s">
        <v>218</v>
      </c>
      <c r="C1956" t="s">
        <v>22</v>
      </c>
      <c r="E1956">
        <v>0</v>
      </c>
      <c r="F1956">
        <v>0</v>
      </c>
      <c r="G1956" t="s">
        <v>2</v>
      </c>
      <c r="H1956" cm="1">
        <f t="array" ref="H1956">sentimentCalc(B1956)</f>
        <v>0</v>
      </c>
      <c r="I1956" s="5" t="str" cm="1">
        <f t="array" ref="I1956">sentimentCategory(H1956)</f>
        <v>Neutral</v>
      </c>
    </row>
    <row r="1957" spans="1:9" x14ac:dyDescent="0.2">
      <c r="A1957" s="3">
        <v>46922.921492997688</v>
      </c>
      <c r="B1957" t="s">
        <v>2105</v>
      </c>
      <c r="C1957" t="s">
        <v>2106</v>
      </c>
      <c r="D1957" t="s">
        <v>1746</v>
      </c>
      <c r="E1957">
        <v>0</v>
      </c>
      <c r="F1957">
        <v>0</v>
      </c>
      <c r="G1957" t="s">
        <v>2</v>
      </c>
      <c r="H1957" cm="1">
        <f t="array" ref="H1957">sentimentCalc(B1957)</f>
        <v>0</v>
      </c>
      <c r="I1957" s="5" t="str" cm="1">
        <f t="array" ref="I1957">sentimentCategory(H1957)</f>
        <v>Neutral</v>
      </c>
    </row>
    <row r="1958" spans="1:9" x14ac:dyDescent="0.2">
      <c r="A1958" s="3">
        <v>46923.921492997688</v>
      </c>
      <c r="B1958" t="s">
        <v>2107</v>
      </c>
      <c r="C1958" t="s">
        <v>1085</v>
      </c>
      <c r="D1958" t="s">
        <v>2108</v>
      </c>
      <c r="E1958">
        <v>0</v>
      </c>
      <c r="F1958">
        <v>0</v>
      </c>
      <c r="G1958" t="s">
        <v>2</v>
      </c>
      <c r="H1958" cm="1">
        <f t="array" ref="H1958">sentimentCalc(B1958)</f>
        <v>0</v>
      </c>
      <c r="I1958" s="5" t="str" cm="1">
        <f t="array" ref="I1958">sentimentCategory(H1958)</f>
        <v>Neutral</v>
      </c>
    </row>
    <row r="1959" spans="1:9" x14ac:dyDescent="0.2">
      <c r="A1959" s="3">
        <v>46924.921492997688</v>
      </c>
      <c r="B1959" t="s">
        <v>2109</v>
      </c>
      <c r="C1959" t="s">
        <v>1240</v>
      </c>
      <c r="E1959">
        <v>0</v>
      </c>
      <c r="F1959">
        <v>1</v>
      </c>
      <c r="G1959" t="s">
        <v>2</v>
      </c>
      <c r="H1959" cm="1">
        <f t="array" ref="H1959">sentimentCalc(B1959)</f>
        <v>10</v>
      </c>
      <c r="I1959" s="5" t="str" cm="1">
        <f t="array" ref="I1959">sentimentCategory(H1959)</f>
        <v>Positive</v>
      </c>
    </row>
    <row r="1960" spans="1:9" x14ac:dyDescent="0.2">
      <c r="A1960" s="3">
        <v>46925.921492997688</v>
      </c>
      <c r="B1960" t="s">
        <v>2110</v>
      </c>
      <c r="C1960" t="s">
        <v>2111</v>
      </c>
      <c r="E1960">
        <v>0</v>
      </c>
      <c r="F1960">
        <v>0</v>
      </c>
      <c r="G1960" t="s">
        <v>2</v>
      </c>
      <c r="H1960" cm="1">
        <f t="array" ref="H1960">sentimentCalc(B1960)</f>
        <v>0</v>
      </c>
      <c r="I1960" s="5" t="str" cm="1">
        <f t="array" ref="I1960">sentimentCategory(H1960)</f>
        <v>Neutral</v>
      </c>
    </row>
    <row r="1961" spans="1:9" x14ac:dyDescent="0.2">
      <c r="A1961" s="3">
        <v>46926.921492997688</v>
      </c>
      <c r="B1961" t="s">
        <v>2112</v>
      </c>
      <c r="C1961" t="s">
        <v>1076</v>
      </c>
      <c r="D1961" t="s">
        <v>1107</v>
      </c>
      <c r="E1961">
        <v>1</v>
      </c>
      <c r="F1961">
        <v>1</v>
      </c>
      <c r="G1961" t="s">
        <v>2</v>
      </c>
      <c r="H1961" cm="1">
        <f t="array" ref="H1961">sentimentCalc(B1961)</f>
        <v>0</v>
      </c>
      <c r="I1961" s="5" t="str" cm="1">
        <f t="array" ref="I1961">sentimentCategory(H1961)</f>
        <v>Neutral</v>
      </c>
    </row>
    <row r="1962" spans="1:9" x14ac:dyDescent="0.2">
      <c r="A1962" s="3">
        <v>46927.921492997688</v>
      </c>
      <c r="B1962" t="s">
        <v>2113</v>
      </c>
      <c r="C1962" t="s">
        <v>262</v>
      </c>
      <c r="D1962" t="s">
        <v>2114</v>
      </c>
      <c r="E1962">
        <v>0</v>
      </c>
      <c r="F1962">
        <v>2</v>
      </c>
      <c r="G1962" t="s">
        <v>2</v>
      </c>
      <c r="H1962" cm="1">
        <f t="array" ref="H1962">sentimentCalc(B1962)</f>
        <v>0</v>
      </c>
      <c r="I1962" s="5" t="str" cm="1">
        <f t="array" ref="I1962">sentimentCategory(H1962)</f>
        <v>Neutral</v>
      </c>
    </row>
    <row r="1963" spans="1:9" x14ac:dyDescent="0.2">
      <c r="A1963" s="3"/>
      <c r="H1963" cm="1">
        <f t="array" ref="H1963">sentimentCalc(B1963)</f>
        <v>0</v>
      </c>
      <c r="I1963" s="5" t="str" cm="1">
        <f t="array" ref="I1963">sentimentCategory(H1963)</f>
        <v>Neutral</v>
      </c>
    </row>
    <row r="1964" spans="1:9" x14ac:dyDescent="0.2">
      <c r="A1964" s="3">
        <v>46929.921492997688</v>
      </c>
      <c r="B1964" t="s">
        <v>2116</v>
      </c>
      <c r="C1964" t="s">
        <v>2117</v>
      </c>
      <c r="D1964" t="s">
        <v>2118</v>
      </c>
      <c r="E1964">
        <v>0</v>
      </c>
      <c r="F1964">
        <v>0</v>
      </c>
      <c r="G1964" t="s">
        <v>2</v>
      </c>
      <c r="H1964" cm="1">
        <f t="array" ref="H1964">sentimentCalc(B1964)</f>
        <v>0</v>
      </c>
      <c r="I1964" s="5" t="str" cm="1">
        <f t="array" ref="I1964">sentimentCategory(H1964)</f>
        <v>Neutral</v>
      </c>
    </row>
    <row r="1965" spans="1:9" x14ac:dyDescent="0.2">
      <c r="A1965" s="3">
        <v>46930.921492997688</v>
      </c>
      <c r="B1965" t="s">
        <v>2119</v>
      </c>
      <c r="C1965" t="s">
        <v>2120</v>
      </c>
      <c r="D1965" t="s">
        <v>2121</v>
      </c>
      <c r="E1965">
        <v>0</v>
      </c>
      <c r="F1965">
        <v>0</v>
      </c>
      <c r="G1965" t="s">
        <v>2</v>
      </c>
      <c r="H1965" cm="1">
        <f t="array" ref="H1965">sentimentCalc(B1965)</f>
        <v>-10</v>
      </c>
      <c r="I1965" s="5" t="str" cm="1">
        <f t="array" ref="I1965">sentimentCategory(H1965)</f>
        <v>Negative</v>
      </c>
    </row>
    <row r="1966" spans="1:9" x14ac:dyDescent="0.2">
      <c r="A1966" s="3">
        <v>46931.921492997688</v>
      </c>
      <c r="B1966" t="s">
        <v>2122</v>
      </c>
      <c r="C1966" t="s">
        <v>7</v>
      </c>
      <c r="E1966">
        <v>0</v>
      </c>
      <c r="F1966">
        <v>0</v>
      </c>
      <c r="G1966" t="s">
        <v>2</v>
      </c>
      <c r="H1966" cm="1">
        <f t="array" ref="H1966">sentimentCalc(B1966)</f>
        <v>0</v>
      </c>
      <c r="I1966" s="5" t="str" cm="1">
        <f t="array" ref="I1966">sentimentCategory(H1966)</f>
        <v>Neutral</v>
      </c>
    </row>
    <row r="1967" spans="1:9" x14ac:dyDescent="0.2">
      <c r="A1967" s="3">
        <v>46932.921492997688</v>
      </c>
      <c r="B1967" t="s">
        <v>3</v>
      </c>
      <c r="C1967" t="s">
        <v>4</v>
      </c>
      <c r="D1967" t="s">
        <v>5</v>
      </c>
      <c r="E1967">
        <v>0</v>
      </c>
      <c r="F1967">
        <v>0</v>
      </c>
      <c r="G1967" t="s">
        <v>2</v>
      </c>
      <c r="H1967" cm="1">
        <f t="array" ref="H1967">sentimentCalc(B1967)</f>
        <v>0</v>
      </c>
      <c r="I1967" s="5" t="str" cm="1">
        <f t="array" ref="I1967">sentimentCategory(H1967)</f>
        <v>Neutral</v>
      </c>
    </row>
    <row r="1968" spans="1:9" x14ac:dyDescent="0.2">
      <c r="A1968" s="3">
        <v>46933.921492997688</v>
      </c>
      <c r="B1968" t="s">
        <v>2123</v>
      </c>
      <c r="C1968" t="s">
        <v>98</v>
      </c>
      <c r="D1968" t="s">
        <v>13</v>
      </c>
      <c r="E1968">
        <v>0</v>
      </c>
      <c r="F1968">
        <v>0</v>
      </c>
      <c r="G1968" t="s">
        <v>2</v>
      </c>
      <c r="H1968" cm="1">
        <f t="array" ref="H1968">sentimentCalc(B1968)</f>
        <v>0</v>
      </c>
      <c r="I1968" s="5" t="str" cm="1">
        <f t="array" ref="I1968">sentimentCategory(H1968)</f>
        <v>Neutral</v>
      </c>
    </row>
    <row r="1969" spans="1:9" x14ac:dyDescent="0.2">
      <c r="A1969" s="3">
        <v>46934.921492997688</v>
      </c>
      <c r="B1969" t="s">
        <v>2124</v>
      </c>
      <c r="C1969" t="s">
        <v>33</v>
      </c>
      <c r="D1969" t="s">
        <v>34</v>
      </c>
      <c r="E1969">
        <v>0</v>
      </c>
      <c r="F1969">
        <v>0</v>
      </c>
      <c r="G1969" t="s">
        <v>2</v>
      </c>
      <c r="H1969" cm="1">
        <f t="array" ref="H1969">sentimentCalc(B1969)</f>
        <v>0</v>
      </c>
      <c r="I1969" s="5" t="str" cm="1">
        <f t="array" ref="I1969">sentimentCategory(H1969)</f>
        <v>Neutral</v>
      </c>
    </row>
    <row r="1970" spans="1:9" x14ac:dyDescent="0.2">
      <c r="A1970" s="3">
        <v>46935.921492997688</v>
      </c>
      <c r="B1970" t="s">
        <v>35</v>
      </c>
      <c r="C1970" t="s">
        <v>33</v>
      </c>
      <c r="D1970" t="s">
        <v>34</v>
      </c>
      <c r="E1970">
        <v>0</v>
      </c>
      <c r="F1970">
        <v>0</v>
      </c>
      <c r="G1970" t="s">
        <v>2</v>
      </c>
      <c r="H1970" cm="1">
        <f t="array" ref="H1970">sentimentCalc(B1970)</f>
        <v>0</v>
      </c>
      <c r="I1970" s="5" t="str" cm="1">
        <f t="array" ref="I1970">sentimentCategory(H1970)</f>
        <v>Neutral</v>
      </c>
    </row>
    <row r="1971" spans="1:9" x14ac:dyDescent="0.2">
      <c r="A1971" s="3">
        <v>46936.921492997688</v>
      </c>
      <c r="B1971" t="s">
        <v>36</v>
      </c>
      <c r="C1971" t="s">
        <v>33</v>
      </c>
      <c r="D1971" t="s">
        <v>34</v>
      </c>
      <c r="E1971">
        <v>0</v>
      </c>
      <c r="F1971">
        <v>0</v>
      </c>
      <c r="G1971" t="s">
        <v>2</v>
      </c>
      <c r="H1971" cm="1">
        <f t="array" ref="H1971">sentimentCalc(B1971)</f>
        <v>10</v>
      </c>
      <c r="I1971" s="5" t="str" cm="1">
        <f t="array" ref="I1971">sentimentCategory(H1971)</f>
        <v>Positive</v>
      </c>
    </row>
    <row r="1972" spans="1:9" x14ac:dyDescent="0.2">
      <c r="A1972" s="3">
        <v>46937.921492997688</v>
      </c>
      <c r="B1972" t="s">
        <v>37</v>
      </c>
      <c r="C1972" t="s">
        <v>33</v>
      </c>
      <c r="D1972" t="s">
        <v>34</v>
      </c>
      <c r="E1972">
        <v>0</v>
      </c>
      <c r="F1972">
        <v>0</v>
      </c>
      <c r="G1972" t="s">
        <v>2</v>
      </c>
      <c r="H1972" cm="1">
        <f t="array" ref="H1972">sentimentCalc(B1972)</f>
        <v>0</v>
      </c>
      <c r="I1972" s="5" t="str" cm="1">
        <f t="array" ref="I1972">sentimentCategory(H1972)</f>
        <v>Neutral</v>
      </c>
    </row>
    <row r="1973" spans="1:9" x14ac:dyDescent="0.2">
      <c r="A1973" s="3">
        <v>46938.921492997688</v>
      </c>
      <c r="B1973" t="s">
        <v>224</v>
      </c>
      <c r="C1973" t="s">
        <v>33</v>
      </c>
      <c r="D1973" t="s">
        <v>34</v>
      </c>
      <c r="E1973">
        <v>0</v>
      </c>
      <c r="F1973">
        <v>0</v>
      </c>
      <c r="G1973" t="s">
        <v>2</v>
      </c>
      <c r="H1973" cm="1">
        <f t="array" ref="H1973">sentimentCalc(B1973)</f>
        <v>10</v>
      </c>
      <c r="I1973" s="5" t="str" cm="1">
        <f t="array" ref="I1973">sentimentCategory(H1973)</f>
        <v>Positive</v>
      </c>
    </row>
    <row r="1974" spans="1:9" x14ac:dyDescent="0.2">
      <c r="A1974" s="3">
        <v>46939.921492997688</v>
      </c>
      <c r="B1974" t="s">
        <v>231</v>
      </c>
      <c r="C1974" t="s">
        <v>33</v>
      </c>
      <c r="D1974" t="s">
        <v>34</v>
      </c>
      <c r="E1974">
        <v>0</v>
      </c>
      <c r="F1974">
        <v>0</v>
      </c>
      <c r="G1974" t="s">
        <v>2</v>
      </c>
      <c r="H1974" cm="1">
        <f t="array" ref="H1974">sentimentCalc(B1974)</f>
        <v>0</v>
      </c>
      <c r="I1974" s="5" t="str" cm="1">
        <f t="array" ref="I1974">sentimentCategory(H1974)</f>
        <v>Neutral</v>
      </c>
    </row>
    <row r="1975" spans="1:9" x14ac:dyDescent="0.2">
      <c r="A1975" s="3"/>
      <c r="H1975" cm="1">
        <f t="array" ref="H1975">sentimentCalc(B1975)</f>
        <v>0</v>
      </c>
      <c r="I1975" s="5" t="str" cm="1">
        <f t="array" ref="I1975">sentimentCategory(H1975)</f>
        <v>Neutral</v>
      </c>
    </row>
    <row r="1976" spans="1:9" x14ac:dyDescent="0.2">
      <c r="A1976" s="3">
        <v>46941.921492997688</v>
      </c>
      <c r="B1976" t="s">
        <v>228</v>
      </c>
      <c r="C1976" t="s">
        <v>33</v>
      </c>
      <c r="D1976" t="s">
        <v>34</v>
      </c>
      <c r="E1976">
        <v>0</v>
      </c>
      <c r="F1976">
        <v>0</v>
      </c>
      <c r="G1976" t="s">
        <v>2</v>
      </c>
      <c r="H1976" cm="1">
        <f t="array" ref="H1976">sentimentCalc(B1976)</f>
        <v>0</v>
      </c>
      <c r="I1976" s="5" t="str" cm="1">
        <f t="array" ref="I1976">sentimentCategory(H1976)</f>
        <v>Neutral</v>
      </c>
    </row>
    <row r="1977" spans="1:9" x14ac:dyDescent="0.2">
      <c r="A1977" s="3">
        <v>46942.921492997688</v>
      </c>
      <c r="B1977" t="s">
        <v>226</v>
      </c>
      <c r="C1977" t="s">
        <v>33</v>
      </c>
      <c r="D1977" t="s">
        <v>34</v>
      </c>
      <c r="E1977">
        <v>0</v>
      </c>
      <c r="F1977">
        <v>0</v>
      </c>
      <c r="G1977" t="s">
        <v>2</v>
      </c>
      <c r="H1977" cm="1">
        <f t="array" ref="H1977">sentimentCalc(B1977)</f>
        <v>0</v>
      </c>
      <c r="I1977" s="5" t="str" cm="1">
        <f t="array" ref="I1977">sentimentCategory(H1977)</f>
        <v>Neutral</v>
      </c>
    </row>
    <row r="1978" spans="1:9" x14ac:dyDescent="0.2">
      <c r="A1978" s="3">
        <v>46943.921492997688</v>
      </c>
      <c r="B1978" t="s">
        <v>230</v>
      </c>
      <c r="C1978" t="s">
        <v>33</v>
      </c>
      <c r="D1978" t="s">
        <v>34</v>
      </c>
      <c r="E1978">
        <v>0</v>
      </c>
      <c r="F1978">
        <v>0</v>
      </c>
      <c r="G1978" t="s">
        <v>2</v>
      </c>
      <c r="H1978" cm="1">
        <f t="array" ref="H1978">sentimentCalc(B1978)</f>
        <v>0</v>
      </c>
      <c r="I1978" s="5" t="str" cm="1">
        <f t="array" ref="I1978">sentimentCategory(H1978)</f>
        <v>Neutral</v>
      </c>
    </row>
    <row r="1979" spans="1:9" x14ac:dyDescent="0.2">
      <c r="A1979" s="3">
        <v>46944.921492997688</v>
      </c>
      <c r="B1979" t="s">
        <v>225</v>
      </c>
      <c r="C1979" t="s">
        <v>33</v>
      </c>
      <c r="D1979" t="s">
        <v>34</v>
      </c>
      <c r="E1979">
        <v>0</v>
      </c>
      <c r="F1979">
        <v>0</v>
      </c>
      <c r="G1979" t="s">
        <v>2</v>
      </c>
      <c r="H1979" cm="1">
        <f t="array" ref="H1979">sentimentCalc(B1979)</f>
        <v>0</v>
      </c>
      <c r="I1979" s="5" t="str" cm="1">
        <f t="array" ref="I1979">sentimentCategory(H1979)</f>
        <v>Neutral</v>
      </c>
    </row>
    <row r="1980" spans="1:9" x14ac:dyDescent="0.2">
      <c r="A1980" s="3">
        <v>46945.921492997688</v>
      </c>
      <c r="B1980" t="s">
        <v>229</v>
      </c>
      <c r="C1980" t="s">
        <v>33</v>
      </c>
      <c r="D1980" t="s">
        <v>34</v>
      </c>
      <c r="E1980">
        <v>0</v>
      </c>
      <c r="F1980">
        <v>0</v>
      </c>
      <c r="G1980" t="s">
        <v>2</v>
      </c>
      <c r="H1980" cm="1">
        <f t="array" ref="H1980">sentimentCalc(B1980)</f>
        <v>0</v>
      </c>
      <c r="I1980" s="5" t="str" cm="1">
        <f t="array" ref="I1980">sentimentCategory(H1980)</f>
        <v>Neutral</v>
      </c>
    </row>
    <row r="1981" spans="1:9" x14ac:dyDescent="0.2">
      <c r="A1981" s="3">
        <v>46946.921492997688</v>
      </c>
      <c r="B1981" t="s">
        <v>2125</v>
      </c>
      <c r="C1981" t="s">
        <v>128</v>
      </c>
      <c r="D1981" t="s">
        <v>129</v>
      </c>
      <c r="E1981">
        <v>0</v>
      </c>
      <c r="F1981">
        <v>0</v>
      </c>
      <c r="G1981" t="s">
        <v>2</v>
      </c>
      <c r="H1981" cm="1">
        <f t="array" ref="H1981">sentimentCalc(B1981)</f>
        <v>-10</v>
      </c>
      <c r="I1981" s="5" t="str" cm="1">
        <f t="array" ref="I1981">sentimentCategory(H1981)</f>
        <v>Negative</v>
      </c>
    </row>
    <row r="1982" spans="1:9" x14ac:dyDescent="0.2">
      <c r="A1982" s="3">
        <v>46947.921492997688</v>
      </c>
      <c r="B1982" t="s">
        <v>1003</v>
      </c>
      <c r="C1982" t="s">
        <v>98</v>
      </c>
      <c r="D1982" t="s">
        <v>13</v>
      </c>
      <c r="E1982">
        <v>0</v>
      </c>
      <c r="F1982">
        <v>0</v>
      </c>
      <c r="G1982" t="s">
        <v>2</v>
      </c>
      <c r="H1982" cm="1">
        <f t="array" ref="H1982">sentimentCalc(B1982)</f>
        <v>0</v>
      </c>
      <c r="I1982" s="5" t="str" cm="1">
        <f t="array" ref="I1982">sentimentCategory(H1982)</f>
        <v>Neutral</v>
      </c>
    </row>
    <row r="1983" spans="1:9" x14ac:dyDescent="0.2">
      <c r="A1983" s="3">
        <v>46948.921492997688</v>
      </c>
      <c r="B1983" t="s">
        <v>2126</v>
      </c>
      <c r="C1983" t="s">
        <v>98</v>
      </c>
      <c r="D1983" t="s">
        <v>13</v>
      </c>
      <c r="E1983">
        <v>0</v>
      </c>
      <c r="F1983">
        <v>0</v>
      </c>
      <c r="G1983" t="s">
        <v>2</v>
      </c>
      <c r="H1983" cm="1">
        <f t="array" ref="H1983">sentimentCalc(B1983)</f>
        <v>0</v>
      </c>
      <c r="I1983" s="5" t="str" cm="1">
        <f t="array" ref="I1983">sentimentCategory(H1983)</f>
        <v>Neutral</v>
      </c>
    </row>
    <row r="1984" spans="1:9" x14ac:dyDescent="0.2">
      <c r="A1984" s="3"/>
      <c r="H1984" cm="1">
        <f t="array" ref="H1984">sentimentCalc(B1984)</f>
        <v>0</v>
      </c>
      <c r="I1984" s="5" t="str" cm="1">
        <f t="array" ref="I1984">sentimentCategory(H1984)</f>
        <v>Neutral</v>
      </c>
    </row>
    <row r="1985" spans="1:9" x14ac:dyDescent="0.2">
      <c r="A1985" s="3">
        <v>46950.921492997688</v>
      </c>
      <c r="B1985" t="s">
        <v>370</v>
      </c>
      <c r="C1985" t="s">
        <v>128</v>
      </c>
      <c r="D1985" t="s">
        <v>129</v>
      </c>
      <c r="E1985">
        <v>0</v>
      </c>
      <c r="F1985">
        <v>0</v>
      </c>
      <c r="G1985" t="s">
        <v>2</v>
      </c>
      <c r="H1985" cm="1">
        <f t="array" ref="H1985">sentimentCalc(B1985)</f>
        <v>-10</v>
      </c>
      <c r="I1985" s="5" t="str" cm="1">
        <f t="array" ref="I1985">sentimentCategory(H1985)</f>
        <v>Negative</v>
      </c>
    </row>
    <row r="1986" spans="1:9" x14ac:dyDescent="0.2">
      <c r="A1986" s="3">
        <v>46951.921492997688</v>
      </c>
      <c r="B1986" t="s">
        <v>160</v>
      </c>
      <c r="C1986" t="s">
        <v>128</v>
      </c>
      <c r="D1986" t="s">
        <v>129</v>
      </c>
      <c r="E1986">
        <v>0</v>
      </c>
      <c r="F1986">
        <v>0</v>
      </c>
      <c r="G1986" t="s">
        <v>2</v>
      </c>
      <c r="H1986" cm="1">
        <f t="array" ref="H1986">sentimentCalc(B1986)</f>
        <v>-10</v>
      </c>
      <c r="I1986" s="5" t="str" cm="1">
        <f t="array" ref="I1986">sentimentCategory(H1986)</f>
        <v>Negative</v>
      </c>
    </row>
    <row r="1987" spans="1:9" x14ac:dyDescent="0.2">
      <c r="A1987" s="3">
        <v>46952.921492997688</v>
      </c>
      <c r="B1987" t="s">
        <v>2127</v>
      </c>
      <c r="C1987" t="s">
        <v>178</v>
      </c>
      <c r="D1987" t="s">
        <v>291</v>
      </c>
      <c r="E1987">
        <v>0</v>
      </c>
      <c r="F1987">
        <v>0</v>
      </c>
      <c r="G1987" t="s">
        <v>2</v>
      </c>
      <c r="H1987" cm="1">
        <f t="array" ref="H1987">sentimentCalc(B1987)</f>
        <v>0</v>
      </c>
      <c r="I1987" s="5" t="str" cm="1">
        <f t="array" ref="I1987">sentimentCategory(H1987)</f>
        <v>Neutral</v>
      </c>
    </row>
    <row r="1988" spans="1:9" x14ac:dyDescent="0.2">
      <c r="A1988" s="3">
        <v>46953.921492997688</v>
      </c>
      <c r="B1988" t="s">
        <v>2128</v>
      </c>
      <c r="C1988" t="s">
        <v>2129</v>
      </c>
      <c r="D1988" t="s">
        <v>2130</v>
      </c>
      <c r="E1988">
        <v>1</v>
      </c>
      <c r="F1988">
        <v>1</v>
      </c>
      <c r="G1988" t="s">
        <v>2</v>
      </c>
      <c r="H1988" cm="1">
        <f t="array" ref="H1988">sentimentCalc(B1988)</f>
        <v>0</v>
      </c>
      <c r="I1988" s="5" t="str" cm="1">
        <f t="array" ref="I1988">sentimentCategory(H1988)</f>
        <v>Neutral</v>
      </c>
    </row>
    <row r="1989" spans="1:9" x14ac:dyDescent="0.2">
      <c r="A1989" s="3">
        <v>46954.921492997688</v>
      </c>
      <c r="B1989" t="s">
        <v>2131</v>
      </c>
      <c r="C1989" t="s">
        <v>2132</v>
      </c>
      <c r="D1989" t="s">
        <v>2133</v>
      </c>
      <c r="E1989">
        <v>0</v>
      </c>
      <c r="F1989">
        <v>0</v>
      </c>
      <c r="G1989" t="s">
        <v>2</v>
      </c>
      <c r="H1989" cm="1">
        <f t="array" ref="H1989">sentimentCalc(B1989)</f>
        <v>0</v>
      </c>
      <c r="I1989" s="5" t="str" cm="1">
        <f t="array" ref="I1989">sentimentCategory(H1989)</f>
        <v>Neutral</v>
      </c>
    </row>
    <row r="1990" spans="1:9" x14ac:dyDescent="0.2">
      <c r="A1990" s="3">
        <v>46955.921492997688</v>
      </c>
      <c r="B1990" t="s">
        <v>2134</v>
      </c>
      <c r="C1990" t="s">
        <v>2135</v>
      </c>
      <c r="D1990" t="s">
        <v>2136</v>
      </c>
      <c r="E1990">
        <v>0</v>
      </c>
      <c r="F1990">
        <v>1</v>
      </c>
      <c r="G1990" t="s">
        <v>2</v>
      </c>
      <c r="H1990" cm="1">
        <f t="array" ref="H1990">sentimentCalc(B1990)</f>
        <v>20</v>
      </c>
      <c r="I1990" s="5" t="str" cm="1">
        <f t="array" ref="I1990">sentimentCategory(H1990)</f>
        <v>Positive</v>
      </c>
    </row>
    <row r="1991" spans="1:9" x14ac:dyDescent="0.2">
      <c r="A1991" s="3">
        <v>46956.921492997688</v>
      </c>
      <c r="B1991" t="s">
        <v>2137</v>
      </c>
      <c r="C1991" t="s">
        <v>33</v>
      </c>
      <c r="D1991" t="s">
        <v>34</v>
      </c>
      <c r="E1991">
        <v>0</v>
      </c>
      <c r="F1991">
        <v>0</v>
      </c>
      <c r="G1991" t="s">
        <v>2</v>
      </c>
      <c r="H1991" cm="1">
        <f t="array" ref="H1991">sentimentCalc(B1991)</f>
        <v>0</v>
      </c>
      <c r="I1991" s="5" t="str" cm="1">
        <f t="array" ref="I1991">sentimentCategory(H1991)</f>
        <v>Neutral</v>
      </c>
    </row>
    <row r="1992" spans="1:9" x14ac:dyDescent="0.2">
      <c r="A1992" s="3">
        <v>46957.921492997688</v>
      </c>
      <c r="B1992" t="s">
        <v>2138</v>
      </c>
      <c r="C1992" t="s">
        <v>1702</v>
      </c>
      <c r="D1992" t="s">
        <v>1703</v>
      </c>
      <c r="E1992">
        <v>0</v>
      </c>
      <c r="F1992">
        <v>0</v>
      </c>
      <c r="G1992" t="s">
        <v>2</v>
      </c>
      <c r="H1992" cm="1">
        <f t="array" ref="H1992">sentimentCalc(B1992)</f>
        <v>0</v>
      </c>
      <c r="I1992" s="5" t="str" cm="1">
        <f t="array" ref="I1992">sentimentCategory(H1992)</f>
        <v>Neutral</v>
      </c>
    </row>
    <row r="1993" spans="1:9" x14ac:dyDescent="0.2">
      <c r="A1993" s="3">
        <v>46958.921492997688</v>
      </c>
      <c r="B1993" t="s">
        <v>2139</v>
      </c>
      <c r="C1993" t="s">
        <v>673</v>
      </c>
      <c r="D1993" t="s">
        <v>2140</v>
      </c>
      <c r="E1993">
        <v>0</v>
      </c>
      <c r="F1993">
        <v>0</v>
      </c>
      <c r="G1993" t="s">
        <v>2</v>
      </c>
      <c r="H1993" cm="1">
        <f t="array" ref="H1993">sentimentCalc(B1993)</f>
        <v>0</v>
      </c>
      <c r="I1993" s="5" t="str" cm="1">
        <f t="array" ref="I1993">sentimentCategory(H1993)</f>
        <v>Neutral</v>
      </c>
    </row>
    <row r="1994" spans="1:9" x14ac:dyDescent="0.2">
      <c r="A1994" s="3"/>
      <c r="H1994" cm="1">
        <f t="array" ref="H1994">sentimentCalc(B1994)</f>
        <v>0</v>
      </c>
      <c r="I1994" s="5" t="str" cm="1">
        <f t="array" ref="I1994">sentimentCategory(H1994)</f>
        <v>Neutral</v>
      </c>
    </row>
    <row r="1995" spans="1:9" x14ac:dyDescent="0.2">
      <c r="A1995" s="3">
        <v>46960.921492997688</v>
      </c>
      <c r="B1995" t="s">
        <v>973</v>
      </c>
      <c r="C1995" t="s">
        <v>128</v>
      </c>
      <c r="D1995" t="s">
        <v>129</v>
      </c>
      <c r="E1995">
        <v>0</v>
      </c>
      <c r="F1995">
        <v>0</v>
      </c>
      <c r="G1995" t="s">
        <v>2</v>
      </c>
      <c r="H1995" cm="1">
        <f t="array" ref="H1995">sentimentCalc(B1995)</f>
        <v>-10</v>
      </c>
      <c r="I1995" s="5" t="str" cm="1">
        <f t="array" ref="I1995">sentimentCategory(H1995)</f>
        <v>Negative</v>
      </c>
    </row>
    <row r="1996" spans="1:9" x14ac:dyDescent="0.2">
      <c r="A1996" s="3">
        <v>46961.921492997688</v>
      </c>
      <c r="B1996" t="s">
        <v>2141</v>
      </c>
      <c r="C1996" t="s">
        <v>2142</v>
      </c>
      <c r="E1996">
        <v>0</v>
      </c>
      <c r="F1996">
        <v>0</v>
      </c>
      <c r="G1996" t="s">
        <v>2</v>
      </c>
      <c r="H1996" cm="1">
        <f t="array" ref="H1996">sentimentCalc(B1996)</f>
        <v>0</v>
      </c>
      <c r="I1996" s="5" t="str" cm="1">
        <f t="array" ref="I1996">sentimentCategory(H1996)</f>
        <v>Neutral</v>
      </c>
    </row>
    <row r="1997" spans="1:9" x14ac:dyDescent="0.2">
      <c r="A1997" s="3">
        <v>46962.921492997688</v>
      </c>
      <c r="B1997" t="s">
        <v>1459</v>
      </c>
      <c r="C1997" t="s">
        <v>128</v>
      </c>
      <c r="D1997" t="s">
        <v>129</v>
      </c>
      <c r="E1997">
        <v>0</v>
      </c>
      <c r="F1997">
        <v>0</v>
      </c>
      <c r="G1997" t="s">
        <v>2</v>
      </c>
      <c r="H1997" cm="1">
        <f t="array" ref="H1997">sentimentCalc(B1997)</f>
        <v>-10</v>
      </c>
      <c r="I1997" s="5" t="str" cm="1">
        <f t="array" ref="I1997">sentimentCategory(H1997)</f>
        <v>Negative</v>
      </c>
    </row>
    <row r="1998" spans="1:9" x14ac:dyDescent="0.2">
      <c r="A1998" s="3">
        <v>46963.921492997688</v>
      </c>
      <c r="B1998" t="s">
        <v>2143</v>
      </c>
      <c r="C1998" t="s">
        <v>2142</v>
      </c>
      <c r="E1998">
        <v>0</v>
      </c>
      <c r="F1998">
        <v>0</v>
      </c>
      <c r="G1998" t="s">
        <v>2</v>
      </c>
      <c r="H1998" cm="1">
        <f t="array" ref="H1998">sentimentCalc(B1998)</f>
        <v>0</v>
      </c>
      <c r="I1998" s="5" t="str" cm="1">
        <f t="array" ref="I1998">sentimentCategory(H1998)</f>
        <v>Neutral</v>
      </c>
    </row>
    <row r="1999" spans="1:9" x14ac:dyDescent="0.2">
      <c r="A1999" s="3">
        <v>46964.921492997688</v>
      </c>
      <c r="B1999" t="s">
        <v>2144</v>
      </c>
      <c r="C1999" t="s">
        <v>2145</v>
      </c>
      <c r="E1999">
        <v>0</v>
      </c>
      <c r="F1999">
        <v>1</v>
      </c>
      <c r="G1999" t="s">
        <v>2</v>
      </c>
      <c r="H1999" cm="1">
        <f t="array" ref="H1999">sentimentCalc(B1999)</f>
        <v>10</v>
      </c>
      <c r="I1999" s="5" t="str" cm="1">
        <f t="array" ref="I1999">sentimentCategory(H1999)</f>
        <v>Positive</v>
      </c>
    </row>
    <row r="2000" spans="1:9" x14ac:dyDescent="0.2">
      <c r="A2000" s="3">
        <v>46965.921492997688</v>
      </c>
      <c r="B2000" t="s">
        <v>1214</v>
      </c>
      <c r="C2000" t="s">
        <v>1215</v>
      </c>
      <c r="D2000" t="s">
        <v>1216</v>
      </c>
      <c r="E2000">
        <v>0</v>
      </c>
      <c r="F2000">
        <v>0</v>
      </c>
      <c r="G2000" t="s">
        <v>2</v>
      </c>
      <c r="H2000" cm="1">
        <f t="array" ref="H2000">sentimentCalc(B2000)</f>
        <v>0</v>
      </c>
      <c r="I2000" s="5" t="str" cm="1">
        <f t="array" ref="I2000">sentimentCategory(H2000)</f>
        <v>Neutral</v>
      </c>
    </row>
    <row r="2001" spans="1:9" x14ac:dyDescent="0.2">
      <c r="A2001" s="3">
        <v>46966.921492997688</v>
      </c>
      <c r="B2001" t="s">
        <v>2146</v>
      </c>
      <c r="C2001" t="s">
        <v>2147</v>
      </c>
      <c r="D2001" t="s">
        <v>158</v>
      </c>
      <c r="E2001">
        <v>0</v>
      </c>
      <c r="F2001">
        <v>0</v>
      </c>
      <c r="G2001" t="s">
        <v>2</v>
      </c>
      <c r="H2001" cm="1">
        <f t="array" ref="H2001">sentimentCalc(B2001)</f>
        <v>10</v>
      </c>
      <c r="I2001" s="5" t="str" cm="1">
        <f t="array" ref="I2001">sentimentCategory(H2001)</f>
        <v>Positive</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FF74AD-1B69-6444-8F2D-ACE9F9131F03}">
  <sheetPr codeName="Sheet4"/>
  <dimension ref="B2:G21"/>
  <sheetViews>
    <sheetView tabSelected="1" workbookViewId="0">
      <selection activeCell="A2" sqref="A2:G21"/>
    </sheetView>
  </sheetViews>
  <sheetFormatPr baseColWidth="10" defaultRowHeight="16" x14ac:dyDescent="0.2"/>
  <cols>
    <col min="2" max="2" width="16" bestFit="1" customWidth="1"/>
    <col min="6" max="6" width="18.6640625" bestFit="1" customWidth="1"/>
  </cols>
  <sheetData>
    <row r="2" spans="2:7" x14ac:dyDescent="0.2">
      <c r="B2" s="10" t="s">
        <v>2282</v>
      </c>
      <c r="C2" s="11"/>
      <c r="F2" s="13" t="s">
        <v>2288</v>
      </c>
      <c r="G2" s="14"/>
    </row>
    <row r="3" spans="2:7" x14ac:dyDescent="0.2">
      <c r="B3" s="11" t="s">
        <v>2283</v>
      </c>
      <c r="C3" s="12">
        <f>AVERAGE(processedData!H2:H2001)</f>
        <v>0.505</v>
      </c>
      <c r="F3" s="14" t="s">
        <v>2283</v>
      </c>
      <c r="G3" s="14">
        <f>AVERAGEIF(processedData!F:F,"&gt;0",processedData!H:H)</f>
        <v>1.8064516129032258</v>
      </c>
    </row>
    <row r="4" spans="2:7" x14ac:dyDescent="0.2">
      <c r="B4" s="11" t="s">
        <v>2284</v>
      </c>
      <c r="C4" s="11">
        <f>COUNTIF(processedData!I2:I2000, "Positive")</f>
        <v>250</v>
      </c>
      <c r="F4" s="14" t="s">
        <v>2284</v>
      </c>
      <c r="G4" s="14">
        <f>COUNTIFS(processedData!F:F,"&gt;0",processedData!I:I, "Positive")</f>
        <v>63</v>
      </c>
    </row>
    <row r="5" spans="2:7" x14ac:dyDescent="0.2">
      <c r="B5" s="11" t="s">
        <v>2285</v>
      </c>
      <c r="C5" s="11">
        <f>COUNTIF(processedData!I2:I2000, "Negative")</f>
        <v>184</v>
      </c>
      <c r="F5" s="14" t="s">
        <v>2285</v>
      </c>
      <c r="G5" s="14">
        <f>COUNTIFS(processedData!F:F,"&gt;0",processedData!I:I, "Negative")</f>
        <v>14</v>
      </c>
    </row>
    <row r="6" spans="2:7" x14ac:dyDescent="0.2">
      <c r="B6" s="11" t="s">
        <v>2286</v>
      </c>
      <c r="C6" s="11">
        <f>COUNTIF(processedData!I2:I2000, "Neutral")</f>
        <v>1565</v>
      </c>
      <c r="F6" s="14" t="s">
        <v>2286</v>
      </c>
      <c r="G6" s="14">
        <f>COUNTIFS(processedData!F:F,"&gt;0",processedData!I:I, "Neutral")</f>
        <v>233</v>
      </c>
    </row>
    <row r="9" spans="2:7" x14ac:dyDescent="0.2">
      <c r="B9" s="6" t="s">
        <v>2287</v>
      </c>
      <c r="C9" s="7"/>
      <c r="F9" s="8" t="s">
        <v>2289</v>
      </c>
      <c r="G9" s="9"/>
    </row>
    <row r="10" spans="2:7" x14ac:dyDescent="0.2">
      <c r="B10" s="7" t="s">
        <v>2291</v>
      </c>
      <c r="C10" s="15">
        <f>AVERAGEIF(processedData!D:D, "*Australia*", processedData!H:H)</f>
        <v>-5</v>
      </c>
      <c r="F10" s="9" t="s">
        <v>2290</v>
      </c>
      <c r="G10" s="9">
        <f>SUM(processedData!E:E)</f>
        <v>493</v>
      </c>
    </row>
    <row r="11" spans="2:7" x14ac:dyDescent="0.2">
      <c r="B11" s="7" t="s">
        <v>2292</v>
      </c>
      <c r="C11" s="7">
        <f>AVERAGEIF(processedData!D:D, "*Canada*", processedData!H:H)</f>
        <v>0</v>
      </c>
      <c r="F11" s="9" t="s">
        <v>2284</v>
      </c>
      <c r="G11" s="9">
        <f>SUMIFS(processedData!E:E, processedData!I:I, "Positive" )</f>
        <v>90</v>
      </c>
    </row>
    <row r="12" spans="2:7" x14ac:dyDescent="0.2">
      <c r="B12" s="7" t="s">
        <v>2293</v>
      </c>
      <c r="C12" s="7">
        <f>AVERAGEIF(processedData!D:D, "*England*", processedData!H:H)</f>
        <v>2.7777777777777777</v>
      </c>
      <c r="F12" s="9" t="s">
        <v>2285</v>
      </c>
      <c r="G12" s="9">
        <f>SUMIFS(processedData!E:E, processedData!I:I, "Negative" )</f>
        <v>1</v>
      </c>
    </row>
    <row r="13" spans="2:7" x14ac:dyDescent="0.2">
      <c r="B13" s="7" t="s">
        <v>2294</v>
      </c>
      <c r="C13" s="7">
        <v>0</v>
      </c>
      <c r="F13" s="9" t="s">
        <v>2286</v>
      </c>
      <c r="G13" s="9">
        <f>SUMIFS(processedData!E:E, processedData!I:I, "Neutral" )</f>
        <v>402</v>
      </c>
    </row>
    <row r="14" spans="2:7" x14ac:dyDescent="0.2">
      <c r="B14" s="7" t="s">
        <v>2295</v>
      </c>
      <c r="C14" s="7">
        <f>AVERAGEIF(processedData!D:D, "*Germany*", processedData!H:H)</f>
        <v>0.32786885245901637</v>
      </c>
    </row>
    <row r="15" spans="2:7" x14ac:dyDescent="0.2">
      <c r="B15" s="7" t="s">
        <v>2296</v>
      </c>
      <c r="C15" s="7">
        <f>AVERAGEIF(processedData!D:D, "*India*", processedData!H:H)</f>
        <v>1.0526315789473684</v>
      </c>
    </row>
    <row r="16" spans="2:7" x14ac:dyDescent="0.2">
      <c r="B16" s="7" t="s">
        <v>2297</v>
      </c>
      <c r="C16" s="7">
        <f>AVERAGEIF(processedData!D:D, "*Ireland*", processedData!H:H)</f>
        <v>0</v>
      </c>
    </row>
    <row r="17" spans="2:3" x14ac:dyDescent="0.2">
      <c r="B17" s="7" t="s">
        <v>2298</v>
      </c>
      <c r="C17" s="7">
        <f>AVERAGEIF(processedData!D:D, "*Scotland*", processedData!H:H)</f>
        <v>10</v>
      </c>
    </row>
    <row r="18" spans="2:3" x14ac:dyDescent="0.2">
      <c r="B18" s="7" t="s">
        <v>2299</v>
      </c>
      <c r="C18" s="7">
        <f>AVERAGEIF(processedData!D:D, "*Netherlands*", processedData!H:H)</f>
        <v>0</v>
      </c>
    </row>
    <row r="19" spans="2:3" x14ac:dyDescent="0.2">
      <c r="B19" s="7" t="s">
        <v>2300</v>
      </c>
      <c r="C19" s="7">
        <f>AVERAGEIF(processedData!D:D, "*South Africa*", processedData!H:H)</f>
        <v>-10</v>
      </c>
    </row>
    <row r="20" spans="2:3" x14ac:dyDescent="0.2">
      <c r="B20" s="7" t="s">
        <v>2301</v>
      </c>
      <c r="C20" s="7">
        <v>0</v>
      </c>
    </row>
    <row r="21" spans="2:3" x14ac:dyDescent="0.2">
      <c r="B21" s="7" t="s">
        <v>2302</v>
      </c>
      <c r="C21" s="7">
        <f>AVERAGEIF(processedData!D:D, "*United States*", processedData!H:H)</f>
        <v>1.6</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rawData</vt:lpstr>
      <vt:lpstr>keywords</vt:lpstr>
      <vt:lpstr>processedData</vt:lpstr>
      <vt:lpstr>analysis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Andrew Mansur</dc:creator>
  <cp:lastModifiedBy>Andrew Mansur</cp:lastModifiedBy>
  <dcterms:created xsi:type="dcterms:W3CDTF">2023-03-16T03:16:39Z</dcterms:created>
  <dcterms:modified xsi:type="dcterms:W3CDTF">2023-03-17T17:29:33Z</dcterms:modified>
</cp:coreProperties>
</file>